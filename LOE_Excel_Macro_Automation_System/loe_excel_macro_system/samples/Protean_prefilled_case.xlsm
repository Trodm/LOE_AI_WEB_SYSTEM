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2.xml" ContentType="application/vnd.openxmlformats-officedocument.spreadsheetml.comments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832" firstSheet="0" activeTab="1" autoFilterDateGrouping="1"/>
  </bookViews>
  <sheets>
    <sheet xmlns:r="http://schemas.openxmlformats.org/officeDocument/2006/relationships" name="Checklist" sheetId="1" state="visible" r:id="rId1"/>
    <sheet xmlns:r="http://schemas.openxmlformats.org/officeDocument/2006/relationships" name="Report" sheetId="2" state="visible" r:id="rId2"/>
    <sheet xmlns:r="http://schemas.openxmlformats.org/officeDocument/2006/relationships" name="Summary" sheetId="3" state="visible" r:id="rId3"/>
    <sheet xmlns:r="http://schemas.openxmlformats.org/officeDocument/2006/relationships" name="Earnings Descriptions" sheetId="4" state="visible" r:id="rId4"/>
    <sheet xmlns:r="http://schemas.openxmlformats.org/officeDocument/2006/relationships" name="Time Line" sheetId="5" state="visible" r:id="rId5"/>
    <sheet xmlns:r="http://schemas.openxmlformats.org/officeDocument/2006/relationships" name="LOE Sc1" sheetId="6" state="visible" r:id="rId6"/>
    <sheet xmlns:r="http://schemas.openxmlformats.org/officeDocument/2006/relationships" name="Tax Bracket" sheetId="7" state="visible" r:id="rId7"/>
    <sheet xmlns:r="http://schemas.openxmlformats.org/officeDocument/2006/relationships" name="Scrap Pad" sheetId="8" state="hidden" r:id="rId8"/>
    <sheet xmlns:r="http://schemas.openxmlformats.org/officeDocument/2006/relationships" name="Cap" sheetId="9" state="visible" r:id="rId9"/>
    <sheet xmlns:r="http://schemas.openxmlformats.org/officeDocument/2006/relationships" name="Housing Allowance" sheetId="10" state="hidden" r:id="rId10"/>
    <sheet xmlns:r="http://schemas.openxmlformats.org/officeDocument/2006/relationships" name="CPI" sheetId="11" state="visible" r:id="rId11"/>
    <sheet xmlns:r="http://schemas.openxmlformats.org/officeDocument/2006/relationships" name="Rebate" sheetId="12" state="hidden" r:id="rId12"/>
    <sheet xmlns:r="http://schemas.openxmlformats.org/officeDocument/2006/relationships" name="Life Expectancy" sheetId="13" state="hidden" r:id="rId13"/>
    <sheet xmlns:r="http://schemas.openxmlformats.org/officeDocument/2006/relationships" name="SALT LIFE TABLES" sheetId="14" state="hidden" r:id="rId14"/>
    <sheet xmlns:r="http://schemas.openxmlformats.org/officeDocument/2006/relationships" name="Grant" sheetId="15" state="hidden" r:id="rId15"/>
    <sheet xmlns:r="http://schemas.openxmlformats.org/officeDocument/2006/relationships" name="OSD Social" sheetId="16" state="hidden" r:id="rId16"/>
    <sheet xmlns:r="http://schemas.openxmlformats.org/officeDocument/2006/relationships" name="PATERSON" sheetId="17" state="hidden" r:id="rId17"/>
    <sheet xmlns:r="http://schemas.openxmlformats.org/officeDocument/2006/relationships" name="IP Info" sheetId="18" state="visible" r:id="rId18"/>
    <sheet xmlns:r="http://schemas.openxmlformats.org/officeDocument/2006/relationships" name="Attorneys" sheetId="19" state="visible" r:id="rId19"/>
    <sheet xmlns:r="http://schemas.openxmlformats.org/officeDocument/2006/relationships" name="e00eb4de3c8a421cba9b8f4cb8546ec" sheetId="20" state="veryHidden" r:id="rId20"/>
  </sheets>
  <externalReferences>
    <externalReference xmlns:r="http://schemas.openxmlformats.org/officeDocument/2006/relationships" r:id="rId21"/>
  </externalReferences>
  <definedNames>
    <definedName name="age.45">PATERSON!$C$1</definedName>
    <definedName name="age_DoC">Report!$J$7</definedName>
    <definedName name="allow_1">Summary!$L$6</definedName>
    <definedName name="allow_1_post">Summary!$L$56</definedName>
    <definedName name="allow_2">Summary!$L$7</definedName>
    <definedName name="allow_2_post">Summary!$L$57</definedName>
    <definedName name="AllowXMort">'[1]Inputs &amp; Results'!$N$10</definedName>
    <definedName name="Bonus">Summary!$L$4</definedName>
    <definedName name="Bonus_Post">Summary!$L$54</definedName>
    <definedName name="Cap">Report!$N$19</definedName>
    <definedName name="coid_incs">'[1]Ad Hoc Calcs'!$K$12:$M$34</definedName>
    <definedName name="CPI">Report!$N$5</definedName>
    <definedName name="CPI_Table">CPI!$A:$G</definedName>
    <definedName name="CPItables">[1]Lookup!$A$13:$A$18</definedName>
    <definedName name="Current">'LOE Sc1'!$G$7</definedName>
    <definedName name="d">Report!$N$2</definedName>
    <definedName name="DoA">Report!$H$7</definedName>
    <definedName name="DoB">Report!$F$7</definedName>
    <definedName name="DoC">Report!$I$7</definedName>
    <definedName name="DoE">Summary!$C$28</definedName>
    <definedName name="DoR_Post">Summary!$C$84</definedName>
    <definedName name="DoR_Pre">Summary!$C$34</definedName>
    <definedName name="dos">'[1]Inputs &amp; Results'!$C$3</definedName>
    <definedName name="ee">Summary!$L$8</definedName>
    <definedName name="ee_post">Summary!$L$58</definedName>
    <definedName name="er">Summary!$L$9</definedName>
    <definedName name="er_post">Summary!$L$59</definedName>
    <definedName name="gender">Report!$G$7</definedName>
    <definedName name="GEPF_post">Summary!$C$77</definedName>
    <definedName name="GEPF_pre">Summary!$C$27</definedName>
    <definedName name="grant_incs">'[1]Ad Hoc Calcs'!$F$12:$I$53</definedName>
    <definedName name="Gratuity_Post">Summary!$D$110</definedName>
    <definedName name="Gratuity_Pre">Summary!$C$110</definedName>
    <definedName name="HivStatus">'[1]Inputs &amp; Results'!$N$8</definedName>
    <definedName name="i">Report!$N$9</definedName>
    <definedName name="ID">Report!$E$7</definedName>
    <definedName name="Income1">OFFSET('[1]LOI CALC'!$E$11,0,0,COUNTA('[1]LOI CALC'!$E$11:$E$1333),1)</definedName>
    <definedName name="Income2">OFFSET('[1]LOI CALC'!$G$11,0,0,COUNTA('[1]LOI CALC'!$G$11:$G$1333),1)</definedName>
    <definedName name="index">'LOE Sc1'!$H$7</definedName>
    <definedName name="Limitedloss">OFFSET('[1]LOI CALC'!$J$11,0,0,COUNTA('[1]LOI CALC'!$J$11:$J$1333),1)</definedName>
    <definedName name="LS_post">Summary!$C$99</definedName>
    <definedName name="LS_pre">Summary!$C$49</definedName>
    <definedName name="m">Report!$N$17</definedName>
    <definedName name="med_i">Report!$N$12</definedName>
    <definedName name="MedSub">Summary!$C$32</definedName>
    <definedName name="nil">PATERSON!$C$2</definedName>
    <definedName name="overtime">Summary!$L$5</definedName>
    <definedName name="overtime_1">Summary!$L$5</definedName>
    <definedName name="overtime_post">Summary!$L$55</definedName>
    <definedName name="overtime_pre">Summary!$L$5</definedName>
    <definedName name="past">OFFSET('[1]LOI CALC'!$K$11,0,0,COUNTA('[1]LOI CALC'!$K$11:$K$1333),1)</definedName>
    <definedName name="pens_Post">Summary!$C$98</definedName>
    <definedName name="pens_Pre">Summary!$C$48</definedName>
    <definedName name="Populate1">INDIRECT('[1]Pre-M Income'!$N$28)</definedName>
    <definedName name="Populate2">INDIRECT('[1]Post-M Income'!$N$28)</definedName>
    <definedName name="Populate3">INDIRECT('[1]LOI CALC'!$N$2)</definedName>
    <definedName name="post_FL">Report!$D$18</definedName>
    <definedName name="Post_MDep">Summary!$L$62</definedName>
    <definedName name="post_mort">Summary!$L$64</definedName>
    <definedName name="post_PL">Report!$D$17</definedName>
    <definedName name="pPost">Summary!$C$73</definedName>
    <definedName name="pPre">Summary!$C$23</definedName>
    <definedName name="pre_FL">Report!$C$18</definedName>
    <definedName name="Pre_MDep">Summary!$L$12</definedName>
    <definedName name="pre_mort">Summary!$L$14</definedName>
    <definedName name="pre_PL">Report!$C$17</definedName>
    <definedName name="real_i">Report!$N$16</definedName>
    <definedName name="Ret_Yr_post">Summary!$C$85</definedName>
    <definedName name="Ret_Yr_pre">Summary!$C$35</definedName>
    <definedName name="RetAge_Post">Summary!$H$73</definedName>
    <definedName name="RetAge_Pre">Summary!$H$23</definedName>
    <definedName name="service_post">Summary!$C$86</definedName>
    <definedName name="service_pre">Summary!$C$36</definedName>
    <definedName name="start">'[1]Tax Dummy'!$C$3:$M$3</definedName>
    <definedName name="tax">'[1]Tax Dummy'!$B$3:$AK$152</definedName>
    <definedName name="Tax_2008">#REF!</definedName>
    <definedName name="Tax_2009">#REF!</definedName>
    <definedName name="Tax_2010">#REF!</definedName>
    <definedName name="Tax_2011">#REF!</definedName>
    <definedName name="Tax_2012">#REF!</definedName>
    <definedName name="Tax_2013">#REF!</definedName>
    <definedName name="Tax_2014">#REF!</definedName>
    <definedName name="Tax_2015">#REF!</definedName>
    <definedName name="Tax_2016">#REF!</definedName>
    <definedName name="Tax_2017">#REF!</definedName>
    <definedName name="Tax_2018">#REF!</definedName>
    <definedName name="Tax_2019">#REF!</definedName>
    <definedName name="Tax_2020">#REF!</definedName>
    <definedName name="Tax_2021">#REF!</definedName>
    <definedName name="Tax_2022">#REF!</definedName>
    <definedName name="Tax_2023">#REF!</definedName>
    <definedName name="tPx">OFFSET('[1]LOI CALC'!$B$11,0,0,COUNTA('[1]LOI CALC'!$B$11:$B$1333),1)</definedName>
    <definedName name="vt">OFFSET('[1]LOI CALC'!$C$11,0,0,COUNTA('[1]LOI CALC'!$C$11:$C$1333),1)</definedName>
    <definedName name="_xlnm.Print_Area" localSheetId="2">'Summary'!$B$2:$B$62</definedName>
    <definedName name="_xlnm.Print_Titles" localSheetId="5">'LOE Sc1'!$4:$7</definedName>
    <definedName name="_xlnm.Print_Area" localSheetId="5">'LOE Sc1'!$A$10:$D$222</definedName>
    <definedName name="doa" localSheetId="16">'[1]Inputs &amp; Results'!$C$1</definedName>
    <definedName name="dob" localSheetId="16">'[1]Inputs &amp; Results'!$D$12</definedName>
    <definedName name="doc" localSheetId="16">'[1]Inputs &amp; Results'!$C$4</definedName>
  </definedNames>
  <calcPr calcId="191029" fullCalcOnLoad="1"/>
</workbook>
</file>

<file path=xl/styles.xml><?xml version="1.0" encoding="utf-8"?>
<styleSheet xmlns="http://schemas.openxmlformats.org/spreadsheetml/2006/main">
  <numFmts count="20">
    <numFmt numFmtId="164" formatCode="_ * #,##0_ ;_ * \-#,##0_ ;_ * &quot;-&quot;??_ ;_ @_ "/>
    <numFmt numFmtId="165" formatCode="_ * #,##0.00_ ;_ * \-#,##0.00_ ;_ * &quot;-&quot;??_ ;_ @_ "/>
    <numFmt numFmtId="166" formatCode="0.0000"/>
    <numFmt numFmtId="167" formatCode="0.000"/>
    <numFmt numFmtId="168" formatCode="0_ "/>
    <numFmt numFmtId="169" formatCode="_ * #,##0.0000_ ;_ * \-#,##0.0000_ ;_ * &quot;-&quot;??_ ;_ @_ "/>
    <numFmt numFmtId="170" formatCode="_ * #,##0.00000_ ;_ * \-#,##0.00000_ ;_ * &quot;-&quot;??_ ;_ @_ "/>
    <numFmt numFmtId="171" formatCode="_ * #,##0.000_ ;_ * \-#,##0.000_ ;_ * &quot;-&quot;??_ ;_ @_ "/>
    <numFmt numFmtId="172" formatCode="&quot;R&quot;\ #,##0"/>
    <numFmt numFmtId="173" formatCode="&quot;R &quot;#,##0"/>
    <numFmt numFmtId="174" formatCode="[$-F800]dddd\,\ mmmm\ dd\,\ yyyy"/>
    <numFmt numFmtId="175" formatCode="#,##0\ ;\(#,##0\);\-\ ;"/>
    <numFmt numFmtId="176" formatCode="0.0%"/>
    <numFmt numFmtId="177" formatCode="0.0"/>
    <numFmt numFmtId="178" formatCode="_(&quot;R&quot;* #,##0_);_(&quot;R&quot;* \(#,##0\);_(&quot;R&quot;* &quot;-&quot;_);_(@_)"/>
    <numFmt numFmtId="179" formatCode="[$-1C09]dd\ mmmm\ yyyy;@"/>
    <numFmt numFmtId="180" formatCode="[$R-1C09]#,##0"/>
    <numFmt numFmtId="181" formatCode="[$-409]mmm\-yy;@"/>
    <numFmt numFmtId="182" formatCode="_-&quot;£&quot;* #,##0_-;\-&quot;£&quot;* #,##0_-;_-&quot;£&quot;* &quot;-&quot;_-;_-@_-"/>
    <numFmt numFmtId="183" formatCode="_-&quot;£&quot;* #,##0.00_-;\-&quot;£&quot;* #,##0.00_-;_-&quot;£&quot;* &quot;-&quot;??_-;_-@_-"/>
  </numFmts>
  <fonts count="57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Arial"/>
      <family val="2"/>
      <sz val="10"/>
    </font>
    <font>
      <name val="Calibri"/>
      <family val="2"/>
      <sz val="8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indexed="12"/>
      <sz val="8"/>
      <scheme val="minor"/>
    </font>
    <font>
      <name val="Calibri"/>
      <family val="2"/>
      <b val="1"/>
      <color indexed="48"/>
      <sz val="8"/>
      <scheme val="minor"/>
    </font>
    <font>
      <name val="Calibri"/>
      <family val="2"/>
      <b val="1"/>
      <color indexed="12"/>
      <sz val="8"/>
      <vertAlign val="subscript"/>
      <scheme val="minor"/>
    </font>
    <font>
      <name val="Calibri"/>
      <family val="2"/>
      <color indexed="12"/>
      <sz val="8"/>
      <scheme val="minor"/>
    </font>
    <font>
      <name val="Calibri"/>
      <family val="2"/>
      <b val="1"/>
      <color rgb="FFFF0000"/>
      <sz val="8"/>
      <scheme val="minor"/>
    </font>
    <font>
      <name val="Arial"/>
      <family val="2"/>
      <color theme="10"/>
      <sz val="10"/>
      <u val="single"/>
    </font>
    <font>
      <name val="Arial"/>
      <family val="2"/>
      <color theme="11"/>
      <sz val="10"/>
      <u val="single"/>
    </font>
    <font>
      <name val="Arial"/>
      <family val="2"/>
      <b val="1"/>
      <sz val="10"/>
    </font>
    <font>
      <name val="Arial"/>
      <charset val="134"/>
      <family val="3"/>
      <b val="1"/>
      <color rgb="FF000000"/>
      <sz val="10"/>
    </font>
    <font>
      <name val="Arial"/>
      <charset val="134"/>
      <family val="3"/>
      <color rgb="FF000000"/>
      <sz val="9"/>
    </font>
    <font>
      <name val="Calibri"/>
      <charset val="134"/>
      <family val="3"/>
      <color rgb="FF000000"/>
      <sz val="10"/>
    </font>
    <font>
      <name val="Calibri"/>
      <charset val="134"/>
      <family val="3"/>
      <color rgb="FF000000"/>
      <sz val="12"/>
    </font>
    <font>
      <name val="Arial"/>
      <charset val="134"/>
      <family val="3"/>
      <b val="1"/>
      <color rgb="FF000000"/>
      <sz val="12"/>
    </font>
    <font>
      <name val="Calibri"/>
      <charset val="134"/>
      <family val="3"/>
      <b val="1"/>
      <color rgb="FF000000"/>
      <sz val="10"/>
    </font>
    <font>
      <name val="Calibri"/>
      <charset val="134"/>
      <family val="2"/>
      <b val="1"/>
      <color theme="1"/>
      <sz val="10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10"/>
      <scheme val="minor"/>
    </font>
    <font>
      <name val="Calibri"/>
      <family val="2"/>
      <b val="1"/>
      <sz val="12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0"/>
      <scheme val="minor"/>
    </font>
    <font>
      <name val="Tahoma"/>
      <family val="2"/>
      <b val="1"/>
      <color indexed="81"/>
      <sz val="9"/>
    </font>
    <font>
      <name val="Calibri"/>
      <family val="2"/>
      <b val="1"/>
      <color indexed="12"/>
      <sz val="16"/>
      <vertAlign val="subscript"/>
      <scheme val="minor"/>
    </font>
    <font>
      <name val="Calibri"/>
      <family val="2"/>
      <color rgb="FFFFFFFF"/>
      <sz val="8"/>
      <scheme val="minor"/>
    </font>
    <font>
      <name val="Calibri"/>
      <family val="2"/>
      <b val="1"/>
      <color rgb="FFFFFFFF"/>
      <sz val="8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Arial"/>
      <family val="2"/>
      <color rgb="FF252525"/>
      <sz val="11"/>
    </font>
    <font>
      <name val="Calibri"/>
      <family val="2"/>
      <b val="1"/>
      <color rgb="FF00005D"/>
      <sz val="14"/>
      <scheme val="minor"/>
    </font>
    <font>
      <name val="Calibri"/>
      <family val="2"/>
      <b val="1"/>
      <color theme="1"/>
      <sz val="14"/>
      <scheme val="minor"/>
    </font>
    <font>
      <name val="Tahoma"/>
      <family val="2"/>
      <color indexed="81"/>
      <sz val="9"/>
    </font>
    <font>
      <name val="Arial"/>
      <family val="2"/>
      <sz val="10"/>
    </font>
    <font>
      <name val="Calibri"/>
      <family val="2"/>
      <color theme="0"/>
      <sz val="8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0" tint="-0.1499984740745262"/>
      <sz val="8"/>
      <scheme val="minor"/>
    </font>
    <font>
      <name val="Calibri"/>
      <family val="2"/>
      <b val="1"/>
      <color rgb="FF000000"/>
      <sz val="8"/>
      <scheme val="minor"/>
    </font>
    <font>
      <name val="Calibri"/>
      <family val="2"/>
      <color rgb="FF000000"/>
      <sz val="8"/>
      <scheme val="minor"/>
    </font>
    <font>
      <name val="Calibri"/>
      <family val="2"/>
      <color rgb="FFFF0000"/>
      <sz val="8"/>
      <scheme val="minor"/>
    </font>
    <font>
      <name val="Calibri"/>
      <family val="2"/>
      <b val="1"/>
      <color theme="0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color rgb="FF00B050"/>
      <sz val="8"/>
      <scheme val="minor"/>
    </font>
    <font>
      <name val="Calibri"/>
      <family val="2"/>
      <b val="1"/>
      <color rgb="FF00B050"/>
      <sz val="8"/>
      <scheme val="minor"/>
    </font>
    <font>
      <name val="Calibri"/>
      <family val="2"/>
      <color rgb="FF000000"/>
      <sz val="10"/>
    </font>
    <font>
      <name val="Calibri"/>
      <family val="2"/>
      <b val="1"/>
      <color rgb="FF000000"/>
      <sz val="10"/>
    </font>
    <font>
      <name val="Calibri"/>
      <family val="2"/>
      <b val="1"/>
      <color rgb="FFFFFFFF"/>
      <sz val="10"/>
      <scheme val="minor"/>
    </font>
    <font>
      <name val="Calibri"/>
      <family val="2"/>
      <color theme="0" tint="-0.0499893185216834"/>
      <sz val="8"/>
      <scheme val="minor"/>
    </font>
    <font>
      <name val="Calibri"/>
      <family val="2"/>
      <b val="1"/>
      <color theme="0"/>
      <sz val="8"/>
      <scheme val="minor"/>
    </font>
    <font>
      <name val="Calibri"/>
      <family val="2"/>
      <b val="1"/>
      <color theme="0"/>
      <sz val="11"/>
      <scheme val="minor"/>
    </font>
    <font>
      <name val="Arial"/>
      <family val="2"/>
      <sz val="9"/>
    </font>
  </fonts>
  <fills count="33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B58A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5D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16F5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165" fontId="41" fillId="0" borderId="0"/>
    <xf numFmtId="9" fontId="41" fillId="0" borderId="0"/>
    <xf numFmtId="0" fontId="11" fillId="0" borderId="0"/>
    <xf numFmtId="0" fontId="12" fillId="0" borderId="0"/>
    <xf numFmtId="0" fontId="21" fillId="0" borderId="0"/>
    <xf numFmtId="9" fontId="21" fillId="0" borderId="0"/>
    <xf numFmtId="165" fontId="21" fillId="0" borderId="0"/>
    <xf numFmtId="182" fontId="41" fillId="0" borderId="0"/>
    <xf numFmtId="0" fontId="41" fillId="0" borderId="0"/>
    <xf numFmtId="183" fontId="41" fillId="0" borderId="0"/>
  </cellStyleXfs>
  <cellXfs count="691">
    <xf numFmtId="0" fontId="0" fillId="0" borderId="0" pivotButton="0" quotePrefix="0" xfId="0"/>
    <xf numFmtId="0" fontId="4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10" fontId="5" fillId="3" borderId="0" pivotButton="0" quotePrefix="0" xfId="2"/>
    <xf numFmtId="10" fontId="5" fillId="3" borderId="0" pivotButton="0" quotePrefix="0" xfId="0"/>
    <xf numFmtId="14" fontId="4" fillId="0" borderId="0" pivotButton="0" quotePrefix="0" xfId="0"/>
    <xf numFmtId="10" fontId="5" fillId="3" borderId="0" applyAlignment="1" pivotButton="0" quotePrefix="0" xfId="0">
      <alignment horizontal="right"/>
    </xf>
    <xf numFmtId="0" fontId="5" fillId="3" borderId="0" applyAlignment="1" pivotButton="0" quotePrefix="0" xfId="0">
      <alignment horizontal="right"/>
    </xf>
    <xf numFmtId="164" fontId="4" fillId="0" borderId="0" pivotButton="0" quotePrefix="0" xfId="1"/>
    <xf numFmtId="164" fontId="4" fillId="2" borderId="0" pivotButton="0" quotePrefix="0" xfId="1"/>
    <xf numFmtId="165" fontId="4" fillId="0" borderId="0" pivotButton="0" quotePrefix="0" xfId="1"/>
    <xf numFmtId="0" fontId="5" fillId="0" borderId="0" pivotButton="0" quotePrefix="0" xfId="0"/>
    <xf numFmtId="0" fontId="5" fillId="0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4" fontId="5" fillId="3" borderId="0" pivotButton="0" quotePrefix="0" xfId="0"/>
    <xf numFmtId="165" fontId="5" fillId="2" borderId="0" pivotButton="0" quotePrefix="0" xfId="0"/>
    <xf numFmtId="0" fontId="5" fillId="2" borderId="0" pivotButton="0" quotePrefix="0" xfId="0"/>
    <xf numFmtId="0" fontId="7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wrapText="1"/>
    </xf>
    <xf numFmtId="0" fontId="4" fillId="0" borderId="0" applyAlignment="1" pivotButton="0" quotePrefix="0" xfId="0">
      <alignment horizontal="center" wrapText="1"/>
    </xf>
    <xf numFmtId="0" fontId="4" fillId="2" borderId="0" applyAlignment="1" pivotButton="0" quotePrefix="0" xfId="0">
      <alignment horizontal="center" wrapText="1"/>
    </xf>
    <xf numFmtId="14" fontId="4" fillId="2" borderId="0" pivotButton="0" quotePrefix="0" xfId="0"/>
    <xf numFmtId="165" fontId="4" fillId="0" borderId="0" applyAlignment="1" pivotButton="0" quotePrefix="0" xfId="1">
      <alignment horizontal="center"/>
    </xf>
    <xf numFmtId="1" fontId="4" fillId="0" borderId="0" applyAlignment="1" pivotButton="0" quotePrefix="0" xfId="0">
      <alignment horizontal="center"/>
    </xf>
    <xf numFmtId="1" fontId="4" fillId="2" borderId="0" applyAlignment="1" pivotButton="0" quotePrefix="0" xfId="0">
      <alignment horizontal="center"/>
    </xf>
    <xf numFmtId="166" fontId="4" fillId="0" borderId="0" applyAlignment="1" pivotButton="0" quotePrefix="0" xfId="0">
      <alignment horizontal="center"/>
    </xf>
    <xf numFmtId="165" fontId="4" fillId="2" borderId="0" pivotButton="0" quotePrefix="0" xfId="1"/>
    <xf numFmtId="0" fontId="9" fillId="0" borderId="0" pivotButton="0" quotePrefix="0" xfId="0"/>
    <xf numFmtId="14" fontId="9" fillId="0" borderId="0" pivotButton="0" quotePrefix="0" xfId="0"/>
    <xf numFmtId="1" fontId="4" fillId="0" borderId="0" pivotButton="0" quotePrefix="0" xfId="0"/>
    <xf numFmtId="164" fontId="4" fillId="0" borderId="0" applyAlignment="1" pivotButton="0" quotePrefix="0" xfId="1">
      <alignment horizontal="center"/>
    </xf>
    <xf numFmtId="164" fontId="5" fillId="0" borderId="0" pivotButton="0" quotePrefix="0" xfId="1"/>
    <xf numFmtId="167" fontId="4" fillId="0" borderId="0" pivotButton="0" quotePrefix="0" xfId="0"/>
    <xf numFmtId="2" fontId="4" fillId="0" borderId="0" applyAlignment="1" pivotButton="0" quotePrefix="0" xfId="0">
      <alignment horizontal="center"/>
    </xf>
    <xf numFmtId="0" fontId="10" fillId="0" borderId="0" applyAlignment="1" pivotButton="0" quotePrefix="0" xfId="0">
      <alignment wrapText="1"/>
    </xf>
    <xf numFmtId="0" fontId="10" fillId="0" borderId="0" pivotButton="0" quotePrefix="0" xfId="0"/>
    <xf numFmtId="165" fontId="10" fillId="0" borderId="0" pivotButton="0" quotePrefix="0" xfId="1"/>
    <xf numFmtId="167" fontId="6" fillId="0" borderId="0" applyAlignment="1" pivotButton="0" quotePrefix="0" xfId="0">
      <alignment horizontal="center"/>
    </xf>
    <xf numFmtId="167" fontId="6" fillId="0" borderId="0" applyAlignment="1" pivotButton="0" quotePrefix="0" xfId="0">
      <alignment horizontal="center" wrapText="1"/>
    </xf>
    <xf numFmtId="0" fontId="4" fillId="0" borderId="0" applyAlignment="1" pivotButton="0" quotePrefix="0" xfId="0">
      <alignment horizontal="center"/>
    </xf>
    <xf numFmtId="0" fontId="5" fillId="4" borderId="0" applyAlignment="1" pivotButton="0" quotePrefix="0" xfId="0">
      <alignment horizontal="right"/>
    </xf>
    <xf numFmtId="49" fontId="4" fillId="0" borderId="0" pivotButton="0" quotePrefix="0" xfId="0"/>
    <xf numFmtId="4" fontId="4" fillId="0" borderId="0" pivotButton="0" quotePrefix="0" xfId="1"/>
    <xf numFmtId="4" fontId="4" fillId="0" borderId="0" pivotButton="0" quotePrefix="0" xfId="0"/>
    <xf numFmtId="4" fontId="5" fillId="0" borderId="0" pivotButton="0" quotePrefix="0" xfId="0"/>
    <xf numFmtId="2" fontId="4" fillId="0" borderId="0" pivotButton="0" quotePrefix="0" xfId="0"/>
    <xf numFmtId="43" fontId="4" fillId="0" borderId="0" pivotButton="0" quotePrefix="0" xfId="0"/>
    <xf numFmtId="2" fontId="0" fillId="0" borderId="0" pivotButton="0" quotePrefix="0" xfId="0"/>
    <xf numFmtId="3" fontId="0" fillId="0" borderId="0" pivotButton="0" quotePrefix="0" xfId="0"/>
    <xf numFmtId="3" fontId="0" fillId="0" borderId="0" applyAlignment="1" pivotButton="0" quotePrefix="0" xfId="0">
      <alignment horizontal="left"/>
    </xf>
    <xf numFmtId="1" fontId="4" fillId="4" borderId="0" pivotButton="0" quotePrefix="0" xfId="0"/>
    <xf numFmtId="1" fontId="6" fillId="0" borderId="0" pivotButton="0" quotePrefix="0" xfId="0"/>
    <xf numFmtId="1" fontId="6" fillId="0" borderId="0" applyAlignment="1" pivotButton="0" quotePrefix="0" xfId="0">
      <alignment horizontal="center"/>
    </xf>
    <xf numFmtId="1" fontId="5" fillId="0" borderId="0" applyAlignment="1" pivotButton="0" quotePrefix="0" xfId="0">
      <alignment horizontal="center"/>
    </xf>
    <xf numFmtId="0" fontId="6" fillId="0" borderId="0" pivotButton="0" quotePrefix="0" xfId="0"/>
    <xf numFmtId="0" fontId="14" fillId="6" borderId="0" applyAlignment="1" pivotButton="0" quotePrefix="0" xfId="0">
      <alignment horizontal="left" vertical="top"/>
    </xf>
    <xf numFmtId="168" fontId="15" fillId="0" borderId="0" applyAlignment="1" pivotButton="0" quotePrefix="0" xfId="0">
      <alignment horizontal="left" vertical="top"/>
    </xf>
    <xf numFmtId="0" fontId="6" fillId="0" borderId="0" applyAlignment="1" pivotButton="0" quotePrefix="0" xfId="0">
      <alignment horizontal="right"/>
    </xf>
    <xf numFmtId="169" fontId="6" fillId="0" borderId="0" pivotButton="0" quotePrefix="0" xfId="1"/>
    <xf numFmtId="0" fontId="16" fillId="0" borderId="0" applyAlignment="1" pivotButton="0" quotePrefix="0" xfId="0">
      <alignment horizontal="left" vertical="top"/>
    </xf>
    <xf numFmtId="0" fontId="17" fillId="0" borderId="0" applyAlignment="1" pivotButton="0" quotePrefix="0" xfId="0">
      <alignment horizontal="left" vertical="top"/>
    </xf>
    <xf numFmtId="0" fontId="19" fillId="0" borderId="0" applyAlignment="1" pivotButton="0" quotePrefix="0" xfId="0">
      <alignment horizontal="left" vertical="top"/>
    </xf>
    <xf numFmtId="0" fontId="14" fillId="0" borderId="0" applyAlignment="1" pivotButton="0" quotePrefix="0" xfId="0">
      <alignment horizontal="left" vertical="top"/>
    </xf>
    <xf numFmtId="0" fontId="19" fillId="6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top"/>
    </xf>
    <xf numFmtId="1" fontId="16" fillId="0" borderId="0" applyAlignment="1" pivotButton="0" quotePrefix="0" xfId="0">
      <alignment horizontal="left" vertical="top"/>
    </xf>
    <xf numFmtId="1" fontId="19" fillId="0" borderId="0" applyAlignment="1" pivotButton="0" quotePrefix="0" xfId="0">
      <alignment horizontal="left" vertical="top"/>
    </xf>
    <xf numFmtId="1" fontId="14" fillId="6" borderId="0" applyAlignment="1" pivotButton="0" quotePrefix="0" xfId="0">
      <alignment horizontal="left" vertical="top"/>
    </xf>
    <xf numFmtId="1" fontId="19" fillId="6" borderId="0" applyAlignment="1" pivotButton="0" quotePrefix="0" xfId="0">
      <alignment horizontal="left" vertical="top"/>
    </xf>
    <xf numFmtId="1" fontId="15" fillId="0" borderId="0" applyAlignment="1" pivotButton="0" quotePrefix="0" xfId="0">
      <alignment horizontal="left" vertical="top"/>
    </xf>
    <xf numFmtId="1" fontId="0" fillId="0" borderId="0" pivotButton="0" quotePrefix="0" xfId="0"/>
    <xf numFmtId="0" fontId="21" fillId="0" borderId="0" pivotButton="0" quotePrefix="0" xfId="167"/>
    <xf numFmtId="0" fontId="22" fillId="0" borderId="0" pivotButton="0" quotePrefix="0" xfId="167"/>
    <xf numFmtId="10" fontId="0" fillId="0" borderId="0" pivotButton="0" quotePrefix="0" xfId="168"/>
    <xf numFmtId="166" fontId="21" fillId="0" borderId="0" pivotButton="0" quotePrefix="0" xfId="167"/>
    <xf numFmtId="1" fontId="4" fillId="0" borderId="0" applyAlignment="1" pivotButton="0" quotePrefix="0" xfId="0">
      <alignment horizontal="center" wrapText="1"/>
    </xf>
    <xf numFmtId="0" fontId="6" fillId="0" borderId="0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 wrapText="1"/>
    </xf>
    <xf numFmtId="0" fontId="4" fillId="0" borderId="0" applyAlignment="1" pivotButton="0" quotePrefix="0" xfId="0">
      <alignment wrapText="1"/>
    </xf>
    <xf numFmtId="1" fontId="5" fillId="0" borderId="0" applyAlignment="1" pivotButton="0" quotePrefix="0" xfId="0">
      <alignment horizontal="center" wrapText="1"/>
    </xf>
    <xf numFmtId="2" fontId="5" fillId="0" borderId="0" applyAlignment="1" pivotButton="0" quotePrefix="0" xfId="0">
      <alignment horizontal="center"/>
    </xf>
    <xf numFmtId="2" fontId="6" fillId="0" borderId="0" applyAlignment="1" pivotButton="0" quotePrefix="0" xfId="0">
      <alignment horizontal="center"/>
    </xf>
    <xf numFmtId="2" fontId="5" fillId="0" borderId="0" applyAlignment="1" pivotButton="0" quotePrefix="0" xfId="0">
      <alignment horizontal="center" wrapText="1"/>
    </xf>
    <xf numFmtId="2" fontId="9" fillId="0" borderId="0" pivotButton="0" quotePrefix="0" xfId="0"/>
    <xf numFmtId="169" fontId="4" fillId="0" borderId="0" applyAlignment="1" pivotButton="0" quotePrefix="0" xfId="1">
      <alignment horizontal="center"/>
    </xf>
    <xf numFmtId="14" fontId="5" fillId="0" borderId="0" pivotButton="0" quotePrefix="0" xfId="0"/>
    <xf numFmtId="0" fontId="3" fillId="0" borderId="0" pivotButton="0" quotePrefix="0" xfId="0"/>
    <xf numFmtId="164" fontId="0" fillId="0" borderId="0" pivotButton="0" quotePrefix="0" xfId="1"/>
    <xf numFmtId="14" fontId="0" fillId="0" borderId="0" pivotButton="0" quotePrefix="0" xfId="0"/>
    <xf numFmtId="0" fontId="5" fillId="2" borderId="0" applyAlignment="1" pivotButton="0" quotePrefix="0" xfId="0">
      <alignment horizontal="center" wrapText="1"/>
    </xf>
    <xf numFmtId="0" fontId="13" fillId="0" borderId="0" pivotButton="0" quotePrefix="0" xfId="0"/>
    <xf numFmtId="43" fontId="10" fillId="0" borderId="0" pivotButton="0" quotePrefix="0" xfId="0"/>
    <xf numFmtId="43" fontId="7" fillId="0" borderId="0" applyAlignment="1" pivotButton="0" quotePrefix="0" xfId="0">
      <alignment horizontal="center"/>
    </xf>
    <xf numFmtId="0" fontId="22" fillId="0" borderId="0" pivotButton="0" quotePrefix="0" xfId="0"/>
    <xf numFmtId="0" fontId="26" fillId="0" borderId="0" applyAlignment="1" pivotButton="0" quotePrefix="0" xfId="0">
      <alignment horizontal="center"/>
    </xf>
    <xf numFmtId="1" fontId="24" fillId="7" borderId="1" applyAlignment="1" pivotButton="0" quotePrefix="0" xfId="0">
      <alignment horizontal="center" wrapText="1"/>
    </xf>
    <xf numFmtId="1" fontId="9" fillId="0" borderId="0" pivotButton="0" quotePrefix="0" xfId="0"/>
    <xf numFmtId="0" fontId="4" fillId="7" borderId="0" pivotButton="0" quotePrefix="0" xfId="0"/>
    <xf numFmtId="0" fontId="4" fillId="7" borderId="0" applyAlignment="1" pivotButton="0" quotePrefix="0" xfId="0">
      <alignment horizontal="center" wrapText="1"/>
    </xf>
    <xf numFmtId="1" fontId="4" fillId="7" borderId="0" applyAlignment="1" pivotButton="0" quotePrefix="0" xfId="0">
      <alignment horizontal="center"/>
    </xf>
    <xf numFmtId="165" fontId="4" fillId="7" borderId="0" applyAlignment="1" pivotButton="0" quotePrefix="0" xfId="1">
      <alignment horizontal="center"/>
    </xf>
    <xf numFmtId="0" fontId="11" fillId="7" borderId="0" pivotButton="0" quotePrefix="0" xfId="300"/>
    <xf numFmtId="0" fontId="4" fillId="8" borderId="0" pivotButton="0" quotePrefix="0" xfId="0"/>
    <xf numFmtId="0" fontId="4" fillId="8" borderId="0" applyAlignment="1" pivotButton="0" quotePrefix="0" xfId="0">
      <alignment horizontal="center" wrapText="1"/>
    </xf>
    <xf numFmtId="1" fontId="4" fillId="8" borderId="0" applyAlignment="1" pivotButton="0" quotePrefix="0" xfId="0">
      <alignment horizontal="center"/>
    </xf>
    <xf numFmtId="165" fontId="4" fillId="8" borderId="0" applyAlignment="1" pivotButton="0" quotePrefix="0" xfId="1">
      <alignment horizontal="center"/>
    </xf>
    <xf numFmtId="164" fontId="4" fillId="8" borderId="0" pivotButton="0" quotePrefix="0" xfId="1"/>
    <xf numFmtId="165" fontId="5" fillId="8" borderId="0" pivotButton="0" quotePrefix="0" xfId="0"/>
    <xf numFmtId="165" fontId="4" fillId="8" borderId="0" pivotButton="0" quotePrefix="0" xfId="1"/>
    <xf numFmtId="0" fontId="4" fillId="8" borderId="0" applyAlignment="1" pivotButton="0" quotePrefix="0" xfId="0">
      <alignment horizontal="center"/>
    </xf>
    <xf numFmtId="167" fontId="6" fillId="8" borderId="0" applyAlignment="1" pivotButton="0" quotePrefix="0" xfId="0">
      <alignment horizontal="center" wrapText="1"/>
    </xf>
    <xf numFmtId="0" fontId="8" fillId="8" borderId="0" applyAlignment="1" pivotButton="0" quotePrefix="0" xfId="0">
      <alignment horizontal="center" vertical="center" wrapText="1"/>
    </xf>
    <xf numFmtId="169" fontId="4" fillId="8" borderId="0" applyAlignment="1" pivotButton="0" quotePrefix="0" xfId="1">
      <alignment horizontal="center"/>
    </xf>
    <xf numFmtId="166" fontId="4" fillId="8" borderId="0" applyAlignment="1" pivotButton="0" quotePrefix="0" xfId="0">
      <alignment horizontal="center"/>
    </xf>
    <xf numFmtId="169" fontId="4" fillId="0" borderId="0" applyAlignment="1" pivotButton="0" quotePrefix="0" xfId="1">
      <alignment horizontal="center"/>
    </xf>
    <xf numFmtId="0" fontId="29" fillId="0" borderId="0" applyAlignment="1" pivotButton="0" quotePrefix="0" xfId="0">
      <alignment horizontal="center" vertical="center" wrapText="1"/>
    </xf>
    <xf numFmtId="0" fontId="4" fillId="0" borderId="1" pivotButton="0" quotePrefix="0" xfId="0"/>
    <xf numFmtId="2" fontId="4" fillId="0" borderId="1" pivotButton="0" quotePrefix="0" xfId="0"/>
    <xf numFmtId="43" fontId="4" fillId="0" borderId="1" applyAlignment="1" pivotButton="0" quotePrefix="0" xfId="0">
      <alignment horizontal="center"/>
    </xf>
    <xf numFmtId="0" fontId="4" fillId="7" borderId="1" applyAlignment="1" pivotButton="0" quotePrefix="0" xfId="0">
      <alignment horizontal="center"/>
    </xf>
    <xf numFmtId="0" fontId="4" fillId="7" borderId="1" pivotButton="0" quotePrefix="0" xfId="0"/>
    <xf numFmtId="169" fontId="4" fillId="0" borderId="0" pivotButton="0" quotePrefix="0" xfId="0"/>
    <xf numFmtId="165" fontId="10" fillId="0" borderId="0" pivotButton="0" quotePrefix="0" xfId="0"/>
    <xf numFmtId="165" fontId="10" fillId="8" borderId="0" pivotButton="0" quotePrefix="0" xfId="1"/>
    <xf numFmtId="0" fontId="7" fillId="8" borderId="0" applyAlignment="1" pivotButton="0" quotePrefix="0" xfId="0">
      <alignment horizontal="center"/>
    </xf>
    <xf numFmtId="0" fontId="10" fillId="8" borderId="0" applyAlignment="1" pivotButton="0" quotePrefix="0" xfId="0">
      <alignment wrapText="1"/>
    </xf>
    <xf numFmtId="0" fontId="10" fillId="8" borderId="0" pivotButton="0" quotePrefix="0" xfId="0"/>
    <xf numFmtId="165" fontId="10" fillId="7" borderId="0" pivotButton="0" quotePrefix="0" xfId="1"/>
    <xf numFmtId="0" fontId="10" fillId="7" borderId="0" applyAlignment="1" pivotButton="0" quotePrefix="0" xfId="0">
      <alignment wrapText="1"/>
    </xf>
    <xf numFmtId="0" fontId="10" fillId="7" borderId="0" pivotButton="0" quotePrefix="0" xfId="0"/>
    <xf numFmtId="0" fontId="5" fillId="8" borderId="0" pivotButton="0" quotePrefix="0" xfId="0"/>
    <xf numFmtId="14" fontId="5" fillId="8" borderId="0" pivotButton="0" quotePrefix="0" xfId="0"/>
    <xf numFmtId="0" fontId="30" fillId="0" borderId="0" pivotButton="0" quotePrefix="0" xfId="0"/>
    <xf numFmtId="0" fontId="31" fillId="0" borderId="0" pivotButton="0" quotePrefix="0" xfId="0"/>
    <xf numFmtId="2" fontId="4" fillId="7" borderId="0" pivotButton="0" quotePrefix="0" xfId="0"/>
    <xf numFmtId="14" fontId="4" fillId="7" borderId="0" pivotButton="0" quotePrefix="0" xfId="0"/>
    <xf numFmtId="2" fontId="9" fillId="7" borderId="0" pivotButton="0" quotePrefix="0" xfId="0"/>
    <xf numFmtId="2" fontId="4" fillId="8" borderId="0" pivotButton="0" quotePrefix="0" xfId="0"/>
    <xf numFmtId="2" fontId="5" fillId="8" borderId="0" applyAlignment="1" pivotButton="0" quotePrefix="0" xfId="0">
      <alignment horizontal="center"/>
    </xf>
    <xf numFmtId="2" fontId="4" fillId="8" borderId="0" applyAlignment="1" pivotButton="0" quotePrefix="0" xfId="0">
      <alignment horizontal="center"/>
    </xf>
    <xf numFmtId="2" fontId="6" fillId="8" borderId="0" applyAlignment="1" pivotButton="0" quotePrefix="0" xfId="0">
      <alignment horizontal="center"/>
    </xf>
    <xf numFmtId="2" fontId="5" fillId="8" borderId="0" applyAlignment="1" pivotButton="0" quotePrefix="0" xfId="0">
      <alignment horizontal="center" wrapText="1"/>
    </xf>
    <xf numFmtId="14" fontId="4" fillId="8" borderId="0" pivotButton="0" quotePrefix="0" xfId="0"/>
    <xf numFmtId="2" fontId="9" fillId="8" borderId="0" pivotButton="0" quotePrefix="0" xfId="0"/>
    <xf numFmtId="0" fontId="5" fillId="0" borderId="0" applyAlignment="1" pivotButton="0" quotePrefix="0" xfId="0">
      <alignment horizontal="left" vertical="center"/>
    </xf>
    <xf numFmtId="0" fontId="32" fillId="0" borderId="0" pivotButton="0" quotePrefix="0" xfId="0"/>
    <xf numFmtId="0" fontId="32" fillId="9" borderId="0" pivotButton="0" quotePrefix="0" xfId="0"/>
    <xf numFmtId="0" fontId="33" fillId="0" borderId="0" pivotButton="0" quotePrefix="0" xfId="0"/>
    <xf numFmtId="164" fontId="33" fillId="0" borderId="0" pivotButton="0" quotePrefix="0" xfId="0"/>
    <xf numFmtId="0" fontId="34" fillId="0" borderId="0" applyAlignment="1" pivotButton="0" quotePrefix="0" xfId="0">
      <alignment vertical="center"/>
    </xf>
    <xf numFmtId="0" fontId="34" fillId="0" borderId="0" applyAlignment="1" pivotButton="0" quotePrefix="0" xfId="0">
      <alignment horizontal="left" vertical="center" indent="1"/>
    </xf>
    <xf numFmtId="165" fontId="33" fillId="0" borderId="0" pivotButton="0" quotePrefix="0" xfId="0"/>
    <xf numFmtId="13" fontId="33" fillId="0" borderId="0" pivotButton="0" quotePrefix="0" xfId="0"/>
    <xf numFmtId="164" fontId="32" fillId="0" borderId="0" pivotButton="0" quotePrefix="0" xfId="0"/>
    <xf numFmtId="165" fontId="32" fillId="0" borderId="0" pivotButton="0" quotePrefix="0" xfId="0"/>
    <xf numFmtId="14" fontId="33" fillId="0" borderId="1" pivotButton="0" quotePrefix="0" xfId="0"/>
    <xf numFmtId="0" fontId="32" fillId="7" borderId="1" pivotButton="0" quotePrefix="0" xfId="0"/>
    <xf numFmtId="164" fontId="33" fillId="0" borderId="1" pivotButton="0" quotePrefix="0" xfId="0"/>
    <xf numFmtId="1" fontId="5" fillId="0" borderId="0" pivotButton="0" quotePrefix="0" xfId="1"/>
    <xf numFmtId="43" fontId="35" fillId="0" borderId="0" applyAlignment="1" pivotButton="0" quotePrefix="0" xfId="0">
      <alignment horizontal="center" vertical="center"/>
    </xf>
    <xf numFmtId="0" fontId="35" fillId="0" borderId="0" applyAlignment="1" pivotButton="0" quotePrefix="0" xfId="0">
      <alignment horizontal="center" vertical="center"/>
    </xf>
    <xf numFmtId="0" fontId="35" fillId="7" borderId="0" applyAlignment="1" pivotButton="0" quotePrefix="0" xfId="0">
      <alignment horizontal="center" vertical="center"/>
    </xf>
    <xf numFmtId="0" fontId="27" fillId="7" borderId="1" applyAlignment="1" pivotButton="0" quotePrefix="0" xfId="0">
      <alignment horizontal="center" vertical="center"/>
    </xf>
    <xf numFmtId="1" fontId="27" fillId="0" borderId="1" applyAlignment="1" pivotButton="0" quotePrefix="0" xfId="0">
      <alignment vertical="center"/>
    </xf>
    <xf numFmtId="0" fontId="36" fillId="0" borderId="0" pivotButton="0" quotePrefix="0" xfId="0"/>
    <xf numFmtId="0" fontId="0" fillId="0" borderId="0" applyAlignment="1" pivotButton="0" quotePrefix="0" xfId="0">
      <alignment horizontal="center"/>
    </xf>
    <xf numFmtId="0" fontId="2" fillId="0" borderId="0" pivotButton="0" quotePrefix="0" xfId="0"/>
    <xf numFmtId="10" fontId="0" fillId="0" borderId="0" applyAlignment="1" pivotButton="0" quotePrefix="0" xfId="2">
      <alignment horizontal="center"/>
    </xf>
    <xf numFmtId="14" fontId="22" fillId="0" borderId="0" applyAlignment="1" pivotButton="0" quotePrefix="0" xfId="0">
      <alignment horizontal="center" wrapText="1"/>
    </xf>
    <xf numFmtId="14" fontId="22" fillId="0" borderId="0" applyAlignment="1" pivotButton="0" quotePrefix="0" xfId="0">
      <alignment horizontal="left" wrapText="1"/>
    </xf>
    <xf numFmtId="0" fontId="36" fillId="0" borderId="0" applyAlignment="1" pivotButton="0" quotePrefix="0" xfId="0">
      <alignment horizontal="center"/>
    </xf>
    <xf numFmtId="0" fontId="26" fillId="0" borderId="0" applyAlignment="1" pivotButton="0" quotePrefix="0" xfId="167">
      <alignment vertical="top"/>
    </xf>
    <xf numFmtId="0" fontId="25" fillId="0" borderId="0" applyAlignment="1" pivotButton="0" quotePrefix="0" xfId="167">
      <alignment horizontal="center" vertical="center"/>
    </xf>
    <xf numFmtId="3" fontId="26" fillId="0" borderId="0" applyAlignment="1" pivotButton="0" quotePrefix="0" xfId="167">
      <alignment horizontal="center" vertical="center"/>
    </xf>
    <xf numFmtId="3" fontId="26" fillId="0" borderId="0" applyAlignment="1" pivotButton="0" quotePrefix="0" xfId="167">
      <alignment horizontal="center"/>
    </xf>
    <xf numFmtId="10" fontId="0" fillId="0" borderId="0" pivotButton="0" quotePrefix="0" xfId="2"/>
    <xf numFmtId="3" fontId="26" fillId="10" borderId="0" applyAlignment="1" pivotButton="0" quotePrefix="0" xfId="167">
      <alignment horizontal="center" vertical="center"/>
    </xf>
    <xf numFmtId="0" fontId="26" fillId="0" borderId="0" applyAlignment="1" pivotButton="0" quotePrefix="0" xfId="167">
      <alignment vertical="top" wrapText="1"/>
    </xf>
    <xf numFmtId="3" fontId="26" fillId="11" borderId="0" applyAlignment="1" pivotButton="0" quotePrefix="0" xfId="167">
      <alignment horizontal="center" vertical="center"/>
    </xf>
    <xf numFmtId="0" fontId="26" fillId="0" borderId="0" pivotButton="0" quotePrefix="0" xfId="0"/>
    <xf numFmtId="0" fontId="5" fillId="11" borderId="7" applyAlignment="1" pivotButton="0" quotePrefix="0" xfId="0">
      <alignment horizontal="center" vertical="center"/>
    </xf>
    <xf numFmtId="0" fontId="5" fillId="11" borderId="4" applyAlignment="1" pivotButton="0" quotePrefix="0" xfId="0">
      <alignment horizontal="center" vertical="center"/>
    </xf>
    <xf numFmtId="10" fontId="4" fillId="0" borderId="2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5" fillId="11" borderId="4" applyAlignment="1" pivotButton="0" quotePrefix="0" xfId="0">
      <alignment horizontal="center"/>
    </xf>
    <xf numFmtId="0" fontId="4" fillId="0" borderId="2" applyAlignment="1" pivotButton="0" quotePrefix="0" xfId="0">
      <alignment horizontal="center" vertical="center"/>
    </xf>
    <xf numFmtId="0" fontId="5" fillId="11" borderId="6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165" fontId="0" fillId="0" borderId="0" pivotButton="0" quotePrefix="0" xfId="1"/>
    <xf numFmtId="10" fontId="0" fillId="0" borderId="0" pivotButton="0" quotePrefix="0" xfId="2"/>
    <xf numFmtId="165" fontId="0" fillId="0" borderId="0" pivotButton="0" quotePrefix="0" xfId="2"/>
    <xf numFmtId="169" fontId="0" fillId="0" borderId="0" pivotButton="0" quotePrefix="0" xfId="1"/>
    <xf numFmtId="170" fontId="0" fillId="0" borderId="0" pivotButton="0" quotePrefix="0" xfId="1"/>
    <xf numFmtId="1" fontId="0" fillId="0" borderId="0" pivotButton="0" quotePrefix="0" xfId="1"/>
    <xf numFmtId="14" fontId="0" fillId="0" borderId="0" pivotButton="0" quotePrefix="0" xfId="1"/>
    <xf numFmtId="171" fontId="0" fillId="0" borderId="0" pivotButton="0" quotePrefix="0" xfId="1"/>
    <xf numFmtId="165" fontId="5" fillId="7" borderId="1" applyAlignment="1" pivotButton="0" quotePrefix="0" xfId="1">
      <alignment horizontal="center"/>
    </xf>
    <xf numFmtId="0" fontId="4" fillId="0" borderId="1" applyAlignment="1" pivotButton="0" quotePrefix="0" xfId="0">
      <alignment horizontal="center"/>
    </xf>
    <xf numFmtId="14" fontId="4" fillId="0" borderId="1" applyAlignment="1" pivotButton="0" quotePrefix="0" xfId="0">
      <alignment horizontal="center"/>
    </xf>
    <xf numFmtId="0" fontId="10" fillId="11" borderId="7" applyAlignment="1" pivotButton="0" quotePrefix="0" xfId="0">
      <alignment vertical="center"/>
    </xf>
    <xf numFmtId="0" fontId="10" fillId="15" borderId="7" applyAlignment="1" pivotButton="0" quotePrefix="0" xfId="0">
      <alignment horizontal="left" vertical="center"/>
    </xf>
    <xf numFmtId="0" fontId="10" fillId="11" borderId="4" applyAlignment="1" pivotButton="0" quotePrefix="0" xfId="0">
      <alignment vertical="center"/>
    </xf>
    <xf numFmtId="0" fontId="10" fillId="15" borderId="4" applyAlignment="1" pivotButton="0" quotePrefix="0" xfId="0">
      <alignment horizontal="left" vertical="center"/>
    </xf>
    <xf numFmtId="0" fontId="10" fillId="11" borderId="6" applyAlignment="1" pivotButton="0" quotePrefix="0" xfId="0">
      <alignment vertical="center"/>
    </xf>
    <xf numFmtId="0" fontId="10" fillId="15" borderId="6" applyAlignment="1" pivotButton="0" quotePrefix="0" xfId="0">
      <alignment horizontal="left" vertical="center"/>
    </xf>
    <xf numFmtId="1" fontId="4" fillId="7" borderId="0" pivotButton="0" quotePrefix="0" xfId="0"/>
    <xf numFmtId="0" fontId="3" fillId="0" borderId="0" pivotButton="0" quotePrefix="0" xfId="302"/>
    <xf numFmtId="14" fontId="3" fillId="0" borderId="0" pivotButton="0" quotePrefix="0" xfId="302"/>
    <xf numFmtId="9" fontId="0" fillId="0" borderId="0" pivotButton="0" quotePrefix="0" xfId="2"/>
    <xf numFmtId="0" fontId="5" fillId="0" borderId="0" applyAlignment="1" pivotButton="0" quotePrefix="0" xfId="302">
      <alignment horizontal="center"/>
    </xf>
    <xf numFmtId="172" fontId="5" fillId="0" borderId="13" applyAlignment="1" pivotButton="0" quotePrefix="0" xfId="302">
      <alignment horizontal="center"/>
    </xf>
    <xf numFmtId="172" fontId="5" fillId="0" borderId="5" applyAlignment="1" pivotButton="0" quotePrefix="0" xfId="302">
      <alignment horizontal="center"/>
    </xf>
    <xf numFmtId="0" fontId="5" fillId="0" borderId="13" applyAlignment="1" pivotButton="0" quotePrefix="0" xfId="302">
      <alignment horizontal="center"/>
    </xf>
    <xf numFmtId="0" fontId="5" fillId="0" borderId="5" applyAlignment="1" pivotButton="0" quotePrefix="0" xfId="302">
      <alignment horizontal="center"/>
    </xf>
    <xf numFmtId="0" fontId="5" fillId="0" borderId="14" applyAlignment="1" pivotButton="0" quotePrefix="0" xfId="302">
      <alignment horizontal="center"/>
    </xf>
    <xf numFmtId="0" fontId="4" fillId="17" borderId="15" applyAlignment="1" pivotButton="0" quotePrefix="0" xfId="302">
      <alignment horizontal="left"/>
    </xf>
    <xf numFmtId="0" fontId="4" fillId="0" borderId="15" applyAlignment="1" pivotButton="0" quotePrefix="0" xfId="302">
      <alignment horizontal="left"/>
    </xf>
    <xf numFmtId="172" fontId="5" fillId="0" borderId="15" applyAlignment="1" pivotButton="0" quotePrefix="0" xfId="302">
      <alignment horizontal="center"/>
    </xf>
    <xf numFmtId="172" fontId="5" fillId="0" borderId="0" applyAlignment="1" pivotButton="0" quotePrefix="0" xfId="302">
      <alignment horizontal="center"/>
    </xf>
    <xf numFmtId="172" fontId="5" fillId="0" borderId="16" applyAlignment="1" pivotButton="0" quotePrefix="0" xfId="302">
      <alignment horizontal="center"/>
    </xf>
    <xf numFmtId="0" fontId="5" fillId="0" borderId="15" applyAlignment="1" pivotButton="0" quotePrefix="0" xfId="302">
      <alignment horizontal="center"/>
    </xf>
    <xf numFmtId="0" fontId="5" fillId="0" borderId="16" applyAlignment="1" pivotButton="0" quotePrefix="0" xfId="302">
      <alignment horizontal="center"/>
    </xf>
    <xf numFmtId="0" fontId="5" fillId="0" borderId="10" applyAlignment="1" pivotButton="0" quotePrefix="0" xfId="302">
      <alignment horizontal="center"/>
    </xf>
    <xf numFmtId="173" fontId="40" fillId="0" borderId="10" applyAlignment="1" pivotButton="0" quotePrefix="0" xfId="302">
      <alignment horizontal="center"/>
    </xf>
    <xf numFmtId="173" fontId="40" fillId="0" borderId="11" applyAlignment="1" pivotButton="0" quotePrefix="0" xfId="302">
      <alignment horizontal="center"/>
    </xf>
    <xf numFmtId="173" fontId="40" fillId="0" borderId="12" applyAlignment="1" pivotButton="0" quotePrefix="0" xfId="302">
      <alignment horizontal="center"/>
    </xf>
    <xf numFmtId="173" fontId="40" fillId="0" borderId="15" applyAlignment="1" pivotButton="0" quotePrefix="0" xfId="302">
      <alignment horizontal="center"/>
    </xf>
    <xf numFmtId="173" fontId="40" fillId="0" borderId="0" applyAlignment="1" pivotButton="0" quotePrefix="0" xfId="302">
      <alignment horizontal="center"/>
    </xf>
    <xf numFmtId="173" fontId="40" fillId="0" borderId="16" applyAlignment="1" pivotButton="0" quotePrefix="0" xfId="302">
      <alignment horizontal="center"/>
    </xf>
    <xf numFmtId="173" fontId="40" fillId="0" borderId="13" applyAlignment="1" pivotButton="0" quotePrefix="0" xfId="302">
      <alignment horizontal="center"/>
    </xf>
    <xf numFmtId="173" fontId="40" fillId="0" borderId="5" applyAlignment="1" pivotButton="0" quotePrefix="0" xfId="302">
      <alignment horizontal="center"/>
    </xf>
    <xf numFmtId="173" fontId="40" fillId="0" borderId="14" applyAlignment="1" pivotButton="0" quotePrefix="0" xfId="302">
      <alignment horizontal="center"/>
    </xf>
    <xf numFmtId="14" fontId="42" fillId="0" borderId="0" pivotButton="0" quotePrefix="0" xfId="0"/>
    <xf numFmtId="0" fontId="4" fillId="15" borderId="0" applyAlignment="1" pivotButton="0" quotePrefix="0" xfId="0">
      <alignment horizontal="center"/>
    </xf>
    <xf numFmtId="173" fontId="4" fillId="15" borderId="0" applyAlignment="1" pivotButton="0" quotePrefix="0" xfId="303">
      <alignment horizontal="center"/>
    </xf>
    <xf numFmtId="0" fontId="4" fillId="15" borderId="16" applyAlignment="1" pivotButton="0" quotePrefix="0" xfId="0">
      <alignment horizontal="center"/>
    </xf>
    <xf numFmtId="174" fontId="4" fillId="15" borderId="15" applyAlignment="1" pivotButton="0" quotePrefix="0" xfId="0">
      <alignment horizontal="center"/>
    </xf>
    <xf numFmtId="0" fontId="4" fillId="15" borderId="16" applyAlignment="1" pivotButton="0" quotePrefix="0" xfId="0">
      <alignment horizontal="left"/>
    </xf>
    <xf numFmtId="0" fontId="4" fillId="15" borderId="14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5" fillId="0" borderId="0" applyAlignment="1" pivotButton="0" quotePrefix="0" xfId="0">
      <alignment horizontal="left"/>
    </xf>
    <xf numFmtId="174" fontId="4" fillId="15" borderId="0" applyAlignment="1" pivotButton="0" quotePrefix="0" xfId="0">
      <alignment horizontal="center"/>
    </xf>
    <xf numFmtId="0" fontId="4" fillId="15" borderId="0" applyAlignment="1" pivotButton="0" quotePrefix="0" xfId="0">
      <alignment horizontal="left"/>
    </xf>
    <xf numFmtId="0" fontId="27" fillId="0" borderId="0" pivotButton="0" quotePrefix="0" xfId="0"/>
    <xf numFmtId="0" fontId="5" fillId="12" borderId="1" pivotButton="0" quotePrefix="0" xfId="0"/>
    <xf numFmtId="0" fontId="4" fillId="13" borderId="1" applyAlignment="1" pivotButton="0" quotePrefix="0" xfId="1">
      <alignment horizontal="center" vertical="center"/>
    </xf>
    <xf numFmtId="0" fontId="5" fillId="13" borderId="1" applyAlignment="1" pivotButton="0" quotePrefix="0" xfId="0">
      <alignment horizontal="center"/>
    </xf>
    <xf numFmtId="0" fontId="5" fillId="10" borderId="1" pivotButton="0" quotePrefix="0" xfId="0"/>
    <xf numFmtId="9" fontId="4" fillId="13" borderId="1" applyAlignment="1" pivotButton="0" quotePrefix="0" xfId="2">
      <alignment horizontal="center" vertical="center"/>
    </xf>
    <xf numFmtId="0" fontId="5" fillId="0" borderId="1" pivotButton="0" quotePrefix="0" xfId="0"/>
    <xf numFmtId="0" fontId="5" fillId="0" borderId="1" applyAlignment="1" pivotButton="0" quotePrefix="0" xfId="0">
      <alignment horizontal="center"/>
    </xf>
    <xf numFmtId="9" fontId="4" fillId="0" borderId="1" applyAlignment="1" pivotButton="0" quotePrefix="0" xfId="2">
      <alignment horizontal="center"/>
    </xf>
    <xf numFmtId="1" fontId="4" fillId="0" borderId="1" applyAlignment="1" pivotButton="0" quotePrefix="0" xfId="1">
      <alignment horizontal="center"/>
    </xf>
    <xf numFmtId="0" fontId="4" fillId="0" borderId="1" applyAlignment="1" pivotButton="0" quotePrefix="0" xfId="1">
      <alignment horizontal="center" vertical="center"/>
    </xf>
    <xf numFmtId="0" fontId="5" fillId="14" borderId="1" pivotButton="0" quotePrefix="0" xfId="0"/>
    <xf numFmtId="0" fontId="5" fillId="14" borderId="1" applyAlignment="1" pivotButton="0" quotePrefix="0" xfId="0">
      <alignment horizontal="center"/>
    </xf>
    <xf numFmtId="10" fontId="4" fillId="0" borderId="1" applyAlignment="1" pivotButton="0" quotePrefix="0" xfId="2">
      <alignment horizontal="center"/>
    </xf>
    <xf numFmtId="0" fontId="43" fillId="5" borderId="2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 vertical="center" wrapText="1"/>
    </xf>
    <xf numFmtId="14" fontId="4" fillId="0" borderId="3" applyAlignment="1" pivotButton="0" quotePrefix="0" xfId="0">
      <alignment horizontal="center" vertical="center" wrapText="1"/>
    </xf>
    <xf numFmtId="14" fontId="4" fillId="0" borderId="4" applyAlignment="1" pivotButton="0" quotePrefix="0" xfId="0">
      <alignment horizontal="center" vertical="center" wrapText="1"/>
    </xf>
    <xf numFmtId="0" fontId="43" fillId="5" borderId="4" applyAlignment="1" pivotButton="0" quotePrefix="0" xfId="0">
      <alignment horizontal="center" vertical="center" wrapText="1"/>
    </xf>
    <xf numFmtId="0" fontId="44" fillId="0" borderId="6" applyAlignment="1" pivotButton="0" quotePrefix="0" xfId="0">
      <alignment horizontal="center" vertical="center" wrapText="1"/>
    </xf>
    <xf numFmtId="0" fontId="45" fillId="0" borderId="1" applyAlignment="1" pivotButton="0" quotePrefix="0" xfId="0">
      <alignment horizontal="left"/>
    </xf>
    <xf numFmtId="0" fontId="43" fillId="5" borderId="8" applyAlignment="1" pivotButton="0" quotePrefix="0" xfId="0">
      <alignment horizontal="center" vertical="center"/>
    </xf>
    <xf numFmtId="0" fontId="43" fillId="5" borderId="3" applyAlignment="1" pivotButton="0" quotePrefix="0" xfId="0">
      <alignment horizontal="center" vertical="center"/>
    </xf>
    <xf numFmtId="175" fontId="44" fillId="0" borderId="4" applyAlignment="1" pivotButton="0" quotePrefix="0" xfId="0">
      <alignment horizontal="center" vertical="center"/>
    </xf>
    <xf numFmtId="0" fontId="43" fillId="0" borderId="0" applyAlignment="1" pivotButton="0" quotePrefix="0" xfId="0">
      <alignment vertical="center"/>
    </xf>
    <xf numFmtId="0" fontId="5" fillId="5" borderId="4" applyAlignment="1" pivotButton="0" quotePrefix="0" xfId="0">
      <alignment horizontal="center" vertical="center" wrapText="1"/>
    </xf>
    <xf numFmtId="0" fontId="45" fillId="0" borderId="6" applyAlignment="1" pivotButton="0" quotePrefix="0" xfId="0">
      <alignment horizontal="center" vertical="center" wrapText="1"/>
    </xf>
    <xf numFmtId="14" fontId="45" fillId="0" borderId="3" applyAlignment="1" pivotButton="0" quotePrefix="0" xfId="0">
      <alignment horizontal="center" vertical="center" wrapText="1"/>
    </xf>
    <xf numFmtId="2" fontId="23" fillId="0" borderId="1" applyAlignment="1" pivotButton="0" quotePrefix="0" xfId="0">
      <alignment horizontal="center"/>
    </xf>
    <xf numFmtId="0" fontId="46" fillId="8" borderId="1" pivotButton="0" quotePrefix="0" xfId="0"/>
    <xf numFmtId="1" fontId="24" fillId="7" borderId="1" applyAlignment="1" pivotButton="0" quotePrefix="0" xfId="0">
      <alignment wrapText="1"/>
    </xf>
    <xf numFmtId="1" fontId="47" fillId="0" borderId="1" applyAlignment="1" pivotButton="0" quotePrefix="0" xfId="0">
      <alignment horizontal="center"/>
    </xf>
    <xf numFmtId="174" fontId="45" fillId="15" borderId="15" applyAlignment="1" pivotButton="0" quotePrefix="0" xfId="0">
      <alignment horizontal="center"/>
    </xf>
    <xf numFmtId="173" fontId="45" fillId="15" borderId="0" applyAlignment="1" pivotButton="0" quotePrefix="0" xfId="303">
      <alignment horizontal="center"/>
    </xf>
    <xf numFmtId="0" fontId="45" fillId="15" borderId="0" applyAlignment="1" pivotButton="0" quotePrefix="0" xfId="0">
      <alignment horizontal="center"/>
    </xf>
    <xf numFmtId="0" fontId="45" fillId="15" borderId="16" applyAlignment="1" pivotButton="0" quotePrefix="0" xfId="0">
      <alignment horizontal="center"/>
    </xf>
    <xf numFmtId="2" fontId="48" fillId="0" borderId="0" pivotButton="0" quotePrefix="0" xfId="0"/>
    <xf numFmtId="2" fontId="49" fillId="0" borderId="0" pivotButton="0" quotePrefix="0" xfId="0"/>
    <xf numFmtId="2" fontId="4" fillId="0" borderId="5" pivotButton="0" quotePrefix="0" xfId="0"/>
    <xf numFmtId="0" fontId="4" fillId="0" borderId="5" pivotButton="0" quotePrefix="0" xfId="0"/>
    <xf numFmtId="164" fontId="5" fillId="0" borderId="5" pivotButton="0" quotePrefix="0" xfId="1"/>
    <xf numFmtId="1" fontId="5" fillId="0" borderId="5" pivotButton="0" quotePrefix="0" xfId="1"/>
    <xf numFmtId="14" fontId="5" fillId="0" borderId="5" pivotButton="0" quotePrefix="0" xfId="0"/>
    <xf numFmtId="1" fontId="5" fillId="0" borderId="5" applyAlignment="1" pivotButton="0" quotePrefix="0" xfId="0">
      <alignment horizontal="center"/>
    </xf>
    <xf numFmtId="1" fontId="4" fillId="0" borderId="5" pivotButton="0" quotePrefix="0" xfId="0"/>
    <xf numFmtId="2" fontId="49" fillId="0" borderId="5" pivotButton="0" quotePrefix="0" xfId="0"/>
    <xf numFmtId="165" fontId="4" fillId="0" borderId="5" pivotButton="0" quotePrefix="0" xfId="1"/>
    <xf numFmtId="14" fontId="4" fillId="0" borderId="5" pivotButton="0" quotePrefix="0" xfId="0"/>
    <xf numFmtId="14" fontId="4" fillId="7" borderId="5" pivotButton="0" quotePrefix="0" xfId="0"/>
    <xf numFmtId="14" fontId="4" fillId="8" borderId="5" pivotButton="0" quotePrefix="0" xfId="0"/>
    <xf numFmtId="165" fontId="4" fillId="0" borderId="5" applyAlignment="1" pivotButton="0" quotePrefix="0" xfId="1">
      <alignment horizontal="center"/>
    </xf>
    <xf numFmtId="1" fontId="4" fillId="0" borderId="5" applyAlignment="1" pivotButton="0" quotePrefix="0" xfId="0">
      <alignment horizontal="center"/>
    </xf>
    <xf numFmtId="165" fontId="4" fillId="7" borderId="5" applyAlignment="1" pivotButton="0" quotePrefix="0" xfId="1">
      <alignment horizontal="center"/>
    </xf>
    <xf numFmtId="165" fontId="4" fillId="8" borderId="5" applyAlignment="1" pivotButton="0" quotePrefix="0" xfId="1">
      <alignment horizontal="center"/>
    </xf>
    <xf numFmtId="165" fontId="4" fillId="8" borderId="5" pivotButton="0" quotePrefix="0" xfId="1"/>
    <xf numFmtId="169" fontId="4" fillId="0" borderId="5" applyAlignment="1" pivotButton="0" quotePrefix="0" xfId="1">
      <alignment horizontal="center"/>
    </xf>
    <xf numFmtId="165" fontId="4" fillId="2" borderId="5" pivotButton="0" quotePrefix="0" xfId="1"/>
    <xf numFmtId="169" fontId="4" fillId="8" borderId="5" applyAlignment="1" pivotButton="0" quotePrefix="0" xfId="1">
      <alignment horizontal="center"/>
    </xf>
    <xf numFmtId="169" fontId="4" fillId="0" borderId="5" applyAlignment="1" pivotButton="0" quotePrefix="0" xfId="1">
      <alignment horizontal="center"/>
    </xf>
    <xf numFmtId="43" fontId="10" fillId="0" borderId="5" pivotButton="0" quotePrefix="0" xfId="0"/>
    <xf numFmtId="0" fontId="10" fillId="8" borderId="5" pivotButton="0" quotePrefix="0" xfId="0"/>
    <xf numFmtId="165" fontId="10" fillId="0" borderId="5" pivotButton="0" quotePrefix="0" xfId="0"/>
    <xf numFmtId="0" fontId="10" fillId="7" borderId="5" pivotButton="0" quotePrefix="0" xfId="0"/>
    <xf numFmtId="14" fontId="49" fillId="0" borderId="0" pivotButton="0" quotePrefix="0" xfId="0"/>
    <xf numFmtId="14" fontId="49" fillId="0" borderId="5" pivotButton="0" quotePrefix="0" xfId="0"/>
    <xf numFmtId="1" fontId="49" fillId="0" borderId="0" applyAlignment="1" pivotButton="0" quotePrefix="0" xfId="0">
      <alignment horizontal="center"/>
    </xf>
    <xf numFmtId="14" fontId="48" fillId="0" borderId="0" pivotButton="0" quotePrefix="0" xfId="0"/>
    <xf numFmtId="1" fontId="49" fillId="0" borderId="5" applyAlignment="1" pivotButton="0" quotePrefix="0" xfId="0">
      <alignment horizontal="center"/>
    </xf>
    <xf numFmtId="1" fontId="48" fillId="0" borderId="0" pivotButton="0" quotePrefix="0" xfId="0"/>
    <xf numFmtId="1" fontId="49" fillId="0" borderId="0" pivotButton="0" quotePrefix="0" xfId="0"/>
    <xf numFmtId="1" fontId="49" fillId="0" borderId="5" pivotButton="0" quotePrefix="0" xfId="0"/>
    <xf numFmtId="175" fontId="50" fillId="0" borderId="4" applyAlignment="1" pivotButton="0" quotePrefix="0" xfId="0">
      <alignment horizontal="center" vertical="center"/>
    </xf>
    <xf numFmtId="175" fontId="51" fillId="0" borderId="4" applyAlignment="1" pivotButton="0" quotePrefix="0" xfId="0">
      <alignment horizontal="center" vertical="center"/>
    </xf>
    <xf numFmtId="10" fontId="4" fillId="0" borderId="4" pivotButton="0" quotePrefix="0" xfId="2"/>
    <xf numFmtId="10" fontId="4" fillId="0" borderId="4" pivotButton="0" quotePrefix="0" xfId="2"/>
    <xf numFmtId="176" fontId="4" fillId="0" borderId="4" pivotButton="0" quotePrefix="0" xfId="2"/>
    <xf numFmtId="9" fontId="4" fillId="0" borderId="4" pivotButton="0" quotePrefix="0" xfId="2"/>
    <xf numFmtId="3" fontId="51" fillId="0" borderId="4" applyAlignment="1" pivotButton="0" quotePrefix="0" xfId="0">
      <alignment horizontal="center" vertical="center"/>
    </xf>
    <xf numFmtId="177" fontId="47" fillId="0" borderId="1" applyAlignment="1" pivotButton="0" quotePrefix="0" xfId="0">
      <alignment horizontal="center"/>
    </xf>
    <xf numFmtId="14" fontId="45" fillId="0" borderId="1" applyAlignment="1" pivotButton="0" quotePrefix="0" xfId="0">
      <alignment horizontal="left"/>
    </xf>
    <xf numFmtId="0" fontId="5" fillId="7" borderId="1" pivotButton="0" quotePrefix="0" xfId="0"/>
    <xf numFmtId="178" fontId="5" fillId="7" borderId="1" pivotButton="0" quotePrefix="0" xfId="301"/>
    <xf numFmtId="14" fontId="5" fillId="7" borderId="1" pivotButton="0" quotePrefix="0" xfId="1"/>
    <xf numFmtId="164" fontId="0" fillId="18" borderId="0" pivotButton="0" quotePrefix="0" xfId="1"/>
    <xf numFmtId="0" fontId="4" fillId="0" borderId="1" applyAlignment="1" pivotButton="0" quotePrefix="0" xfId="0">
      <alignment wrapText="1"/>
    </xf>
    <xf numFmtId="0" fontId="43" fillId="0" borderId="6" applyAlignment="1" pivotButton="0" quotePrefix="0" xfId="0">
      <alignment horizontal="left" vertical="center"/>
    </xf>
    <xf numFmtId="14" fontId="27" fillId="7" borderId="1" pivotButton="0" quotePrefix="0" xfId="0"/>
    <xf numFmtId="14" fontId="23" fillId="0" borderId="1" pivotButton="0" quotePrefix="0" xfId="0"/>
    <xf numFmtId="0" fontId="32" fillId="0" borderId="1" applyAlignment="1" pivotButton="0" quotePrefix="0" xfId="0">
      <alignment horizontal="center"/>
    </xf>
    <xf numFmtId="9" fontId="32" fillId="0" borderId="1" applyAlignment="1" pivotButton="0" quotePrefix="0" xfId="2">
      <alignment horizontal="center"/>
    </xf>
    <xf numFmtId="165" fontId="32" fillId="0" borderId="1" applyAlignment="1" pivotButton="0" quotePrefix="0" xfId="1">
      <alignment horizontal="center"/>
    </xf>
    <xf numFmtId="9" fontId="32" fillId="0" borderId="0" applyAlignment="1" pivotButton="0" quotePrefix="0" xfId="2">
      <alignment horizontal="center"/>
    </xf>
    <xf numFmtId="0" fontId="32" fillId="0" borderId="0" applyAlignment="1" pivotButton="0" quotePrefix="0" xfId="0">
      <alignment horizontal="center"/>
    </xf>
    <xf numFmtId="0" fontId="52" fillId="0" borderId="0" applyAlignment="1" pivotButton="0" quotePrefix="0" xfId="0">
      <alignment horizontal="center"/>
    </xf>
    <xf numFmtId="0" fontId="23" fillId="0" borderId="0" pivotButton="0" quotePrefix="0" xfId="0"/>
    <xf numFmtId="0" fontId="52" fillId="8" borderId="1" applyAlignment="1" pivotButton="0" quotePrefix="0" xfId="0">
      <alignment horizontal="center"/>
    </xf>
    <xf numFmtId="0" fontId="23" fillId="0" borderId="1" pivotButton="0" quotePrefix="0" xfId="0"/>
    <xf numFmtId="176" fontId="4" fillId="0" borderId="1" applyAlignment="1" pivotButton="0" quotePrefix="0" xfId="0">
      <alignment horizontal="center"/>
    </xf>
    <xf numFmtId="0" fontId="4" fillId="0" borderId="0" applyAlignment="1" pivotButton="0" quotePrefix="0" xfId="0">
      <alignment vertical="center"/>
    </xf>
    <xf numFmtId="14" fontId="4" fillId="0" borderId="0" applyAlignment="1" pivotButton="0" quotePrefix="0" xfId="0">
      <alignment horizontal="center"/>
    </xf>
    <xf numFmtId="0" fontId="5" fillId="2" borderId="1" applyAlignment="1" pivotButton="0" quotePrefix="0" xfId="0">
      <alignment horizontal="center" vertical="center" wrapText="1"/>
    </xf>
    <xf numFmtId="2" fontId="5" fillId="15" borderId="17" applyAlignment="1" pivotButton="0" quotePrefix="0" xfId="0">
      <alignment horizontal="center" vertical="center" wrapText="1"/>
    </xf>
    <xf numFmtId="0" fontId="5" fillId="15" borderId="18" applyAlignment="1" pivotButton="0" quotePrefix="0" xfId="0">
      <alignment horizontal="center" vertical="center" wrapText="1"/>
    </xf>
    <xf numFmtId="2" fontId="5" fillId="15" borderId="18" applyAlignment="1" pivotButton="0" quotePrefix="0" xfId="0">
      <alignment horizontal="center" vertical="center" wrapText="1"/>
    </xf>
    <xf numFmtId="2" fontId="5" fillId="15" borderId="19" applyAlignment="1" pivotButton="0" quotePrefix="0" xfId="0">
      <alignment horizontal="center" vertical="center" wrapText="1"/>
    </xf>
    <xf numFmtId="2" fontId="5" fillId="15" borderId="19" applyAlignment="1" pivotButton="0" quotePrefix="0" xfId="0">
      <alignment horizontal="left" vertical="center" wrapText="1"/>
    </xf>
    <xf numFmtId="0" fontId="4" fillId="0" borderId="0" applyAlignment="1" pivotButton="0" quotePrefix="0" xfId="0">
      <alignment vertical="center" wrapText="1"/>
    </xf>
    <xf numFmtId="165" fontId="4" fillId="2" borderId="21" applyAlignment="1" pivotButton="0" quotePrefix="0" xfId="1">
      <alignment horizontal="center" vertical="center"/>
    </xf>
    <xf numFmtId="0" fontId="5" fillId="0" borderId="0" applyAlignment="1" pivotButton="0" quotePrefix="0" xfId="0">
      <alignment horizontal="center" vertical="center"/>
    </xf>
    <xf numFmtId="49" fontId="45" fillId="0" borderId="3" applyAlignment="1" pivotButton="0" quotePrefix="0" xfId="0">
      <alignment horizontal="center" vertical="center" wrapText="1"/>
    </xf>
    <xf numFmtId="14" fontId="4" fillId="0" borderId="1" applyAlignment="1" pivotButton="0" quotePrefix="0" xfId="0">
      <alignment horizontal="left"/>
    </xf>
    <xf numFmtId="0" fontId="42" fillId="0" borderId="0" applyAlignment="1" pivotButton="0" quotePrefix="0" xfId="0">
      <alignment horizontal="center" vertical="center" wrapText="1"/>
    </xf>
    <xf numFmtId="0" fontId="42" fillId="0" borderId="0" applyAlignment="1" pivotButton="0" quotePrefix="0" xfId="0">
      <alignment horizontal="center" vertical="center"/>
    </xf>
    <xf numFmtId="0" fontId="42" fillId="0" borderId="0" pivotButton="0" quotePrefix="0" xfId="0"/>
    <xf numFmtId="179" fontId="45" fillId="0" borderId="1" applyAlignment="1" pivotButton="0" quotePrefix="0" xfId="0">
      <alignment horizontal="center"/>
    </xf>
    <xf numFmtId="0" fontId="5" fillId="14" borderId="4" applyAlignment="1" pivotButton="0" quotePrefix="0" xfId="0">
      <alignment horizontal="center" vertical="center" wrapText="1"/>
    </xf>
    <xf numFmtId="0" fontId="53" fillId="0" borderId="0" pivotButton="0" quotePrefix="0" xfId="0"/>
    <xf numFmtId="1" fontId="4" fillId="0" borderId="0" applyAlignment="1" pivotButton="0" quotePrefix="0" xfId="0">
      <alignment horizontal="center" vertical="center" wrapText="1"/>
    </xf>
    <xf numFmtId="179" fontId="4" fillId="15" borderId="15" applyAlignment="1" pivotButton="0" quotePrefix="0" xfId="0">
      <alignment horizontal="center"/>
    </xf>
    <xf numFmtId="0" fontId="54" fillId="14" borderId="1" pivotButton="0" quotePrefix="0" xfId="0"/>
    <xf numFmtId="0" fontId="54" fillId="14" borderId="1" applyAlignment="1" pivotButton="0" quotePrefix="0" xfId="0">
      <alignment horizontal="center"/>
    </xf>
    <xf numFmtId="177" fontId="4" fillId="15" borderId="0" applyAlignment="1" pivotButton="0" quotePrefix="0" xfId="0">
      <alignment horizontal="center"/>
    </xf>
    <xf numFmtId="165" fontId="5" fillId="2" borderId="20" applyAlignment="1" pivotButton="0" quotePrefix="0" xfId="1">
      <alignment horizontal="center" vertical="center"/>
    </xf>
    <xf numFmtId="165" fontId="10" fillId="2" borderId="20" applyAlignment="1" pivotButton="0" quotePrefix="0" xfId="1">
      <alignment horizontal="center" vertical="center"/>
    </xf>
    <xf numFmtId="165" fontId="10" fillId="2" borderId="21" applyAlignment="1" pivotButton="0" quotePrefix="0" xfId="1">
      <alignment horizontal="center" vertical="center"/>
    </xf>
    <xf numFmtId="165" fontId="45" fillId="2" borderId="0" pivotButton="0" quotePrefix="0" xfId="1"/>
    <xf numFmtId="0" fontId="45" fillId="0" borderId="1" applyAlignment="1" pivotButton="0" quotePrefix="0" xfId="0">
      <alignment horizontal="left" wrapText="1"/>
    </xf>
    <xf numFmtId="14" fontId="33" fillId="0" borderId="0" pivotButton="0" quotePrefix="0" xfId="0"/>
    <xf numFmtId="0" fontId="27" fillId="0" borderId="1" pivotButton="0" quotePrefix="0" xfId="0"/>
    <xf numFmtId="180" fontId="25" fillId="0" borderId="1" applyAlignment="1" pivotButton="0" quotePrefix="0" xfId="0">
      <alignment horizontal="center"/>
    </xf>
    <xf numFmtId="14" fontId="32" fillId="0" borderId="0" pivotButton="0" quotePrefix="0" xfId="0"/>
    <xf numFmtId="0" fontId="32" fillId="19" borderId="0" pivotButton="0" quotePrefix="0" xfId="0"/>
    <xf numFmtId="0" fontId="36" fillId="0" borderId="0" applyAlignment="1" pivotButton="0" quotePrefix="0" xfId="0">
      <alignment horizontal="center" vertical="center"/>
    </xf>
    <xf numFmtId="181" fontId="47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left"/>
    </xf>
    <xf numFmtId="0" fontId="26" fillId="0" borderId="1" applyAlignment="1" pivotButton="0" quotePrefix="0" xfId="0">
      <alignment horizontal="center"/>
    </xf>
    <xf numFmtId="0" fontId="55" fillId="20" borderId="22" pivotButton="0" quotePrefix="0" xfId="0"/>
    <xf numFmtId="0" fontId="55" fillId="20" borderId="23" pivotButton="0" quotePrefix="0" xfId="0"/>
    <xf numFmtId="0" fontId="55" fillId="20" borderId="24" pivotButton="0" quotePrefix="0" xfId="0"/>
    <xf numFmtId="49" fontId="0" fillId="21" borderId="22" pivotButton="0" quotePrefix="0" xfId="0"/>
    <xf numFmtId="49" fontId="0" fillId="21" borderId="23" pivotButton="0" quotePrefix="0" xfId="0"/>
    <xf numFmtId="0" fontId="0" fillId="21" borderId="24" pivotButton="0" quotePrefix="0" xfId="0"/>
    <xf numFmtId="49" fontId="0" fillId="0" borderId="22" pivotButton="0" quotePrefix="0" xfId="0"/>
    <xf numFmtId="49" fontId="0" fillId="0" borderId="23" pivotButton="0" quotePrefix="0" xfId="0"/>
    <xf numFmtId="0" fontId="0" fillId="0" borderId="24" pivotButton="0" quotePrefix="0" xfId="0"/>
    <xf numFmtId="0" fontId="0" fillId="21" borderId="23" pivotButton="0" quotePrefix="0" xfId="0"/>
    <xf numFmtId="0" fontId="0" fillId="0" borderId="23" pivotButton="0" quotePrefix="0" xfId="0"/>
    <xf numFmtId="0" fontId="40" fillId="0" borderId="1" pivotButton="0" quotePrefix="0" xfId="0"/>
    <xf numFmtId="9" fontId="45" fillId="0" borderId="2" applyAlignment="1" pivotButton="0" quotePrefix="0" xfId="0">
      <alignment horizontal="center" vertical="center"/>
    </xf>
    <xf numFmtId="14" fontId="40" fillId="0" borderId="1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10" fontId="0" fillId="10" borderId="0" pivotButton="0" quotePrefix="0" xfId="2"/>
    <xf numFmtId="166" fontId="0" fillId="0" borderId="0" pivotButton="0" quotePrefix="0" xfId="0"/>
    <xf numFmtId="0" fontId="4" fillId="22" borderId="0" pivotButton="0" quotePrefix="0" xfId="0"/>
    <xf numFmtId="0" fontId="4" fillId="10" borderId="0" pivotButton="0" quotePrefix="0" xfId="0"/>
    <xf numFmtId="165" fontId="10" fillId="22" borderId="0" pivotButton="0" quotePrefix="0" xfId="1"/>
    <xf numFmtId="165" fontId="10" fillId="10" borderId="0" pivotButton="0" quotePrefix="0" xfId="1"/>
    <xf numFmtId="0" fontId="35" fillId="0" borderId="0" applyAlignment="1" pivotButton="0" quotePrefix="0" xfId="0">
      <alignment horizontal="centerContinuous" vertical="center"/>
    </xf>
    <xf numFmtId="0" fontId="35" fillId="22" borderId="0" applyAlignment="1" pivotButton="0" quotePrefix="0" xfId="0">
      <alignment horizontal="centerContinuous" vertical="center"/>
    </xf>
    <xf numFmtId="0" fontId="4" fillId="22" borderId="0" applyAlignment="1" pivotButton="0" quotePrefix="0" xfId="0">
      <alignment horizontal="centerContinuous"/>
    </xf>
    <xf numFmtId="0" fontId="4" fillId="10" borderId="0" applyAlignment="1" pivotButton="0" quotePrefix="0" xfId="0">
      <alignment horizontal="centerContinuous"/>
    </xf>
    <xf numFmtId="0" fontId="35" fillId="0" borderId="0" applyAlignment="1" pivotButton="0" quotePrefix="0" xfId="0">
      <alignment vertical="center" wrapText="1"/>
    </xf>
    <xf numFmtId="0" fontId="35" fillId="22" borderId="0" applyAlignment="1" pivotButton="0" quotePrefix="0" xfId="0">
      <alignment vertical="center"/>
    </xf>
    <xf numFmtId="43" fontId="35" fillId="10" borderId="0" applyAlignment="1" pivotButton="0" quotePrefix="0" xfId="0">
      <alignment horizontal="centerContinuous" vertical="center"/>
    </xf>
    <xf numFmtId="0" fontId="35" fillId="10" borderId="0" applyAlignment="1" pivotButton="0" quotePrefix="0" xfId="0">
      <alignment horizontal="centerContinuous" vertical="center"/>
    </xf>
    <xf numFmtId="0" fontId="10" fillId="22" borderId="0" applyAlignment="1" pivotButton="0" quotePrefix="0" xfId="0">
      <alignment horizontal="centerContinuous" wrapText="1"/>
    </xf>
    <xf numFmtId="0" fontId="10" fillId="10" borderId="0" applyAlignment="1" pivotButton="0" quotePrefix="0" xfId="0">
      <alignment wrapText="1"/>
    </xf>
    <xf numFmtId="165" fontId="10" fillId="0" borderId="0" pivotButton="0" quotePrefix="0" xfId="1"/>
    <xf numFmtId="0" fontId="4" fillId="23" borderId="0" pivotButton="0" quotePrefix="0" xfId="0"/>
    <xf numFmtId="165" fontId="10" fillId="23" borderId="0" pivotButton="0" quotePrefix="0" xfId="1"/>
    <xf numFmtId="0" fontId="35" fillId="23" borderId="0" applyAlignment="1" pivotButton="0" quotePrefix="0" xfId="0">
      <alignment horizontal="center" vertical="center"/>
    </xf>
    <xf numFmtId="0" fontId="10" fillId="23" borderId="0" applyAlignment="1" pivotButton="0" quotePrefix="0" xfId="0">
      <alignment wrapText="1"/>
    </xf>
    <xf numFmtId="0" fontId="10" fillId="23" borderId="0" pivotButton="0" quotePrefix="0" xfId="0"/>
    <xf numFmtId="3" fontId="13" fillId="0" borderId="0" applyAlignment="1" pivotButton="0" quotePrefix="0" xfId="0">
      <alignment horizontal="left"/>
    </xf>
    <xf numFmtId="2" fontId="13" fillId="0" borderId="0" pivotButton="0" quotePrefix="0" xfId="0"/>
    <xf numFmtId="165" fontId="0" fillId="0" borderId="0" applyAlignment="1" pivotButton="0" quotePrefix="0" xfId="1">
      <alignment horizontal="left"/>
    </xf>
    <xf numFmtId="0" fontId="13" fillId="7" borderId="0" pivotButton="0" quotePrefix="0" xfId="0"/>
    <xf numFmtId="165" fontId="0" fillId="7" borderId="0" applyAlignment="1" pivotButton="0" quotePrefix="0" xfId="1">
      <alignment horizontal="left"/>
    </xf>
    <xf numFmtId="9" fontId="0" fillId="7" borderId="0" pivotButton="0" quotePrefix="0" xfId="2"/>
    <xf numFmtId="165" fontId="0" fillId="7" borderId="0" pivotButton="0" quotePrefix="0" xfId="1"/>
    <xf numFmtId="0" fontId="13" fillId="24" borderId="0" pivotButton="0" quotePrefix="0" xfId="0"/>
    <xf numFmtId="165" fontId="0" fillId="24" borderId="0" applyAlignment="1" pivotButton="0" quotePrefix="0" xfId="1">
      <alignment horizontal="left"/>
    </xf>
    <xf numFmtId="9" fontId="0" fillId="24" borderId="0" pivotButton="0" quotePrefix="0" xfId="2"/>
    <xf numFmtId="165" fontId="0" fillId="24" borderId="0" pivotButton="0" quotePrefix="0" xfId="1"/>
    <xf numFmtId="0" fontId="13" fillId="25" borderId="0" applyAlignment="1" pivotButton="0" quotePrefix="0" xfId="0">
      <alignment horizontal="left"/>
    </xf>
    <xf numFmtId="165" fontId="0" fillId="25" borderId="0" applyAlignment="1" pivotButton="0" quotePrefix="0" xfId="1">
      <alignment horizontal="left"/>
    </xf>
    <xf numFmtId="9" fontId="0" fillId="25" borderId="0" pivotButton="0" quotePrefix="0" xfId="2"/>
    <xf numFmtId="165" fontId="0" fillId="25" borderId="0" pivotButton="0" quotePrefix="0" xfId="1"/>
    <xf numFmtId="0" fontId="13" fillId="22" borderId="0" applyAlignment="1" pivotButton="0" quotePrefix="0" xfId="0">
      <alignment horizontal="left"/>
    </xf>
    <xf numFmtId="165" fontId="0" fillId="22" borderId="0" applyAlignment="1" pivotButton="0" quotePrefix="0" xfId="1">
      <alignment horizontal="left"/>
    </xf>
    <xf numFmtId="9" fontId="0" fillId="22" borderId="0" pivotButton="0" quotePrefix="0" xfId="2"/>
    <xf numFmtId="165" fontId="0" fillId="22" borderId="0" pivotButton="0" quotePrefix="0" xfId="1"/>
    <xf numFmtId="0" fontId="13" fillId="13" borderId="0" applyAlignment="1" pivotButton="0" quotePrefix="0" xfId="0">
      <alignment horizontal="left"/>
    </xf>
    <xf numFmtId="165" fontId="0" fillId="13" borderId="0" applyAlignment="1" pivotButton="0" quotePrefix="0" xfId="1">
      <alignment horizontal="left"/>
    </xf>
    <xf numFmtId="9" fontId="0" fillId="13" borderId="0" pivotButton="0" quotePrefix="0" xfId="2"/>
    <xf numFmtId="165" fontId="0" fillId="13" borderId="0" pivotButton="0" quotePrefix="0" xfId="1"/>
    <xf numFmtId="0" fontId="13" fillId="10" borderId="0" applyAlignment="1" pivotButton="0" quotePrefix="0" xfId="0">
      <alignment horizontal="left"/>
    </xf>
    <xf numFmtId="165" fontId="0" fillId="10" borderId="0" applyAlignment="1" pivotButton="0" quotePrefix="0" xfId="1">
      <alignment horizontal="left"/>
    </xf>
    <xf numFmtId="9" fontId="0" fillId="10" borderId="0" pivotButton="0" quotePrefix="0" xfId="2"/>
    <xf numFmtId="165" fontId="0" fillId="10" borderId="0" pivotButton="0" quotePrefix="0" xfId="1"/>
    <xf numFmtId="0" fontId="13" fillId="26" borderId="0" applyAlignment="1" pivotButton="0" quotePrefix="0" xfId="1">
      <alignment horizontal="left"/>
    </xf>
    <xf numFmtId="165" fontId="0" fillId="26" borderId="0" applyAlignment="1" pivotButton="0" quotePrefix="0" xfId="1">
      <alignment horizontal="left"/>
    </xf>
    <xf numFmtId="9" fontId="0" fillId="26" borderId="0" pivotButton="0" quotePrefix="0" xfId="2"/>
    <xf numFmtId="165" fontId="0" fillId="26" borderId="0" pivotButton="0" quotePrefix="0" xfId="1"/>
    <xf numFmtId="165" fontId="3" fillId="26" borderId="0" applyAlignment="1" pivotButton="0" quotePrefix="0" xfId="1">
      <alignment horizontal="left"/>
    </xf>
    <xf numFmtId="0" fontId="13" fillId="27" borderId="0" applyAlignment="1" pivotButton="0" quotePrefix="0" xfId="0">
      <alignment horizontal="left"/>
    </xf>
    <xf numFmtId="165" fontId="0" fillId="27" borderId="0" applyAlignment="1" pivotButton="0" quotePrefix="0" xfId="1">
      <alignment horizontal="left"/>
    </xf>
    <xf numFmtId="9" fontId="0" fillId="27" borderId="0" pivotButton="0" quotePrefix="0" xfId="2"/>
    <xf numFmtId="165" fontId="0" fillId="27" borderId="0" pivotButton="0" quotePrefix="0" xfId="1"/>
    <xf numFmtId="165" fontId="3" fillId="27" borderId="0" applyAlignment="1" pivotButton="0" quotePrefix="0" xfId="1">
      <alignment horizontal="left"/>
    </xf>
    <xf numFmtId="0" fontId="13" fillId="14" borderId="0" applyAlignment="1" pivotButton="0" quotePrefix="0" xfId="0">
      <alignment horizontal="left"/>
    </xf>
    <xf numFmtId="165" fontId="0" fillId="14" borderId="0" applyAlignment="1" pivotButton="0" quotePrefix="0" xfId="1">
      <alignment horizontal="left"/>
    </xf>
    <xf numFmtId="9" fontId="0" fillId="14" borderId="0" pivotButton="0" quotePrefix="0" xfId="2"/>
    <xf numFmtId="165" fontId="0" fillId="14" borderId="0" pivotButton="0" quotePrefix="0" xfId="1"/>
    <xf numFmtId="165" fontId="3" fillId="14" borderId="0" applyAlignment="1" pivotButton="0" quotePrefix="0" xfId="1">
      <alignment horizontal="left"/>
    </xf>
    <xf numFmtId="0" fontId="13" fillId="28" borderId="0" applyAlignment="1" pivotButton="0" quotePrefix="0" xfId="0">
      <alignment horizontal="left"/>
    </xf>
    <xf numFmtId="165" fontId="0" fillId="28" borderId="0" applyAlignment="1" pivotButton="0" quotePrefix="0" xfId="1">
      <alignment horizontal="left"/>
    </xf>
    <xf numFmtId="9" fontId="0" fillId="28" borderId="0" pivotButton="0" quotePrefix="0" xfId="2"/>
    <xf numFmtId="165" fontId="0" fillId="28" borderId="0" pivotButton="0" quotePrefix="0" xfId="1"/>
    <xf numFmtId="165" fontId="3" fillId="28" borderId="0" applyAlignment="1" pivotButton="0" quotePrefix="0" xfId="1">
      <alignment horizontal="left"/>
    </xf>
    <xf numFmtId="0" fontId="13" fillId="17" borderId="0" applyAlignment="1" pivotButton="0" quotePrefix="0" xfId="0">
      <alignment horizontal="left"/>
    </xf>
    <xf numFmtId="165" fontId="0" fillId="17" borderId="0" applyAlignment="1" pivotButton="0" quotePrefix="0" xfId="1">
      <alignment horizontal="left"/>
    </xf>
    <xf numFmtId="9" fontId="0" fillId="17" borderId="0" pivotButton="0" quotePrefix="0" xfId="2"/>
    <xf numFmtId="165" fontId="0" fillId="17" borderId="0" pivotButton="0" quotePrefix="0" xfId="1"/>
    <xf numFmtId="165" fontId="3" fillId="17" borderId="0" applyAlignment="1" pivotButton="0" quotePrefix="0" xfId="1">
      <alignment horizontal="left"/>
    </xf>
    <xf numFmtId="0" fontId="13" fillId="26" borderId="0" applyAlignment="1" pivotButton="0" quotePrefix="0" xfId="0">
      <alignment horizontal="left"/>
    </xf>
    <xf numFmtId="165" fontId="3" fillId="10" borderId="0" applyAlignment="1" pivotButton="0" quotePrefix="0" xfId="1">
      <alignment horizontal="left"/>
    </xf>
    <xf numFmtId="0" fontId="13" fillId="29" borderId="0" applyAlignment="1" pivotButton="0" quotePrefix="0" xfId="0">
      <alignment horizontal="left"/>
    </xf>
    <xf numFmtId="165" fontId="0" fillId="29" borderId="0" applyAlignment="1" pivotButton="0" quotePrefix="0" xfId="1">
      <alignment horizontal="left"/>
    </xf>
    <xf numFmtId="9" fontId="0" fillId="29" borderId="0" pivotButton="0" quotePrefix="0" xfId="2"/>
    <xf numFmtId="165" fontId="0" fillId="29" borderId="0" pivotButton="0" quotePrefix="0" xfId="1"/>
    <xf numFmtId="165" fontId="3" fillId="29" borderId="0" applyAlignment="1" pivotButton="0" quotePrefix="0" xfId="1">
      <alignment horizontal="left"/>
    </xf>
    <xf numFmtId="0" fontId="13" fillId="7" borderId="0" applyAlignment="1" pivotButton="0" quotePrefix="0" xfId="0">
      <alignment horizontal="left"/>
    </xf>
    <xf numFmtId="165" fontId="3" fillId="7" borderId="0" applyAlignment="1" pivotButton="0" quotePrefix="0" xfId="1">
      <alignment horizontal="left"/>
    </xf>
    <xf numFmtId="0" fontId="13" fillId="30" borderId="0" applyAlignment="1" pivotButton="0" quotePrefix="0" xfId="0">
      <alignment horizontal="left"/>
    </xf>
    <xf numFmtId="165" fontId="3" fillId="30" borderId="0" applyAlignment="1" pivotButton="0" quotePrefix="0" xfId="1">
      <alignment horizontal="left"/>
    </xf>
    <xf numFmtId="9" fontId="0" fillId="30" borderId="0" pivotButton="0" quotePrefix="0" xfId="2"/>
    <xf numFmtId="165" fontId="0" fillId="30" borderId="0" pivotButton="0" quotePrefix="0" xfId="1"/>
    <xf numFmtId="164" fontId="10" fillId="22" borderId="0" applyAlignment="1" pivotButton="0" quotePrefix="0" xfId="1">
      <alignment horizontal="left" vertical="center"/>
    </xf>
    <xf numFmtId="1" fontId="10" fillId="23" borderId="0" pivotButton="0" quotePrefix="0" xfId="0"/>
    <xf numFmtId="0" fontId="4" fillId="31" borderId="0" pivotButton="0" quotePrefix="0" xfId="0"/>
    <xf numFmtId="165" fontId="10" fillId="31" borderId="0" pivotButton="0" quotePrefix="0" xfId="1"/>
    <xf numFmtId="0" fontId="35" fillId="31" borderId="0" applyAlignment="1" pivotButton="0" quotePrefix="0" xfId="0">
      <alignment horizontal="center" vertical="center"/>
    </xf>
    <xf numFmtId="0" fontId="10" fillId="31" borderId="0" applyAlignment="1" pivotButton="0" quotePrefix="0" xfId="0">
      <alignment wrapText="1"/>
    </xf>
    <xf numFmtId="0" fontId="10" fillId="31" borderId="0" pivotButton="0" quotePrefix="0" xfId="0"/>
    <xf numFmtId="43" fontId="10" fillId="31" borderId="0" pivotButton="0" quotePrefix="0" xfId="0"/>
    <xf numFmtId="172" fontId="5" fillId="17" borderId="10" applyAlignment="1" pivotButton="0" quotePrefix="0" xfId="302">
      <alignment horizontal="center"/>
    </xf>
    <xf numFmtId="172" fontId="5" fillId="17" borderId="11" applyAlignment="1" pivotButton="0" quotePrefix="0" xfId="302">
      <alignment horizontal="center"/>
    </xf>
    <xf numFmtId="0" fontId="5" fillId="17" borderId="10" applyAlignment="1" pivotButton="0" quotePrefix="0" xfId="302">
      <alignment horizontal="center"/>
    </xf>
    <xf numFmtId="0" fontId="5" fillId="17" borderId="11" applyAlignment="1" pivotButton="0" quotePrefix="0" xfId="302">
      <alignment horizontal="center"/>
    </xf>
    <xf numFmtId="0" fontId="5" fillId="17" borderId="12" applyAlignment="1" pivotButton="0" quotePrefix="0" xfId="302">
      <alignment horizontal="center"/>
    </xf>
    <xf numFmtId="172" fontId="5" fillId="17" borderId="12" applyAlignment="1" pivotButton="0" quotePrefix="0" xfId="302">
      <alignment horizontal="center"/>
    </xf>
    <xf numFmtId="165" fontId="45" fillId="32" borderId="0" pivotButton="0" quotePrefix="0" xfId="1"/>
    <xf numFmtId="1" fontId="3" fillId="0" borderId="0" pivotButton="0" quotePrefix="0" xfId="302"/>
    <xf numFmtId="172" fontId="5" fillId="0" borderId="0" applyAlignment="1" pivotButton="0" quotePrefix="0" xfId="302">
      <alignment horizontal="center"/>
    </xf>
    <xf numFmtId="3" fontId="4" fillId="0" borderId="0" pivotButton="0" quotePrefix="0" xfId="0"/>
    <xf numFmtId="17" fontId="0" fillId="0" borderId="0" pivotButton="0" quotePrefix="0" xfId="0"/>
    <xf numFmtId="0" fontId="56" fillId="0" borderId="0" pivotButton="0" quotePrefix="0" xfId="0"/>
    <xf numFmtId="49" fontId="3" fillId="0" borderId="22" pivotButton="0" quotePrefix="0" xfId="0"/>
    <xf numFmtId="49" fontId="3" fillId="21" borderId="22" pivotButton="0" quotePrefix="0" xfId="0"/>
    <xf numFmtId="10" fontId="4" fillId="0" borderId="0" applyAlignment="1" pivotButton="0" quotePrefix="0" xfId="2">
      <alignment horizontal="center" vertical="center" wrapText="1"/>
    </xf>
    <xf numFmtId="17" fontId="3" fillId="0" borderId="0" pivotButton="0" quotePrefix="0" xfId="0"/>
    <xf numFmtId="0" fontId="45" fillId="0" borderId="0" pivotButton="0" quotePrefix="0" xfId="0"/>
    <xf numFmtId="1" fontId="45" fillId="0" borderId="0" applyAlignment="1" pivotButton="0" quotePrefix="0" xfId="0">
      <alignment horizontal="center" vertical="center" wrapText="1"/>
    </xf>
    <xf numFmtId="0" fontId="44" fillId="0" borderId="9" applyAlignment="1" pivotButton="0" quotePrefix="0" xfId="0">
      <alignment horizontal="center" vertical="center"/>
    </xf>
    <xf numFmtId="0" fontId="44" fillId="0" borderId="3" applyAlignment="1" pivotButton="0" quotePrefix="0" xfId="0">
      <alignment horizontal="center" vertical="center"/>
    </xf>
    <xf numFmtId="0" fontId="5" fillId="7" borderId="17" applyAlignment="1" pivotButton="0" quotePrefix="0" xfId="0">
      <alignment horizontal="center"/>
    </xf>
    <xf numFmtId="0" fontId="5" fillId="7" borderId="19" applyAlignment="1" pivotButton="0" quotePrefix="0" xfId="0">
      <alignment horizontal="center"/>
    </xf>
    <xf numFmtId="0" fontId="4" fillId="0" borderId="17" applyAlignment="1" pivotButton="0" quotePrefix="0" xfId="0">
      <alignment horizontal="center"/>
    </xf>
    <xf numFmtId="0" fontId="4" fillId="0" borderId="19" applyAlignment="1" pivotButton="0" quotePrefix="0" xfId="0">
      <alignment horizontal="center"/>
    </xf>
    <xf numFmtId="0" fontId="5" fillId="7" borderId="17" applyAlignment="1" pivotButton="0" quotePrefix="0" xfId="0">
      <alignment horizontal="center" vertical="center"/>
    </xf>
    <xf numFmtId="0" fontId="5" fillId="7" borderId="18" applyAlignment="1" pivotButton="0" quotePrefix="0" xfId="0">
      <alignment horizontal="center" vertical="center"/>
    </xf>
    <xf numFmtId="0" fontId="5" fillId="7" borderId="19" applyAlignment="1" pivotButton="0" quotePrefix="0" xfId="0">
      <alignment horizontal="center" vertical="center"/>
    </xf>
    <xf numFmtId="0" fontId="31" fillId="8" borderId="17" applyAlignment="1" pivotButton="0" quotePrefix="0" xfId="0">
      <alignment horizontal="center"/>
    </xf>
    <xf numFmtId="0" fontId="31" fillId="8" borderId="19" applyAlignment="1" pivotButton="0" quotePrefix="0" xfId="0">
      <alignment horizontal="center"/>
    </xf>
    <xf numFmtId="0" fontId="39" fillId="8" borderId="1" applyAlignment="1" pivotButton="0" quotePrefix="0" xfId="0">
      <alignment horizontal="center" vertical="center" wrapText="1"/>
    </xf>
    <xf numFmtId="0" fontId="39" fillId="8" borderId="1" applyAlignment="1" pivotButton="0" quotePrefix="0" xfId="0">
      <alignment horizontal="center" vertical="center"/>
    </xf>
    <xf numFmtId="0" fontId="52" fillId="8" borderId="1" applyAlignment="1" pivotButton="0" quotePrefix="0" xfId="0">
      <alignment horizontal="center"/>
    </xf>
    <xf numFmtId="0" fontId="39" fillId="8" borderId="1" applyAlignment="1" pivotButton="0" quotePrefix="0" xfId="0">
      <alignment horizontal="center"/>
    </xf>
    <xf numFmtId="0" fontId="3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2" fontId="25" fillId="0" borderId="0" applyAlignment="1" pivotButton="0" quotePrefix="0" xfId="0">
      <alignment horizontal="center" vertical="center"/>
    </xf>
    <xf numFmtId="0" fontId="24" fillId="2" borderId="0" applyAlignment="1" pivotButton="0" quotePrefix="0" xfId="0">
      <alignment horizontal="center"/>
    </xf>
    <xf numFmtId="0" fontId="26" fillId="0" borderId="0" applyAlignment="1" pivotButton="0" quotePrefix="0" xfId="167">
      <alignment vertical="top" wrapText="1"/>
    </xf>
    <xf numFmtId="0" fontId="26" fillId="0" borderId="0" applyAlignment="1" pivotButton="0" quotePrefix="0" xfId="167">
      <alignment horizontal="left" vertical="top" wrapText="1"/>
    </xf>
    <xf numFmtId="0" fontId="26" fillId="0" borderId="0" applyAlignment="1" pivotButton="0" quotePrefix="0" xfId="167">
      <alignment horizontal="right" vertical="top"/>
    </xf>
    <xf numFmtId="172" fontId="5" fillId="17" borderId="10" applyAlignment="1" pivotButton="0" quotePrefix="0" xfId="302">
      <alignment horizontal="center"/>
    </xf>
    <xf numFmtId="172" fontId="5" fillId="17" borderId="11" applyAlignment="1" pivotButton="0" quotePrefix="0" xfId="302">
      <alignment horizontal="center"/>
    </xf>
    <xf numFmtId="172" fontId="5" fillId="17" borderId="12" applyAlignment="1" pivotButton="0" quotePrefix="0" xfId="302">
      <alignment horizontal="center"/>
    </xf>
    <xf numFmtId="0" fontId="5" fillId="17" borderId="10" applyAlignment="1" pivotButton="0" quotePrefix="0" xfId="302">
      <alignment horizontal="center"/>
    </xf>
    <xf numFmtId="0" fontId="5" fillId="17" borderId="11" applyAlignment="1" pivotButton="0" quotePrefix="0" xfId="302">
      <alignment horizontal="center"/>
    </xf>
    <xf numFmtId="0" fontId="5" fillId="17" borderId="12" applyAlignment="1" pivotButton="0" quotePrefix="0" xfId="302">
      <alignment horizontal="center"/>
    </xf>
    <xf numFmtId="0" fontId="39" fillId="16" borderId="0" applyAlignment="1" pivotButton="0" quotePrefix="0" xfId="302">
      <alignment horizontal="center"/>
    </xf>
    <xf numFmtId="0" fontId="4" fillId="0" borderId="26" applyAlignment="1" pivotButton="0" quotePrefix="0" xfId="0">
      <alignment horizontal="center"/>
    </xf>
    <xf numFmtId="0" fontId="0" fillId="0" borderId="19" pivotButton="0" quotePrefix="0" xfId="0"/>
    <xf numFmtId="0" fontId="5" fillId="7" borderId="26" applyAlignment="1" pivotButton="0" quotePrefix="0" xfId="0">
      <alignment horizontal="center"/>
    </xf>
    <xf numFmtId="165" fontId="5" fillId="7" borderId="1" applyAlignment="1" pivotButton="0" quotePrefix="0" xfId="1">
      <alignment horizontal="center"/>
    </xf>
    <xf numFmtId="179" fontId="45" fillId="0" borderId="1" applyAlignment="1" pivotButton="0" quotePrefix="0" xfId="0">
      <alignment horizontal="center"/>
    </xf>
    <xf numFmtId="0" fontId="44" fillId="0" borderId="25" applyAlignment="1" pivotButton="0" quotePrefix="0" xfId="0">
      <alignment horizontal="center" vertical="center"/>
    </xf>
    <xf numFmtId="0" fontId="0" fillId="0" borderId="25" pivotButton="0" quotePrefix="0" xfId="0"/>
    <xf numFmtId="176" fontId="4" fillId="0" borderId="4" pivotButton="0" quotePrefix="0" xfId="2"/>
    <xf numFmtId="0" fontId="5" fillId="7" borderId="2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30" pivotButton="0" quotePrefix="0" xfId="0"/>
    <xf numFmtId="165" fontId="5" fillId="2" borderId="20" applyAlignment="1" pivotButton="0" quotePrefix="0" xfId="1">
      <alignment horizontal="center" vertical="center"/>
    </xf>
    <xf numFmtId="179" fontId="4" fillId="15" borderId="15" applyAlignment="1" pivotButton="0" quotePrefix="0" xfId="0">
      <alignment horizontal="center"/>
    </xf>
    <xf numFmtId="173" fontId="45" fillId="15" borderId="0" applyAlignment="1" pivotButton="0" quotePrefix="0" xfId="303">
      <alignment horizontal="center"/>
    </xf>
    <xf numFmtId="173" fontId="4" fillId="15" borderId="0" applyAlignment="1" pivotButton="0" quotePrefix="0" xfId="303">
      <alignment horizontal="center"/>
    </xf>
    <xf numFmtId="176" fontId="4" fillId="0" borderId="1" applyAlignment="1" pivotButton="0" quotePrefix="0" xfId="0">
      <alignment horizontal="center"/>
    </xf>
    <xf numFmtId="165" fontId="10" fillId="2" borderId="20" applyAlignment="1" pivotButton="0" quotePrefix="0" xfId="1">
      <alignment horizontal="center" vertical="center"/>
    </xf>
    <xf numFmtId="0" fontId="31" fillId="8" borderId="26" applyAlignment="1" pivotButton="0" quotePrefix="0" xfId="0">
      <alignment horizontal="center"/>
    </xf>
    <xf numFmtId="174" fontId="45" fillId="15" borderId="15" applyAlignment="1" pivotButton="0" quotePrefix="0" xfId="0">
      <alignment horizontal="center"/>
    </xf>
    <xf numFmtId="165" fontId="10" fillId="2" borderId="21" applyAlignment="1" pivotButton="0" quotePrefix="0" xfId="1">
      <alignment horizontal="center" vertical="center"/>
    </xf>
    <xf numFmtId="177" fontId="47" fillId="0" borderId="1" applyAlignment="1" pivotButton="0" quotePrefix="0" xfId="0">
      <alignment horizontal="center"/>
    </xf>
    <xf numFmtId="174" fontId="4" fillId="15" borderId="0" applyAlignment="1" pivotButton="0" quotePrefix="0" xfId="0">
      <alignment horizontal="center"/>
    </xf>
    <xf numFmtId="177" fontId="4" fillId="15" borderId="0" applyAlignment="1" pivotButton="0" quotePrefix="0" xfId="0">
      <alignment horizontal="center"/>
    </xf>
    <xf numFmtId="174" fontId="4" fillId="15" borderId="15" applyAlignment="1" pivotButton="0" quotePrefix="0" xfId="0">
      <alignment horizontal="center"/>
    </xf>
    <xf numFmtId="165" fontId="4" fillId="2" borderId="21" applyAlignment="1" pivotButton="0" quotePrefix="0" xfId="1">
      <alignment horizontal="center" vertical="center"/>
    </xf>
    <xf numFmtId="0" fontId="0" fillId="0" borderId="29" pivotButton="0" quotePrefix="0" xfId="0"/>
    <xf numFmtId="165" fontId="32" fillId="0" borderId="1" applyAlignment="1" pivotButton="0" quotePrefix="0" xfId="1">
      <alignment horizontal="center"/>
    </xf>
    <xf numFmtId="43" fontId="4" fillId="0" borderId="0" pivotButton="0" quotePrefix="0" xfId="0"/>
    <xf numFmtId="181" fontId="47" fillId="0" borderId="1" applyAlignment="1" pivotButton="0" quotePrefix="0" xfId="0">
      <alignment horizontal="center"/>
    </xf>
    <xf numFmtId="180" fontId="25" fillId="0" borderId="1" applyAlignment="1" pivotButton="0" quotePrefix="0" xfId="0">
      <alignment horizontal="center"/>
    </xf>
    <xf numFmtId="164" fontId="4" fillId="8" borderId="0" pivotButton="0" quotePrefix="0" xfId="1"/>
    <xf numFmtId="164" fontId="4" fillId="2" borderId="0" pivotButton="0" quotePrefix="0" xfId="1"/>
    <xf numFmtId="43" fontId="4" fillId="0" borderId="1" applyAlignment="1" pivotButton="0" quotePrefix="0" xfId="0">
      <alignment horizontal="center"/>
    </xf>
    <xf numFmtId="165" fontId="5" fillId="8" borderId="0" pivotButton="0" quotePrefix="0" xfId="0"/>
    <xf numFmtId="165" fontId="5" fillId="2" borderId="0" pivotButton="0" quotePrefix="0" xfId="0"/>
    <xf numFmtId="165" fontId="10" fillId="0" borderId="0" pivotButton="0" quotePrefix="0" xfId="1"/>
    <xf numFmtId="165" fontId="10" fillId="8" borderId="0" pivotButton="0" quotePrefix="0" xfId="1"/>
    <xf numFmtId="165" fontId="10" fillId="22" borderId="0" pivotButton="0" quotePrefix="0" xfId="1"/>
    <xf numFmtId="165" fontId="10" fillId="10" borderId="0" pivotButton="0" quotePrefix="0" xfId="1"/>
    <xf numFmtId="165" fontId="10" fillId="23" borderId="0" pivotButton="0" quotePrefix="0" xfId="1"/>
    <xf numFmtId="165" fontId="10" fillId="31" borderId="0" pivotButton="0" quotePrefix="0" xfId="1"/>
    <xf numFmtId="165" fontId="10" fillId="7" borderId="0" pivotButton="0" quotePrefix="0" xfId="1"/>
    <xf numFmtId="169" fontId="6" fillId="0" borderId="0" pivotButton="0" quotePrefix="0" xfId="1"/>
    <xf numFmtId="165" fontId="4" fillId="7" borderId="0" applyAlignment="1" pivotButton="0" quotePrefix="0" xfId="1">
      <alignment horizontal="center"/>
    </xf>
    <xf numFmtId="169" fontId="4" fillId="0" borderId="0" pivotButton="0" quotePrefix="0" xfId="0"/>
    <xf numFmtId="167" fontId="6" fillId="0" borderId="0" applyAlignment="1" pivotButton="0" quotePrefix="0" xfId="0">
      <alignment horizontal="center"/>
    </xf>
    <xf numFmtId="167" fontId="6" fillId="0" borderId="0" applyAlignment="1" pivotButton="0" quotePrefix="0" xfId="0">
      <alignment horizontal="center" wrapText="1"/>
    </xf>
    <xf numFmtId="167" fontId="6" fillId="8" borderId="0" applyAlignment="1" pivotButton="0" quotePrefix="0" xfId="0">
      <alignment horizontal="center" wrapText="1"/>
    </xf>
    <xf numFmtId="43" fontId="7" fillId="0" borderId="0" applyAlignment="1" pivotButton="0" quotePrefix="0" xfId="0">
      <alignment horizontal="center"/>
    </xf>
    <xf numFmtId="43" fontId="35" fillId="10" borderId="0" applyAlignment="1" pivotButton="0" quotePrefix="0" xfId="0">
      <alignment horizontal="centerContinuous" vertical="center"/>
    </xf>
    <xf numFmtId="43" fontId="35" fillId="0" borderId="0" applyAlignment="1" pivotButton="0" quotePrefix="0" xfId="0">
      <alignment horizontal="center" vertical="center"/>
    </xf>
    <xf numFmtId="165" fontId="4" fillId="0" borderId="0" pivotButton="0" quotePrefix="0" xfId="1"/>
    <xf numFmtId="165" fontId="4" fillId="0" borderId="0" applyAlignment="1" pivotButton="0" quotePrefix="0" xfId="1">
      <alignment horizontal="center"/>
    </xf>
    <xf numFmtId="165" fontId="4" fillId="8" borderId="0" pivotButton="0" quotePrefix="0" xfId="1"/>
    <xf numFmtId="169" fontId="4" fillId="0" borderId="0" applyAlignment="1" pivotButton="0" quotePrefix="0" xfId="1">
      <alignment horizontal="center"/>
    </xf>
    <xf numFmtId="165" fontId="4" fillId="2" borderId="0" pivotButton="0" quotePrefix="0" xfId="1"/>
    <xf numFmtId="169" fontId="4" fillId="8" borderId="0" applyAlignment="1" pivotButton="0" quotePrefix="0" xfId="1">
      <alignment horizontal="center"/>
    </xf>
    <xf numFmtId="165" fontId="4" fillId="8" borderId="0" applyAlignment="1" pivotButton="0" quotePrefix="0" xfId="1">
      <alignment horizontal="center"/>
    </xf>
    <xf numFmtId="164" fontId="5" fillId="0" borderId="0" pivotButton="0" quotePrefix="0" xfId="1"/>
    <xf numFmtId="165" fontId="45" fillId="32" borderId="0" pivotButton="0" quotePrefix="0" xfId="1"/>
    <xf numFmtId="165" fontId="45" fillId="2" borderId="0" pivotButton="0" quotePrefix="0" xfId="1"/>
    <xf numFmtId="43" fontId="10" fillId="0" borderId="0" pivotButton="0" quotePrefix="0" xfId="0"/>
    <xf numFmtId="164" fontId="10" fillId="22" borderId="0" applyAlignment="1" pivotButton="0" quotePrefix="0" xfId="1">
      <alignment horizontal="left" vertical="center"/>
    </xf>
    <xf numFmtId="165" fontId="10" fillId="0" borderId="0" pivotButton="0" quotePrefix="0" xfId="0"/>
    <xf numFmtId="43" fontId="10" fillId="31" borderId="0" pivotButton="0" quotePrefix="0" xfId="0"/>
    <xf numFmtId="164" fontId="5" fillId="0" borderId="5" pivotButton="0" quotePrefix="0" xfId="1"/>
    <xf numFmtId="165" fontId="4" fillId="0" borderId="5" pivotButton="0" quotePrefix="0" xfId="1"/>
    <xf numFmtId="165" fontId="4" fillId="0" borderId="5" applyAlignment="1" pivotButton="0" quotePrefix="0" xfId="1">
      <alignment horizontal="center"/>
    </xf>
    <xf numFmtId="165" fontId="4" fillId="7" borderId="5" applyAlignment="1" pivotButton="0" quotePrefix="0" xfId="1">
      <alignment horizontal="center"/>
    </xf>
    <xf numFmtId="165" fontId="4" fillId="8" borderId="5" applyAlignment="1" pivotButton="0" quotePrefix="0" xfId="1">
      <alignment horizontal="center"/>
    </xf>
    <xf numFmtId="165" fontId="4" fillId="8" borderId="5" pivotButton="0" quotePrefix="0" xfId="1"/>
    <xf numFmtId="169" fontId="4" fillId="0" borderId="5" applyAlignment="1" pivotButton="0" quotePrefix="0" xfId="1">
      <alignment horizontal="center"/>
    </xf>
    <xf numFmtId="165" fontId="4" fillId="2" borderId="5" pivotButton="0" quotePrefix="0" xfId="1"/>
    <xf numFmtId="169" fontId="4" fillId="8" borderId="5" applyAlignment="1" pivotButton="0" quotePrefix="0" xfId="1">
      <alignment horizontal="center"/>
    </xf>
    <xf numFmtId="165" fontId="10" fillId="0" borderId="5" pivotButton="0" quotePrefix="0" xfId="0"/>
    <xf numFmtId="43" fontId="10" fillId="0" borderId="5" pivotButton="0" quotePrefix="0" xfId="0"/>
    <xf numFmtId="166" fontId="4" fillId="0" borderId="0" applyAlignment="1" pivotButton="0" quotePrefix="0" xfId="0">
      <alignment horizontal="center"/>
    </xf>
    <xf numFmtId="166" fontId="4" fillId="8" borderId="0" applyAlignment="1" pivotButton="0" quotePrefix="0" xfId="0">
      <alignment horizontal="center"/>
    </xf>
    <xf numFmtId="164" fontId="4" fillId="0" borderId="0" applyAlignment="1" pivotButton="0" quotePrefix="0" xfId="1">
      <alignment horizontal="center"/>
    </xf>
    <xf numFmtId="164" fontId="4" fillId="0" borderId="0" pivotButton="0" quotePrefix="0" xfId="1"/>
    <xf numFmtId="167" fontId="4" fillId="0" borderId="0" pivotButton="0" quotePrefix="0" xfId="0"/>
    <xf numFmtId="165" fontId="0" fillId="0" borderId="0" applyAlignment="1" pivotButton="0" quotePrefix="0" xfId="1">
      <alignment horizontal="left"/>
    </xf>
    <xf numFmtId="165" fontId="0" fillId="0" borderId="0" pivotButton="0" quotePrefix="0" xfId="1"/>
    <xf numFmtId="165" fontId="0" fillId="7" borderId="0" applyAlignment="1" pivotButton="0" quotePrefix="0" xfId="1">
      <alignment horizontal="left"/>
    </xf>
    <xf numFmtId="165" fontId="0" fillId="7" borderId="0" pivotButton="0" quotePrefix="0" xfId="1"/>
    <xf numFmtId="165" fontId="0" fillId="24" borderId="0" applyAlignment="1" pivotButton="0" quotePrefix="0" xfId="1">
      <alignment horizontal="left"/>
    </xf>
    <xf numFmtId="165" fontId="0" fillId="24" borderId="0" pivotButton="0" quotePrefix="0" xfId="1"/>
    <xf numFmtId="165" fontId="0" fillId="25" borderId="0" applyAlignment="1" pivotButton="0" quotePrefix="0" xfId="1">
      <alignment horizontal="left"/>
    </xf>
    <xf numFmtId="165" fontId="0" fillId="25" borderId="0" pivotButton="0" quotePrefix="0" xfId="1"/>
    <xf numFmtId="165" fontId="0" fillId="22" borderId="0" applyAlignment="1" pivotButton="0" quotePrefix="0" xfId="1">
      <alignment horizontal="left"/>
    </xf>
    <xf numFmtId="165" fontId="0" fillId="22" borderId="0" pivotButton="0" quotePrefix="0" xfId="1"/>
    <xf numFmtId="165" fontId="0" fillId="13" borderId="0" applyAlignment="1" pivotButton="0" quotePrefix="0" xfId="1">
      <alignment horizontal="left"/>
    </xf>
    <xf numFmtId="165" fontId="0" fillId="13" borderId="0" pivotButton="0" quotePrefix="0" xfId="1"/>
    <xf numFmtId="165" fontId="0" fillId="10" borderId="0" applyAlignment="1" pivotButton="0" quotePrefix="0" xfId="1">
      <alignment horizontal="left"/>
    </xf>
    <xf numFmtId="165" fontId="0" fillId="10" borderId="0" pivotButton="0" quotePrefix="0" xfId="1"/>
    <xf numFmtId="165" fontId="0" fillId="26" borderId="0" applyAlignment="1" pivotButton="0" quotePrefix="0" xfId="1">
      <alignment horizontal="left"/>
    </xf>
    <xf numFmtId="165" fontId="0" fillId="26" borderId="0" pivotButton="0" quotePrefix="0" xfId="1"/>
    <xf numFmtId="165" fontId="3" fillId="26" borderId="0" applyAlignment="1" pivotButton="0" quotePrefix="0" xfId="1">
      <alignment horizontal="left"/>
    </xf>
    <xf numFmtId="165" fontId="0" fillId="27" borderId="0" applyAlignment="1" pivotButton="0" quotePrefix="0" xfId="1">
      <alignment horizontal="left"/>
    </xf>
    <xf numFmtId="165" fontId="0" fillId="27" borderId="0" pivotButton="0" quotePrefix="0" xfId="1"/>
    <xf numFmtId="165" fontId="3" fillId="27" borderId="0" applyAlignment="1" pivotButton="0" quotePrefix="0" xfId="1">
      <alignment horizontal="left"/>
    </xf>
    <xf numFmtId="165" fontId="0" fillId="14" borderId="0" applyAlignment="1" pivotButton="0" quotePrefix="0" xfId="1">
      <alignment horizontal="left"/>
    </xf>
    <xf numFmtId="165" fontId="0" fillId="14" borderId="0" pivotButton="0" quotePrefix="0" xfId="1"/>
    <xf numFmtId="165" fontId="3" fillId="14" borderId="0" applyAlignment="1" pivotButton="0" quotePrefix="0" xfId="1">
      <alignment horizontal="left"/>
    </xf>
    <xf numFmtId="165" fontId="0" fillId="28" borderId="0" applyAlignment="1" pivotButton="0" quotePrefix="0" xfId="1">
      <alignment horizontal="left"/>
    </xf>
    <xf numFmtId="165" fontId="0" fillId="28" borderId="0" pivotButton="0" quotePrefix="0" xfId="1"/>
    <xf numFmtId="165" fontId="3" fillId="28" borderId="0" applyAlignment="1" pivotButton="0" quotePrefix="0" xfId="1">
      <alignment horizontal="left"/>
    </xf>
    <xf numFmtId="165" fontId="0" fillId="17" borderId="0" applyAlignment="1" pivotButton="0" quotePrefix="0" xfId="1">
      <alignment horizontal="left"/>
    </xf>
    <xf numFmtId="165" fontId="0" fillId="17" borderId="0" pivotButton="0" quotePrefix="0" xfId="1"/>
    <xf numFmtId="165" fontId="3" fillId="17" borderId="0" applyAlignment="1" pivotButton="0" quotePrefix="0" xfId="1">
      <alignment horizontal="left"/>
    </xf>
    <xf numFmtId="165" fontId="3" fillId="10" borderId="0" applyAlignment="1" pivotButton="0" quotePrefix="0" xfId="1">
      <alignment horizontal="left"/>
    </xf>
    <xf numFmtId="165" fontId="0" fillId="29" borderId="0" applyAlignment="1" pivotButton="0" quotePrefix="0" xfId="1">
      <alignment horizontal="left"/>
    </xf>
    <xf numFmtId="165" fontId="0" fillId="29" borderId="0" pivotButton="0" quotePrefix="0" xfId="1"/>
    <xf numFmtId="165" fontId="3" fillId="29" borderId="0" applyAlignment="1" pivotButton="0" quotePrefix="0" xfId="1">
      <alignment horizontal="left"/>
    </xf>
    <xf numFmtId="165" fontId="3" fillId="7" borderId="0" applyAlignment="1" pivotButton="0" quotePrefix="0" xfId="1">
      <alignment horizontal="left"/>
    </xf>
    <xf numFmtId="165" fontId="3" fillId="30" borderId="0" applyAlignment="1" pivotButton="0" quotePrefix="0" xfId="1">
      <alignment horizontal="left"/>
    </xf>
    <xf numFmtId="165" fontId="0" fillId="30" borderId="0" pivotButton="0" quotePrefix="0" xfId="1"/>
    <xf numFmtId="178" fontId="5" fillId="7" borderId="1" pivotButton="0" quotePrefix="0" xfId="301"/>
    <xf numFmtId="170" fontId="0" fillId="0" borderId="0" pivotButton="0" quotePrefix="0" xfId="1"/>
    <xf numFmtId="169" fontId="0" fillId="0" borderId="0" pivotButton="0" quotePrefix="0" xfId="1"/>
    <xf numFmtId="165" fontId="0" fillId="0" borderId="0" pivotButton="0" quotePrefix="0" xfId="2"/>
    <xf numFmtId="171" fontId="0" fillId="0" borderId="0" pivotButton="0" quotePrefix="0" xfId="1"/>
    <xf numFmtId="164" fontId="0" fillId="0" borderId="0" pivotButton="0" quotePrefix="0" xfId="1"/>
    <xf numFmtId="164" fontId="0" fillId="18" borderId="0" pivotButton="0" quotePrefix="0" xfId="1"/>
    <xf numFmtId="166" fontId="21" fillId="0" borderId="0" pivotButton="0" quotePrefix="0" xfId="167"/>
    <xf numFmtId="166" fontId="0" fillId="0" borderId="0" pivotButton="0" quotePrefix="0" xfId="0"/>
    <xf numFmtId="168" fontId="15" fillId="0" borderId="0" applyAlignment="1" pivotButton="0" quotePrefix="0" xfId="0">
      <alignment horizontal="left" vertical="top"/>
    </xf>
    <xf numFmtId="165" fontId="33" fillId="0" borderId="0" pivotButton="0" quotePrefix="0" xfId="0"/>
    <xf numFmtId="164" fontId="33" fillId="0" borderId="0" pivotButton="0" quotePrefix="0" xfId="0"/>
    <xf numFmtId="165" fontId="32" fillId="0" borderId="0" pivotButton="0" quotePrefix="0" xfId="0"/>
    <xf numFmtId="164" fontId="32" fillId="0" borderId="0" pivotButton="0" quotePrefix="0" xfId="0"/>
    <xf numFmtId="164" fontId="33" fillId="0" borderId="1" pivotButton="0" quotePrefix="0" xfId="0"/>
    <xf numFmtId="172" fontId="5" fillId="17" borderId="10" applyAlignment="1" pivotButton="0" quotePrefix="0" xfId="302">
      <alignment horizontal="center"/>
    </xf>
    <xf numFmtId="0" fontId="0" fillId="0" borderId="11" pivotButton="0" quotePrefix="0" xfId="0"/>
    <xf numFmtId="0" fontId="5" fillId="17" borderId="31" applyAlignment="1" pivotButton="0" quotePrefix="0" xfId="302">
      <alignment horizontal="center"/>
    </xf>
    <xf numFmtId="0" fontId="0" fillId="0" borderId="12" pivotButton="0" quotePrefix="0" xfId="0"/>
    <xf numFmtId="172" fontId="5" fillId="17" borderId="11" applyAlignment="1" pivotButton="0" quotePrefix="0" xfId="302">
      <alignment horizontal="center"/>
    </xf>
    <xf numFmtId="172" fontId="5" fillId="0" borderId="13" applyAlignment="1" pivotButton="0" quotePrefix="0" xfId="302">
      <alignment horizontal="center"/>
    </xf>
    <xf numFmtId="172" fontId="5" fillId="0" borderId="5" applyAlignment="1" pivotButton="0" quotePrefix="0" xfId="302">
      <alignment horizontal="center"/>
    </xf>
    <xf numFmtId="172" fontId="5" fillId="0" borderId="0" applyAlignment="1" pivotButton="0" quotePrefix="0" xfId="302">
      <alignment horizontal="center"/>
    </xf>
    <xf numFmtId="172" fontId="5" fillId="17" borderId="12" applyAlignment="1" pivotButton="0" quotePrefix="0" xfId="302">
      <alignment horizontal="center"/>
    </xf>
    <xf numFmtId="172" fontId="5" fillId="17" borderId="31" applyAlignment="1" pivotButton="0" quotePrefix="0" xfId="302">
      <alignment horizontal="center"/>
    </xf>
    <xf numFmtId="172" fontId="5" fillId="0" borderId="15" applyAlignment="1" pivotButton="0" quotePrefix="0" xfId="302">
      <alignment horizontal="center"/>
    </xf>
    <xf numFmtId="172" fontId="5" fillId="0" borderId="16" applyAlignment="1" pivotButton="0" quotePrefix="0" xfId="302">
      <alignment horizontal="center"/>
    </xf>
    <xf numFmtId="173" fontId="40" fillId="0" borderId="10" applyAlignment="1" pivotButton="0" quotePrefix="0" xfId="302">
      <alignment horizontal="center"/>
    </xf>
    <xf numFmtId="173" fontId="40" fillId="0" borderId="11" applyAlignment="1" pivotButton="0" quotePrefix="0" xfId="302">
      <alignment horizontal="center"/>
    </xf>
    <xf numFmtId="173" fontId="40" fillId="0" borderId="12" applyAlignment="1" pivotButton="0" quotePrefix="0" xfId="302">
      <alignment horizontal="center"/>
    </xf>
    <xf numFmtId="173" fontId="40" fillId="0" borderId="15" applyAlignment="1" pivotButton="0" quotePrefix="0" xfId="302">
      <alignment horizontal="center"/>
    </xf>
    <xf numFmtId="173" fontId="40" fillId="0" borderId="0" applyAlignment="1" pivotButton="0" quotePrefix="0" xfId="302">
      <alignment horizontal="center"/>
    </xf>
    <xf numFmtId="173" fontId="40" fillId="0" borderId="16" applyAlignment="1" pivotButton="0" quotePrefix="0" xfId="302">
      <alignment horizontal="center"/>
    </xf>
    <xf numFmtId="173" fontId="40" fillId="0" borderId="13" applyAlignment="1" pivotButton="0" quotePrefix="0" xfId="302">
      <alignment horizontal="center"/>
    </xf>
    <xf numFmtId="173" fontId="40" fillId="0" borderId="5" applyAlignment="1" pivotButton="0" quotePrefix="0" xfId="302">
      <alignment horizontal="center"/>
    </xf>
    <xf numFmtId="173" fontId="40" fillId="0" borderId="14" applyAlignment="1" pivotButton="0" quotePrefix="0" xfId="302">
      <alignment horizontal="center"/>
    </xf>
  </cellXfs>
  <cellStyles count="11">
    <cellStyle name="Normal" xfId="0" builtinId="0"/>
    <cellStyle name="Comma" xfId="1" builtinId="3"/>
    <cellStyle name="Percent" xfId="2" builtinId="5"/>
    <cellStyle name="Hyperlink" xfId="3" builtinId="8" hidden="1"/>
    <cellStyle name="Followed Hyperlink" xfId="4" builtinId="9" hidden="1"/>
    <cellStyle name="Normal 2" xfId="5"/>
    <cellStyle name="Percent 2" xfId="6"/>
    <cellStyle name="Comma 2" xfId="7"/>
    <cellStyle name="Currency [0]" xfId="8" builtinId="7"/>
    <cellStyle name="Normal 3" xfId="9"/>
    <cellStyle name="Currency" xfId="10" builtinId="4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rgb="FFC00000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rgb="FFC00000"/>
        </patternFill>
      </fill>
      <alignment horizontal="left" vertical="bottom"/>
    </dxf>
    <dxf>
      <font>
        <name val="Arial"/>
        <family val="2"/>
        <b val="1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rgb="FFC00000"/>
        </patternFill>
      </fill>
      <alignment horizontal="left" vertical="bottom"/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externalLink" Target="/xl/externalLinks/externalLink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omments/comment1.xml><?xml version="1.0" encoding="utf-8"?>
<comments xmlns="http://schemas.openxmlformats.org/spreadsheetml/2006/main">
  <authors>
    <author>One Pangaea</author>
  </authors>
  <commentList>
    <comment ref="L14" authorId="0" shapeId="0">
      <text>
        <t xml:space="preserve">Adjust Mortality especially in the case of HIV
</t>
      </text>
    </comment>
  </commentList>
</comments>
</file>

<file path=xl/comments/comment2.xml><?xml version="1.0" encoding="utf-8"?>
<comments xmlns="http://schemas.openxmlformats.org/spreadsheetml/2006/main">
  <authors>
    <author>One Pangaea</author>
  </authors>
  <commentList>
    <comment ref="Y9" authorId="0" shapeId="0">
      <text>
        <t xml:space="preserve">One Pangaea:
The age on the DoC is the age for the current financial year rounded up. </t>
      </text>
    </comment>
  </commentList>
</comment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https://d.docs.live.net/ASUS%20LAPTOP%20MARCH%202021/DLs/Downloads/Projects/Tsebo%20Actuaries/Templates/LOI_LIMIT%20(RAF%20Amendment%20Act)%20v5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x Dummy"/>
      <sheetName val="Lookup"/>
      <sheetName val="Ad Hoc Calcs"/>
      <sheetName val="HIV Treatment"/>
      <sheetName val="AAOL"/>
      <sheetName val="Inputs &amp; Results"/>
      <sheetName val="Pre-M Income"/>
      <sheetName val="Post-M Income"/>
      <sheetName val="LOI CALC"/>
      <sheetName val="Quarterly Limits"/>
      <sheetName val="QYB"/>
      <sheetName val="Progressions"/>
      <sheetName val="RAF STATS"/>
    </sheetNames>
    <sheetDataSet>
      <sheetData sheetId="0">
        <row r="3"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</row>
        <row r="4">
          <cell r="B4">
            <v>1993</v>
          </cell>
          <cell r="C4">
            <v>0</v>
          </cell>
          <cell r="D4">
            <v>5000</v>
          </cell>
          <cell r="E4">
            <v>10000</v>
          </cell>
          <cell r="F4">
            <v>15000</v>
          </cell>
          <cell r="G4">
            <v>20000</v>
          </cell>
          <cell r="H4">
            <v>30000</v>
          </cell>
          <cell r="I4">
            <v>40000</v>
          </cell>
          <cell r="J4">
            <v>50000</v>
          </cell>
          <cell r="K4">
            <v>60000</v>
          </cell>
          <cell r="L4">
            <v>80000</v>
          </cell>
          <cell r="M4">
            <v>100000000</v>
          </cell>
          <cell r="N4">
            <v>0</v>
          </cell>
          <cell r="O4">
            <v>850.00000000000011</v>
          </cell>
          <cell r="P4">
            <v>1750</v>
          </cell>
          <cell r="Q4">
            <v>2700</v>
          </cell>
          <cell r="R4">
            <v>3700</v>
          </cell>
          <cell r="S4">
            <v>5800</v>
          </cell>
          <cell r="T4">
            <v>8600</v>
          </cell>
          <cell r="U4">
            <v>12200</v>
          </cell>
          <cell r="V4">
            <v>16300</v>
          </cell>
          <cell r="W4">
            <v>24700</v>
          </cell>
          <cell r="X4">
            <v>0</v>
          </cell>
          <cell r="Y4">
            <v>0.17</v>
          </cell>
          <cell r="Z4">
            <v>0.18</v>
          </cell>
          <cell r="AA4">
            <v>0.19</v>
          </cell>
          <cell r="AB4">
            <v>0.2</v>
          </cell>
          <cell r="AC4">
            <v>0.21</v>
          </cell>
          <cell r="AD4">
            <v>0.28000000000000003</v>
          </cell>
          <cell r="AE4">
            <v>0.36</v>
          </cell>
          <cell r="AF4">
            <v>0.41</v>
          </cell>
          <cell r="AG4">
            <v>0.42</v>
          </cell>
          <cell r="AH4">
            <v>0.43</v>
          </cell>
          <cell r="AI4">
            <v>2225</v>
          </cell>
          <cell r="AJ4">
            <v>0</v>
          </cell>
          <cell r="AK4">
            <v>0</v>
          </cell>
        </row>
        <row r="5">
          <cell r="B5">
            <v>1994</v>
          </cell>
          <cell r="C5">
            <v>0</v>
          </cell>
          <cell r="D5">
            <v>5000</v>
          </cell>
          <cell r="E5">
            <v>10000</v>
          </cell>
          <cell r="F5">
            <v>15000</v>
          </cell>
          <cell r="G5">
            <v>20000</v>
          </cell>
          <cell r="H5">
            <v>30000</v>
          </cell>
          <cell r="I5">
            <v>40000</v>
          </cell>
          <cell r="J5">
            <v>50000</v>
          </cell>
          <cell r="K5">
            <v>70000</v>
          </cell>
          <cell r="L5">
            <v>80000</v>
          </cell>
          <cell r="M5">
            <v>100000000</v>
          </cell>
          <cell r="N5">
            <v>0</v>
          </cell>
          <cell r="O5">
            <v>850.00000000000011</v>
          </cell>
          <cell r="P5">
            <v>1750</v>
          </cell>
          <cell r="Q5">
            <v>2700</v>
          </cell>
          <cell r="R5">
            <v>3700</v>
          </cell>
          <cell r="S5">
            <v>5800</v>
          </cell>
          <cell r="T5">
            <v>8900</v>
          </cell>
          <cell r="U5">
            <v>13100</v>
          </cell>
          <cell r="V5">
            <v>21700</v>
          </cell>
          <cell r="W5">
            <v>26100</v>
          </cell>
          <cell r="X5">
            <v>0</v>
          </cell>
          <cell r="Y5">
            <v>0.17</v>
          </cell>
          <cell r="Z5">
            <v>0.18</v>
          </cell>
          <cell r="AA5">
            <v>0.19</v>
          </cell>
          <cell r="AB5">
            <v>0.2</v>
          </cell>
          <cell r="AC5">
            <v>0.21</v>
          </cell>
          <cell r="AD5">
            <v>0.31</v>
          </cell>
          <cell r="AE5">
            <v>0.42</v>
          </cell>
          <cell r="AF5">
            <v>0.43</v>
          </cell>
          <cell r="AG5">
            <v>0.44</v>
          </cell>
          <cell r="AH5">
            <v>0.45</v>
          </cell>
          <cell r="AI5">
            <v>2625</v>
          </cell>
          <cell r="AJ5">
            <v>0</v>
          </cell>
          <cell r="AK5">
            <v>0</v>
          </cell>
        </row>
        <row r="6">
          <cell r="B6">
            <v>1995</v>
          </cell>
          <cell r="C6">
            <v>0</v>
          </cell>
          <cell r="D6">
            <v>5000</v>
          </cell>
          <cell r="E6">
            <v>10000</v>
          </cell>
          <cell r="F6">
            <v>15000</v>
          </cell>
          <cell r="G6">
            <v>20000</v>
          </cell>
          <cell r="H6">
            <v>30000</v>
          </cell>
          <cell r="I6">
            <v>40000</v>
          </cell>
          <cell r="J6">
            <v>50000</v>
          </cell>
          <cell r="K6">
            <v>70000</v>
          </cell>
          <cell r="L6">
            <v>80000</v>
          </cell>
          <cell r="M6">
            <v>100000000</v>
          </cell>
          <cell r="N6">
            <v>0</v>
          </cell>
          <cell r="O6">
            <v>850.00000000000011</v>
          </cell>
          <cell r="P6">
            <v>1750</v>
          </cell>
          <cell r="Q6">
            <v>2700</v>
          </cell>
          <cell r="R6">
            <v>3700</v>
          </cell>
          <cell r="S6">
            <v>5800</v>
          </cell>
          <cell r="T6">
            <v>8900</v>
          </cell>
          <cell r="U6">
            <v>13100</v>
          </cell>
          <cell r="V6">
            <v>21700</v>
          </cell>
          <cell r="W6">
            <v>26100</v>
          </cell>
          <cell r="X6">
            <v>0</v>
          </cell>
          <cell r="Y6">
            <v>0.17</v>
          </cell>
          <cell r="Z6">
            <v>0.18</v>
          </cell>
          <cell r="AA6">
            <v>0.19</v>
          </cell>
          <cell r="AB6">
            <v>0.2</v>
          </cell>
          <cell r="AC6">
            <v>0.21</v>
          </cell>
          <cell r="AD6">
            <v>0.31</v>
          </cell>
          <cell r="AE6">
            <v>0.42</v>
          </cell>
          <cell r="AF6">
            <v>0.43</v>
          </cell>
          <cell r="AG6">
            <v>0.44</v>
          </cell>
          <cell r="AH6">
            <v>0.45</v>
          </cell>
          <cell r="AI6">
            <v>2625</v>
          </cell>
          <cell r="AJ6">
            <v>0</v>
          </cell>
          <cell r="AK6">
            <v>0</v>
          </cell>
        </row>
        <row r="7">
          <cell r="B7">
            <v>1996</v>
          </cell>
          <cell r="C7">
            <v>0</v>
          </cell>
          <cell r="D7">
            <v>5000</v>
          </cell>
          <cell r="E7">
            <v>10000</v>
          </cell>
          <cell r="F7">
            <v>15000</v>
          </cell>
          <cell r="G7">
            <v>20000</v>
          </cell>
          <cell r="H7">
            <v>30000</v>
          </cell>
          <cell r="I7">
            <v>40000</v>
          </cell>
          <cell r="J7">
            <v>50000</v>
          </cell>
          <cell r="K7">
            <v>70000</v>
          </cell>
          <cell r="L7">
            <v>80000</v>
          </cell>
          <cell r="M7">
            <v>100000000</v>
          </cell>
          <cell r="N7">
            <v>0</v>
          </cell>
          <cell r="O7">
            <v>850.00000000000011</v>
          </cell>
          <cell r="P7">
            <v>1750</v>
          </cell>
          <cell r="Q7">
            <v>2700</v>
          </cell>
          <cell r="R7">
            <v>3700</v>
          </cell>
          <cell r="S7">
            <v>5800</v>
          </cell>
          <cell r="T7">
            <v>8900</v>
          </cell>
          <cell r="U7">
            <v>13100</v>
          </cell>
          <cell r="V7">
            <v>21700</v>
          </cell>
          <cell r="W7">
            <v>26100</v>
          </cell>
          <cell r="X7">
            <v>0</v>
          </cell>
          <cell r="Y7">
            <v>0.17</v>
          </cell>
          <cell r="Z7">
            <v>0.18</v>
          </cell>
          <cell r="AA7">
            <v>0.19</v>
          </cell>
          <cell r="AB7">
            <v>0.2</v>
          </cell>
          <cell r="AC7">
            <v>0.21</v>
          </cell>
          <cell r="AD7">
            <v>0.31</v>
          </cell>
          <cell r="AE7">
            <v>0.42</v>
          </cell>
          <cell r="AF7">
            <v>0.43</v>
          </cell>
          <cell r="AG7">
            <v>0.44</v>
          </cell>
          <cell r="AH7">
            <v>0.45</v>
          </cell>
          <cell r="AI7">
            <v>2625</v>
          </cell>
          <cell r="AJ7">
            <v>0</v>
          </cell>
          <cell r="AK7">
            <v>0</v>
          </cell>
        </row>
        <row r="8">
          <cell r="B8">
            <v>1997</v>
          </cell>
          <cell r="C8">
            <v>0</v>
          </cell>
          <cell r="D8">
            <v>15000</v>
          </cell>
          <cell r="E8">
            <v>20000</v>
          </cell>
          <cell r="F8">
            <v>30000</v>
          </cell>
          <cell r="G8">
            <v>40000</v>
          </cell>
          <cell r="H8">
            <v>60000</v>
          </cell>
          <cell r="I8">
            <v>80000</v>
          </cell>
          <cell r="J8">
            <v>100000</v>
          </cell>
          <cell r="K8">
            <v>100000</v>
          </cell>
          <cell r="L8">
            <v>100000</v>
          </cell>
          <cell r="M8">
            <v>100000000</v>
          </cell>
          <cell r="N8">
            <v>0</v>
          </cell>
          <cell r="O8">
            <v>2550</v>
          </cell>
          <cell r="P8">
            <v>3500</v>
          </cell>
          <cell r="Q8">
            <v>5600</v>
          </cell>
          <cell r="R8">
            <v>8600</v>
          </cell>
          <cell r="S8">
            <v>16800</v>
          </cell>
          <cell r="T8">
            <v>25400</v>
          </cell>
          <cell r="U8">
            <v>34200</v>
          </cell>
          <cell r="V8">
            <v>34200</v>
          </cell>
          <cell r="W8">
            <v>34200</v>
          </cell>
          <cell r="X8">
            <v>0</v>
          </cell>
          <cell r="Y8">
            <v>0.17</v>
          </cell>
          <cell r="Z8">
            <v>0.19</v>
          </cell>
          <cell r="AA8">
            <v>0.21</v>
          </cell>
          <cell r="AB8">
            <v>0.3</v>
          </cell>
          <cell r="AC8">
            <v>0.41</v>
          </cell>
          <cell r="AD8">
            <v>0.43</v>
          </cell>
          <cell r="AE8">
            <v>0.44</v>
          </cell>
          <cell r="AF8">
            <v>0.45</v>
          </cell>
          <cell r="AG8">
            <v>0.45</v>
          </cell>
          <cell r="AH8">
            <v>0.45</v>
          </cell>
          <cell r="AI8">
            <v>2660</v>
          </cell>
          <cell r="AJ8">
            <v>0</v>
          </cell>
          <cell r="AK8">
            <v>0</v>
          </cell>
        </row>
        <row r="9">
          <cell r="B9">
            <v>1998</v>
          </cell>
          <cell r="C9">
            <v>0</v>
          </cell>
          <cell r="D9">
            <v>31000</v>
          </cell>
          <cell r="E9">
            <v>35000</v>
          </cell>
          <cell r="F9">
            <v>45000</v>
          </cell>
          <cell r="G9">
            <v>60000</v>
          </cell>
          <cell r="H9">
            <v>70000</v>
          </cell>
          <cell r="I9">
            <v>100000</v>
          </cell>
          <cell r="J9">
            <v>100000</v>
          </cell>
          <cell r="K9">
            <v>100000</v>
          </cell>
          <cell r="L9">
            <v>100000</v>
          </cell>
          <cell r="M9">
            <v>100000000</v>
          </cell>
          <cell r="N9">
            <v>0</v>
          </cell>
          <cell r="O9">
            <v>5890</v>
          </cell>
          <cell r="P9">
            <v>7090</v>
          </cell>
          <cell r="Q9">
            <v>10290</v>
          </cell>
          <cell r="R9">
            <v>16440</v>
          </cell>
          <cell r="S9">
            <v>20740</v>
          </cell>
          <cell r="T9">
            <v>33940</v>
          </cell>
          <cell r="U9">
            <v>33940</v>
          </cell>
          <cell r="V9">
            <v>33940</v>
          </cell>
          <cell r="W9">
            <v>33940</v>
          </cell>
          <cell r="X9">
            <v>0</v>
          </cell>
          <cell r="Y9">
            <v>0.19</v>
          </cell>
          <cell r="Z9">
            <v>0.3</v>
          </cell>
          <cell r="AA9">
            <v>0.32</v>
          </cell>
          <cell r="AB9">
            <v>0.41</v>
          </cell>
          <cell r="AC9">
            <v>0.43</v>
          </cell>
          <cell r="AD9">
            <v>0.44</v>
          </cell>
          <cell r="AE9">
            <v>0.45</v>
          </cell>
          <cell r="AF9">
            <v>0.45</v>
          </cell>
          <cell r="AG9">
            <v>0.45</v>
          </cell>
          <cell r="AH9">
            <v>0.45</v>
          </cell>
          <cell r="AI9">
            <v>3215</v>
          </cell>
          <cell r="AJ9">
            <v>2500</v>
          </cell>
          <cell r="AK9">
            <v>0</v>
          </cell>
        </row>
        <row r="10">
          <cell r="B10">
            <v>1999</v>
          </cell>
          <cell r="C10">
            <v>0</v>
          </cell>
          <cell r="D10">
            <v>31000</v>
          </cell>
          <cell r="E10">
            <v>46000</v>
          </cell>
          <cell r="F10">
            <v>60000</v>
          </cell>
          <cell r="G10">
            <v>70000</v>
          </cell>
          <cell r="H10">
            <v>120000</v>
          </cell>
          <cell r="I10">
            <v>120000</v>
          </cell>
          <cell r="J10">
            <v>120000</v>
          </cell>
          <cell r="K10">
            <v>120000</v>
          </cell>
          <cell r="L10">
            <v>120000</v>
          </cell>
          <cell r="M10">
            <v>100000000</v>
          </cell>
          <cell r="N10">
            <v>0</v>
          </cell>
          <cell r="O10">
            <v>5890</v>
          </cell>
          <cell r="P10">
            <v>10390</v>
          </cell>
          <cell r="Q10">
            <v>15850</v>
          </cell>
          <cell r="R10">
            <v>20150</v>
          </cell>
          <cell r="S10">
            <v>42150</v>
          </cell>
          <cell r="T10">
            <v>42150</v>
          </cell>
          <cell r="U10">
            <v>42150</v>
          </cell>
          <cell r="V10">
            <v>42150</v>
          </cell>
          <cell r="W10">
            <v>42150</v>
          </cell>
          <cell r="X10">
            <v>0</v>
          </cell>
          <cell r="Y10">
            <v>0.19</v>
          </cell>
          <cell r="Z10">
            <v>0.3</v>
          </cell>
          <cell r="AA10">
            <v>0.39</v>
          </cell>
          <cell r="AB10">
            <v>0.43</v>
          </cell>
          <cell r="AC10">
            <v>0.44</v>
          </cell>
          <cell r="AD10">
            <v>0.45</v>
          </cell>
          <cell r="AE10">
            <v>0.45</v>
          </cell>
          <cell r="AF10">
            <v>0.45</v>
          </cell>
          <cell r="AG10">
            <v>0.45</v>
          </cell>
          <cell r="AH10">
            <v>0.45</v>
          </cell>
          <cell r="AI10">
            <v>3515</v>
          </cell>
          <cell r="AJ10">
            <v>2600</v>
          </cell>
          <cell r="AK10">
            <v>0</v>
          </cell>
        </row>
        <row r="11">
          <cell r="B11">
            <v>2000</v>
          </cell>
          <cell r="C11">
            <v>0</v>
          </cell>
          <cell r="D11">
            <v>33000</v>
          </cell>
          <cell r="E11">
            <v>50000</v>
          </cell>
          <cell r="F11">
            <v>60000</v>
          </cell>
          <cell r="G11">
            <v>70000</v>
          </cell>
          <cell r="H11">
            <v>120000</v>
          </cell>
          <cell r="I11">
            <v>120000</v>
          </cell>
          <cell r="J11">
            <v>120000</v>
          </cell>
          <cell r="K11">
            <v>120000</v>
          </cell>
          <cell r="L11">
            <v>120000</v>
          </cell>
          <cell r="M11">
            <v>100000000</v>
          </cell>
          <cell r="N11">
            <v>0</v>
          </cell>
          <cell r="O11">
            <v>6270</v>
          </cell>
          <cell r="P11">
            <v>11370</v>
          </cell>
          <cell r="Q11">
            <v>14870</v>
          </cell>
          <cell r="R11">
            <v>18870</v>
          </cell>
          <cell r="S11">
            <v>40870</v>
          </cell>
          <cell r="T11">
            <v>40870</v>
          </cell>
          <cell r="U11">
            <v>40870</v>
          </cell>
          <cell r="V11">
            <v>40870</v>
          </cell>
          <cell r="W11">
            <v>40870</v>
          </cell>
          <cell r="X11">
            <v>0</v>
          </cell>
          <cell r="Y11">
            <v>0.19</v>
          </cell>
          <cell r="Z11">
            <v>0.3</v>
          </cell>
          <cell r="AA11">
            <v>0.35</v>
          </cell>
          <cell r="AB11">
            <v>0.4</v>
          </cell>
          <cell r="AC11">
            <v>0.44</v>
          </cell>
          <cell r="AD11">
            <v>0.45</v>
          </cell>
          <cell r="AE11">
            <v>0.45</v>
          </cell>
          <cell r="AF11">
            <v>0.45</v>
          </cell>
          <cell r="AG11">
            <v>0.45</v>
          </cell>
          <cell r="AH11">
            <v>0.45</v>
          </cell>
          <cell r="AI11">
            <v>3710</v>
          </cell>
          <cell r="AJ11">
            <v>2775</v>
          </cell>
          <cell r="AK11">
            <v>0</v>
          </cell>
        </row>
        <row r="12">
          <cell r="B12">
            <v>2001</v>
          </cell>
          <cell r="C12">
            <v>0</v>
          </cell>
          <cell r="D12">
            <v>35000</v>
          </cell>
          <cell r="E12">
            <v>45000</v>
          </cell>
          <cell r="F12">
            <v>60000</v>
          </cell>
          <cell r="G12">
            <v>70000</v>
          </cell>
          <cell r="H12">
            <v>200000</v>
          </cell>
          <cell r="I12">
            <v>200000</v>
          </cell>
          <cell r="J12">
            <v>200000</v>
          </cell>
          <cell r="K12">
            <v>200000</v>
          </cell>
          <cell r="L12">
            <v>200000</v>
          </cell>
          <cell r="M12">
            <v>100000000</v>
          </cell>
          <cell r="N12">
            <v>0</v>
          </cell>
          <cell r="O12">
            <v>6300</v>
          </cell>
          <cell r="P12">
            <v>8900</v>
          </cell>
          <cell r="Q12">
            <v>13700</v>
          </cell>
          <cell r="R12">
            <v>17400</v>
          </cell>
          <cell r="S12">
            <v>69400</v>
          </cell>
          <cell r="T12">
            <v>69400</v>
          </cell>
          <cell r="U12">
            <v>69400</v>
          </cell>
          <cell r="V12">
            <v>69400</v>
          </cell>
          <cell r="W12">
            <v>69400</v>
          </cell>
          <cell r="X12">
            <v>0</v>
          </cell>
          <cell r="Y12">
            <v>0.18</v>
          </cell>
          <cell r="Z12">
            <v>0.26</v>
          </cell>
          <cell r="AA12">
            <v>0.32</v>
          </cell>
          <cell r="AB12">
            <v>0.37</v>
          </cell>
          <cell r="AC12">
            <v>0.4</v>
          </cell>
          <cell r="AD12">
            <v>0.42</v>
          </cell>
          <cell r="AE12">
            <v>0.42</v>
          </cell>
          <cell r="AF12">
            <v>0.42</v>
          </cell>
          <cell r="AG12">
            <v>0.42</v>
          </cell>
          <cell r="AH12">
            <v>0.42</v>
          </cell>
          <cell r="AI12">
            <v>3800</v>
          </cell>
          <cell r="AJ12">
            <v>2900</v>
          </cell>
          <cell r="AK12">
            <v>0</v>
          </cell>
        </row>
        <row r="13">
          <cell r="B13">
            <v>2002</v>
          </cell>
          <cell r="C13">
            <v>0</v>
          </cell>
          <cell r="D13">
            <v>38000</v>
          </cell>
          <cell r="E13">
            <v>55000</v>
          </cell>
          <cell r="F13">
            <v>80000</v>
          </cell>
          <cell r="G13">
            <v>100000</v>
          </cell>
          <cell r="H13">
            <v>215000</v>
          </cell>
          <cell r="I13">
            <v>215000</v>
          </cell>
          <cell r="J13">
            <v>215000</v>
          </cell>
          <cell r="K13">
            <v>215000</v>
          </cell>
          <cell r="L13">
            <v>215000</v>
          </cell>
          <cell r="M13">
            <v>100000000</v>
          </cell>
          <cell r="N13">
            <v>0</v>
          </cell>
          <cell r="O13">
            <v>6840</v>
          </cell>
          <cell r="P13">
            <v>11260</v>
          </cell>
          <cell r="Q13">
            <v>19260</v>
          </cell>
          <cell r="R13">
            <v>26660</v>
          </cell>
          <cell r="S13">
            <v>72660</v>
          </cell>
          <cell r="T13">
            <v>72660</v>
          </cell>
          <cell r="U13">
            <v>72660</v>
          </cell>
          <cell r="V13">
            <v>72660</v>
          </cell>
          <cell r="W13">
            <v>72660</v>
          </cell>
          <cell r="X13">
            <v>0</v>
          </cell>
          <cell r="Y13">
            <v>0.18</v>
          </cell>
          <cell r="Z13">
            <v>0.26</v>
          </cell>
          <cell r="AA13">
            <v>0.32</v>
          </cell>
          <cell r="AB13">
            <v>0.37</v>
          </cell>
          <cell r="AC13">
            <v>0.4</v>
          </cell>
          <cell r="AD13">
            <v>0.42</v>
          </cell>
          <cell r="AE13">
            <v>0.42</v>
          </cell>
          <cell r="AF13">
            <v>0.42</v>
          </cell>
          <cell r="AG13">
            <v>0.42</v>
          </cell>
          <cell r="AH13">
            <v>0.42</v>
          </cell>
          <cell r="AI13">
            <v>4140</v>
          </cell>
          <cell r="AJ13">
            <v>3000</v>
          </cell>
          <cell r="AK13">
            <v>0</v>
          </cell>
        </row>
        <row r="14">
          <cell r="B14">
            <v>2003</v>
          </cell>
          <cell r="C14">
            <v>0</v>
          </cell>
          <cell r="D14">
            <v>40000</v>
          </cell>
          <cell r="E14">
            <v>80000</v>
          </cell>
          <cell r="F14">
            <v>110000</v>
          </cell>
          <cell r="G14">
            <v>170000</v>
          </cell>
          <cell r="H14">
            <v>240000</v>
          </cell>
          <cell r="I14">
            <v>240000</v>
          </cell>
          <cell r="J14">
            <v>240000</v>
          </cell>
          <cell r="K14">
            <v>240000</v>
          </cell>
          <cell r="L14">
            <v>240000</v>
          </cell>
          <cell r="M14">
            <v>100000000</v>
          </cell>
          <cell r="N14">
            <v>0</v>
          </cell>
          <cell r="O14">
            <v>7200</v>
          </cell>
          <cell r="P14">
            <v>17200</v>
          </cell>
          <cell r="Q14">
            <v>26200</v>
          </cell>
          <cell r="R14">
            <v>47200</v>
          </cell>
          <cell r="S14">
            <v>73800</v>
          </cell>
          <cell r="T14">
            <v>73800</v>
          </cell>
          <cell r="U14">
            <v>73800</v>
          </cell>
          <cell r="V14">
            <v>73800</v>
          </cell>
          <cell r="W14">
            <v>73800</v>
          </cell>
          <cell r="X14">
            <v>0</v>
          </cell>
          <cell r="Y14">
            <v>0.18</v>
          </cell>
          <cell r="Z14">
            <v>0.25</v>
          </cell>
          <cell r="AA14">
            <v>0.3</v>
          </cell>
          <cell r="AB14">
            <v>0.35</v>
          </cell>
          <cell r="AC14">
            <v>0.38</v>
          </cell>
          <cell r="AD14">
            <v>0.4</v>
          </cell>
          <cell r="AE14">
            <v>0.4</v>
          </cell>
          <cell r="AF14">
            <v>0.4</v>
          </cell>
          <cell r="AG14">
            <v>0.4</v>
          </cell>
          <cell r="AH14">
            <v>0.4</v>
          </cell>
          <cell r="AI14">
            <v>4860</v>
          </cell>
          <cell r="AJ14">
            <v>3000</v>
          </cell>
          <cell r="AK14">
            <v>0</v>
          </cell>
        </row>
        <row r="15">
          <cell r="B15">
            <v>2004</v>
          </cell>
          <cell r="C15">
            <v>0</v>
          </cell>
          <cell r="D15">
            <v>70000</v>
          </cell>
          <cell r="E15">
            <v>110000</v>
          </cell>
          <cell r="F15">
            <v>140000</v>
          </cell>
          <cell r="G15">
            <v>180000</v>
          </cell>
          <cell r="H15">
            <v>255000</v>
          </cell>
          <cell r="I15">
            <v>255000</v>
          </cell>
          <cell r="J15">
            <v>255000</v>
          </cell>
          <cell r="K15">
            <v>255000</v>
          </cell>
          <cell r="L15">
            <v>255000</v>
          </cell>
          <cell r="M15">
            <v>100000000</v>
          </cell>
          <cell r="N15">
            <v>0</v>
          </cell>
          <cell r="O15">
            <v>12600</v>
          </cell>
          <cell r="P15">
            <v>22600</v>
          </cell>
          <cell r="Q15">
            <v>31600</v>
          </cell>
          <cell r="R15">
            <v>45600</v>
          </cell>
          <cell r="S15">
            <v>74100</v>
          </cell>
          <cell r="T15">
            <v>74100</v>
          </cell>
          <cell r="U15">
            <v>74100</v>
          </cell>
          <cell r="V15">
            <v>74100</v>
          </cell>
          <cell r="W15">
            <v>74100</v>
          </cell>
          <cell r="X15">
            <v>0</v>
          </cell>
          <cell r="Y15">
            <v>0.18</v>
          </cell>
          <cell r="Z15">
            <v>0.25</v>
          </cell>
          <cell r="AA15">
            <v>0.3</v>
          </cell>
          <cell r="AB15">
            <v>0.35</v>
          </cell>
          <cell r="AC15">
            <v>0.38</v>
          </cell>
          <cell r="AD15">
            <v>0.4</v>
          </cell>
          <cell r="AE15">
            <v>0.4</v>
          </cell>
          <cell r="AF15">
            <v>0.4</v>
          </cell>
          <cell r="AG15">
            <v>0.4</v>
          </cell>
          <cell r="AH15">
            <v>0.4</v>
          </cell>
          <cell r="AI15">
            <v>5400</v>
          </cell>
          <cell r="AJ15">
            <v>3100</v>
          </cell>
          <cell r="AK15">
            <v>0</v>
          </cell>
        </row>
        <row r="16">
          <cell r="B16">
            <v>2005</v>
          </cell>
          <cell r="C16">
            <v>0</v>
          </cell>
          <cell r="D16">
            <v>74000</v>
          </cell>
          <cell r="E16">
            <v>115000</v>
          </cell>
          <cell r="F16">
            <v>155000</v>
          </cell>
          <cell r="G16">
            <v>195000</v>
          </cell>
          <cell r="H16">
            <v>270000</v>
          </cell>
          <cell r="I16">
            <v>270000</v>
          </cell>
          <cell r="J16">
            <v>270000</v>
          </cell>
          <cell r="K16">
            <v>270000</v>
          </cell>
          <cell r="L16">
            <v>270000</v>
          </cell>
          <cell r="M16">
            <v>105000000</v>
          </cell>
          <cell r="N16">
            <v>0</v>
          </cell>
          <cell r="O16">
            <v>13320</v>
          </cell>
          <cell r="P16">
            <v>23570</v>
          </cell>
          <cell r="Q16">
            <v>35570</v>
          </cell>
          <cell r="R16">
            <v>49570</v>
          </cell>
          <cell r="S16">
            <v>78070</v>
          </cell>
          <cell r="T16">
            <v>78070</v>
          </cell>
          <cell r="U16">
            <v>78070</v>
          </cell>
          <cell r="V16">
            <v>78070</v>
          </cell>
          <cell r="W16">
            <v>78070</v>
          </cell>
          <cell r="X16">
            <v>0</v>
          </cell>
          <cell r="Y16">
            <v>0.18</v>
          </cell>
          <cell r="Z16">
            <v>0.25</v>
          </cell>
          <cell r="AA16">
            <v>0.3</v>
          </cell>
          <cell r="AB16">
            <v>0.35</v>
          </cell>
          <cell r="AC16">
            <v>0.38</v>
          </cell>
          <cell r="AD16">
            <v>0.4</v>
          </cell>
          <cell r="AE16">
            <v>0.4</v>
          </cell>
          <cell r="AF16">
            <v>0.4</v>
          </cell>
          <cell r="AG16">
            <v>0.4</v>
          </cell>
          <cell r="AH16">
            <v>0.4</v>
          </cell>
          <cell r="AI16">
            <v>5800</v>
          </cell>
          <cell r="AJ16">
            <v>3200</v>
          </cell>
          <cell r="AK16">
            <v>0</v>
          </cell>
        </row>
        <row r="17">
          <cell r="B17">
            <v>2006</v>
          </cell>
          <cell r="C17">
            <v>0</v>
          </cell>
          <cell r="D17">
            <v>80000</v>
          </cell>
          <cell r="E17">
            <v>130000</v>
          </cell>
          <cell r="F17">
            <v>180000</v>
          </cell>
          <cell r="G17">
            <v>230000</v>
          </cell>
          <cell r="H17">
            <v>300000</v>
          </cell>
          <cell r="I17">
            <v>300000</v>
          </cell>
          <cell r="J17">
            <v>300000</v>
          </cell>
          <cell r="K17">
            <v>300000</v>
          </cell>
          <cell r="L17">
            <v>300000</v>
          </cell>
          <cell r="M17">
            <v>110000000</v>
          </cell>
          <cell r="N17">
            <v>0</v>
          </cell>
          <cell r="O17">
            <v>14400</v>
          </cell>
          <cell r="P17">
            <v>26900</v>
          </cell>
          <cell r="Q17">
            <v>41900</v>
          </cell>
          <cell r="R17">
            <v>59400</v>
          </cell>
          <cell r="S17">
            <v>86000</v>
          </cell>
          <cell r="T17">
            <v>86000</v>
          </cell>
          <cell r="U17">
            <v>86000</v>
          </cell>
          <cell r="V17">
            <v>86000</v>
          </cell>
          <cell r="W17">
            <v>86000</v>
          </cell>
          <cell r="X17">
            <v>0</v>
          </cell>
          <cell r="Y17">
            <v>0.18</v>
          </cell>
          <cell r="Z17">
            <v>0.25</v>
          </cell>
          <cell r="AA17">
            <v>0.3</v>
          </cell>
          <cell r="AB17">
            <v>0.35</v>
          </cell>
          <cell r="AC17">
            <v>0.38</v>
          </cell>
          <cell r="AD17">
            <v>0.4</v>
          </cell>
          <cell r="AE17">
            <v>0.4</v>
          </cell>
          <cell r="AF17">
            <v>0.4</v>
          </cell>
          <cell r="AG17">
            <v>0.4</v>
          </cell>
          <cell r="AH17">
            <v>0.4</v>
          </cell>
          <cell r="AI17">
            <v>6300</v>
          </cell>
          <cell r="AJ17">
            <v>4500</v>
          </cell>
          <cell r="AK17">
            <v>0</v>
          </cell>
        </row>
        <row r="18">
          <cell r="B18">
            <v>2007</v>
          </cell>
          <cell r="C18">
            <v>0</v>
          </cell>
          <cell r="D18">
            <v>100000</v>
          </cell>
          <cell r="E18">
            <v>160000</v>
          </cell>
          <cell r="F18">
            <v>220000</v>
          </cell>
          <cell r="G18">
            <v>300000</v>
          </cell>
          <cell r="H18">
            <v>400000</v>
          </cell>
          <cell r="I18">
            <v>400000</v>
          </cell>
          <cell r="J18">
            <v>400000</v>
          </cell>
          <cell r="K18">
            <v>400000</v>
          </cell>
          <cell r="L18">
            <v>400000</v>
          </cell>
          <cell r="M18">
            <v>115500000</v>
          </cell>
          <cell r="N18">
            <v>0</v>
          </cell>
          <cell r="O18">
            <v>18000</v>
          </cell>
          <cell r="P18">
            <v>33000</v>
          </cell>
          <cell r="Q18">
            <v>51000</v>
          </cell>
          <cell r="R18">
            <v>79000</v>
          </cell>
          <cell r="S18">
            <v>117000</v>
          </cell>
          <cell r="T18">
            <v>117000</v>
          </cell>
          <cell r="U18">
            <v>117000</v>
          </cell>
          <cell r="V18">
            <v>117000</v>
          </cell>
          <cell r="W18">
            <v>117000</v>
          </cell>
          <cell r="X18">
            <v>0</v>
          </cell>
          <cell r="Y18">
            <v>0.18</v>
          </cell>
          <cell r="Z18">
            <v>0.25</v>
          </cell>
          <cell r="AA18">
            <v>0.3</v>
          </cell>
          <cell r="AB18">
            <v>0.35</v>
          </cell>
          <cell r="AC18">
            <v>0.38</v>
          </cell>
          <cell r="AD18">
            <v>0.4</v>
          </cell>
          <cell r="AE18">
            <v>0.4</v>
          </cell>
          <cell r="AF18">
            <v>0.4</v>
          </cell>
          <cell r="AG18">
            <v>0.4</v>
          </cell>
          <cell r="AH18">
            <v>0.4</v>
          </cell>
          <cell r="AI18">
            <v>7200</v>
          </cell>
          <cell r="AJ18">
            <v>4500</v>
          </cell>
          <cell r="AK18">
            <v>0</v>
          </cell>
        </row>
        <row r="19">
          <cell r="B19">
            <v>2008</v>
          </cell>
          <cell r="C19">
            <v>0</v>
          </cell>
          <cell r="D19">
            <v>112500</v>
          </cell>
          <cell r="E19">
            <v>180000</v>
          </cell>
          <cell r="F19">
            <v>250000</v>
          </cell>
          <cell r="G19">
            <v>350000</v>
          </cell>
          <cell r="H19">
            <v>450000</v>
          </cell>
          <cell r="I19">
            <v>450000</v>
          </cell>
          <cell r="J19">
            <v>450000</v>
          </cell>
          <cell r="K19">
            <v>450000</v>
          </cell>
          <cell r="L19">
            <v>450000</v>
          </cell>
          <cell r="M19">
            <v>121275000</v>
          </cell>
          <cell r="N19">
            <v>0</v>
          </cell>
          <cell r="O19">
            <v>20250</v>
          </cell>
          <cell r="P19">
            <v>37125</v>
          </cell>
          <cell r="Q19">
            <v>58125</v>
          </cell>
          <cell r="R19">
            <v>93125</v>
          </cell>
          <cell r="S19">
            <v>131125</v>
          </cell>
          <cell r="T19">
            <v>131125</v>
          </cell>
          <cell r="U19">
            <v>131125</v>
          </cell>
          <cell r="V19">
            <v>131125</v>
          </cell>
          <cell r="W19">
            <v>131125</v>
          </cell>
          <cell r="X19">
            <v>0</v>
          </cell>
          <cell r="Y19">
            <v>0.18</v>
          </cell>
          <cell r="Z19">
            <v>0.25</v>
          </cell>
          <cell r="AA19">
            <v>0.3</v>
          </cell>
          <cell r="AB19">
            <v>0.35</v>
          </cell>
          <cell r="AC19">
            <v>0.38</v>
          </cell>
          <cell r="AD19">
            <v>0.4</v>
          </cell>
          <cell r="AE19">
            <v>0.4</v>
          </cell>
          <cell r="AF19">
            <v>0.4</v>
          </cell>
          <cell r="AG19">
            <v>0.4</v>
          </cell>
          <cell r="AH19">
            <v>0.4</v>
          </cell>
          <cell r="AI19">
            <v>7740</v>
          </cell>
          <cell r="AJ19">
            <v>4680</v>
          </cell>
          <cell r="AK19">
            <v>0</v>
          </cell>
        </row>
        <row r="20">
          <cell r="B20">
            <v>2009</v>
          </cell>
          <cell r="C20">
            <v>0</v>
          </cell>
          <cell r="D20">
            <v>122000</v>
          </cell>
          <cell r="E20">
            <v>195000</v>
          </cell>
          <cell r="F20">
            <v>270000</v>
          </cell>
          <cell r="G20">
            <v>380000</v>
          </cell>
          <cell r="H20">
            <v>490000</v>
          </cell>
          <cell r="I20">
            <v>490000</v>
          </cell>
          <cell r="J20">
            <v>490000</v>
          </cell>
          <cell r="K20">
            <v>490000</v>
          </cell>
          <cell r="L20">
            <v>490000</v>
          </cell>
          <cell r="M20">
            <v>127338750</v>
          </cell>
          <cell r="N20">
            <v>0</v>
          </cell>
          <cell r="O20">
            <v>21960</v>
          </cell>
          <cell r="P20">
            <v>40210</v>
          </cell>
          <cell r="Q20">
            <v>62710</v>
          </cell>
          <cell r="R20">
            <v>101210</v>
          </cell>
          <cell r="S20">
            <v>143010</v>
          </cell>
          <cell r="T20">
            <v>143010</v>
          </cell>
          <cell r="U20">
            <v>143010</v>
          </cell>
          <cell r="V20">
            <v>143010</v>
          </cell>
          <cell r="W20">
            <v>143010</v>
          </cell>
          <cell r="X20">
            <v>0</v>
          </cell>
          <cell r="Y20">
            <v>0.18</v>
          </cell>
          <cell r="Z20">
            <v>0.25</v>
          </cell>
          <cell r="AA20">
            <v>0.3</v>
          </cell>
          <cell r="AB20">
            <v>0.35</v>
          </cell>
          <cell r="AC20">
            <v>0.38</v>
          </cell>
          <cell r="AD20">
            <v>0.4</v>
          </cell>
          <cell r="AE20">
            <v>0.4</v>
          </cell>
          <cell r="AF20">
            <v>0.4</v>
          </cell>
          <cell r="AG20">
            <v>0.4</v>
          </cell>
          <cell r="AH20">
            <v>0.4</v>
          </cell>
          <cell r="AI20">
            <v>8280</v>
          </cell>
          <cell r="AJ20">
            <v>5040</v>
          </cell>
          <cell r="AK20">
            <v>0</v>
          </cell>
        </row>
        <row r="21">
          <cell r="B21">
            <v>2010</v>
          </cell>
          <cell r="C21">
            <v>0</v>
          </cell>
          <cell r="D21">
            <v>132000</v>
          </cell>
          <cell r="E21">
            <v>210000</v>
          </cell>
          <cell r="F21">
            <v>290000</v>
          </cell>
          <cell r="G21">
            <v>410000</v>
          </cell>
          <cell r="H21">
            <v>525000</v>
          </cell>
          <cell r="I21">
            <v>525000</v>
          </cell>
          <cell r="J21">
            <v>525000</v>
          </cell>
          <cell r="K21">
            <v>525000</v>
          </cell>
          <cell r="L21">
            <v>525000</v>
          </cell>
          <cell r="M21">
            <v>133705687.5</v>
          </cell>
          <cell r="N21">
            <v>0</v>
          </cell>
          <cell r="O21">
            <v>23760</v>
          </cell>
          <cell r="P21">
            <v>43260</v>
          </cell>
          <cell r="Q21">
            <v>67260</v>
          </cell>
          <cell r="R21">
            <v>109260</v>
          </cell>
          <cell r="S21">
            <v>152960</v>
          </cell>
          <cell r="T21">
            <v>152960</v>
          </cell>
          <cell r="U21">
            <v>152960</v>
          </cell>
          <cell r="V21">
            <v>152960</v>
          </cell>
          <cell r="W21">
            <v>152960</v>
          </cell>
          <cell r="X21">
            <v>0</v>
          </cell>
          <cell r="Y21">
            <v>0.18</v>
          </cell>
          <cell r="Z21">
            <v>0.25</v>
          </cell>
          <cell r="AA21">
            <v>0.3</v>
          </cell>
          <cell r="AB21">
            <v>0.35</v>
          </cell>
          <cell r="AC21">
            <v>0.38</v>
          </cell>
          <cell r="AD21">
            <v>0.4</v>
          </cell>
          <cell r="AE21">
            <v>0.4</v>
          </cell>
          <cell r="AF21">
            <v>0.4</v>
          </cell>
          <cell r="AG21">
            <v>0.4</v>
          </cell>
          <cell r="AH21">
            <v>0.4</v>
          </cell>
          <cell r="AI21">
            <v>9756</v>
          </cell>
          <cell r="AJ21">
            <v>5400</v>
          </cell>
          <cell r="AK21">
            <v>0</v>
          </cell>
        </row>
        <row r="22">
          <cell r="B22">
            <v>2011</v>
          </cell>
          <cell r="C22">
            <v>0</v>
          </cell>
          <cell r="D22">
            <v>140000</v>
          </cell>
          <cell r="E22">
            <v>221000</v>
          </cell>
          <cell r="F22">
            <v>305000</v>
          </cell>
          <cell r="G22">
            <v>431000</v>
          </cell>
          <cell r="H22">
            <v>552000</v>
          </cell>
          <cell r="I22">
            <v>552000</v>
          </cell>
          <cell r="J22">
            <v>552000</v>
          </cell>
          <cell r="K22">
            <v>552000</v>
          </cell>
          <cell r="L22">
            <v>552000</v>
          </cell>
          <cell r="M22">
            <v>140390971.875</v>
          </cell>
          <cell r="N22">
            <v>0</v>
          </cell>
          <cell r="O22">
            <v>25200</v>
          </cell>
          <cell r="P22">
            <v>45450</v>
          </cell>
          <cell r="Q22">
            <v>70650</v>
          </cell>
          <cell r="R22">
            <v>114750</v>
          </cell>
          <cell r="S22">
            <v>160730</v>
          </cell>
          <cell r="T22">
            <v>160730</v>
          </cell>
          <cell r="U22">
            <v>160730</v>
          </cell>
          <cell r="V22">
            <v>160730</v>
          </cell>
          <cell r="W22">
            <v>160730</v>
          </cell>
          <cell r="X22">
            <v>0</v>
          </cell>
          <cell r="Y22">
            <v>0.18</v>
          </cell>
          <cell r="Z22">
            <v>0.25</v>
          </cell>
          <cell r="AA22">
            <v>0.3</v>
          </cell>
          <cell r="AB22">
            <v>0.35</v>
          </cell>
          <cell r="AC22">
            <v>0.38</v>
          </cell>
          <cell r="AD22">
            <v>0.4</v>
          </cell>
          <cell r="AE22">
            <v>0.4</v>
          </cell>
          <cell r="AF22">
            <v>0.4</v>
          </cell>
          <cell r="AG22">
            <v>0.4</v>
          </cell>
          <cell r="AH22">
            <v>0.4</v>
          </cell>
          <cell r="AI22">
            <v>10260</v>
          </cell>
          <cell r="AJ22">
            <v>5675</v>
          </cell>
          <cell r="AK22">
            <v>0</v>
          </cell>
        </row>
        <row r="23">
          <cell r="B23">
            <v>2012</v>
          </cell>
          <cell r="C23">
            <v>0</v>
          </cell>
          <cell r="D23">
            <v>150000</v>
          </cell>
          <cell r="E23">
            <v>235000</v>
          </cell>
          <cell r="F23">
            <v>325000</v>
          </cell>
          <cell r="G23">
            <v>455000</v>
          </cell>
          <cell r="H23">
            <v>580000</v>
          </cell>
          <cell r="I23">
            <v>580000</v>
          </cell>
          <cell r="J23">
            <v>580000</v>
          </cell>
          <cell r="K23">
            <v>580000</v>
          </cell>
          <cell r="L23">
            <v>580000</v>
          </cell>
          <cell r="M23">
            <v>147410520.46875</v>
          </cell>
          <cell r="N23">
            <v>0</v>
          </cell>
          <cell r="O23">
            <v>27000</v>
          </cell>
          <cell r="P23">
            <v>48250</v>
          </cell>
          <cell r="Q23">
            <v>75250</v>
          </cell>
          <cell r="R23">
            <v>120750</v>
          </cell>
          <cell r="S23">
            <v>168250</v>
          </cell>
          <cell r="T23">
            <v>168250</v>
          </cell>
          <cell r="U23">
            <v>168250</v>
          </cell>
          <cell r="V23">
            <v>168250</v>
          </cell>
          <cell r="W23">
            <v>168250</v>
          </cell>
          <cell r="X23">
            <v>0</v>
          </cell>
          <cell r="Y23">
            <v>0.18</v>
          </cell>
          <cell r="Z23">
            <v>0.25</v>
          </cell>
          <cell r="AA23">
            <v>0.3</v>
          </cell>
          <cell r="AB23">
            <v>0.35</v>
          </cell>
          <cell r="AC23">
            <v>0.38</v>
          </cell>
          <cell r="AD23">
            <v>0.4</v>
          </cell>
          <cell r="AE23">
            <v>0.4</v>
          </cell>
          <cell r="AF23">
            <v>0.4</v>
          </cell>
          <cell r="AG23">
            <v>0.4</v>
          </cell>
          <cell r="AH23">
            <v>0.4</v>
          </cell>
          <cell r="AI23">
            <v>10775</v>
          </cell>
          <cell r="AJ23">
            <v>6012</v>
          </cell>
          <cell r="AK23">
            <v>2000</v>
          </cell>
        </row>
        <row r="24">
          <cell r="B24">
            <v>2013</v>
          </cell>
          <cell r="C24">
            <v>0</v>
          </cell>
          <cell r="D24">
            <v>160000</v>
          </cell>
          <cell r="E24">
            <v>250000</v>
          </cell>
          <cell r="F24">
            <v>346000</v>
          </cell>
          <cell r="G24">
            <v>484000</v>
          </cell>
          <cell r="H24">
            <v>617000</v>
          </cell>
          <cell r="I24">
            <v>617000</v>
          </cell>
          <cell r="J24">
            <v>617000</v>
          </cell>
          <cell r="K24">
            <v>617000</v>
          </cell>
          <cell r="L24">
            <v>617000</v>
          </cell>
          <cell r="M24">
            <v>154781046.4921875</v>
          </cell>
          <cell r="N24">
            <v>0</v>
          </cell>
          <cell r="O24">
            <v>28800</v>
          </cell>
          <cell r="P24">
            <v>51300</v>
          </cell>
          <cell r="Q24">
            <v>80100</v>
          </cell>
          <cell r="R24">
            <v>128400</v>
          </cell>
          <cell r="S24">
            <v>178940</v>
          </cell>
          <cell r="T24">
            <v>178940</v>
          </cell>
          <cell r="U24">
            <v>178940</v>
          </cell>
          <cell r="V24">
            <v>178940</v>
          </cell>
          <cell r="W24">
            <v>178940</v>
          </cell>
          <cell r="X24">
            <v>0</v>
          </cell>
          <cell r="Y24">
            <v>0.18</v>
          </cell>
          <cell r="Z24">
            <v>0.25</v>
          </cell>
          <cell r="AA24">
            <v>0.3</v>
          </cell>
          <cell r="AB24">
            <v>0.35</v>
          </cell>
          <cell r="AC24">
            <v>0.38</v>
          </cell>
          <cell r="AD24">
            <v>0.4</v>
          </cell>
          <cell r="AE24">
            <v>0.4</v>
          </cell>
          <cell r="AF24">
            <v>0.4</v>
          </cell>
          <cell r="AG24">
            <v>0.4</v>
          </cell>
          <cell r="AH24">
            <v>0.4</v>
          </cell>
          <cell r="AI24">
            <v>11440</v>
          </cell>
          <cell r="AJ24">
            <v>6390</v>
          </cell>
          <cell r="AK24">
            <v>2130</v>
          </cell>
        </row>
        <row r="25">
          <cell r="B25">
            <v>2014</v>
          </cell>
          <cell r="C25">
            <v>0</v>
          </cell>
          <cell r="D25">
            <v>165600</v>
          </cell>
          <cell r="E25">
            <v>258750</v>
          </cell>
          <cell r="F25">
            <v>358110</v>
          </cell>
          <cell r="G25">
            <v>500940</v>
          </cell>
          <cell r="H25">
            <v>638600</v>
          </cell>
          <cell r="I25">
            <v>638600</v>
          </cell>
          <cell r="J25">
            <v>638600</v>
          </cell>
          <cell r="K25">
            <v>638600</v>
          </cell>
          <cell r="L25">
            <v>638600</v>
          </cell>
          <cell r="M25">
            <v>162520098.81679687</v>
          </cell>
          <cell r="N25">
            <v>0</v>
          </cell>
          <cell r="O25">
            <v>29808</v>
          </cell>
          <cell r="P25">
            <v>53095.5</v>
          </cell>
          <cell r="Q25">
            <v>82903.5</v>
          </cell>
          <cell r="R25">
            <v>132894</v>
          </cell>
          <cell r="S25">
            <v>185204.8</v>
          </cell>
          <cell r="T25">
            <v>185204.8</v>
          </cell>
          <cell r="U25">
            <v>185204.8</v>
          </cell>
          <cell r="V25">
            <v>185204.8</v>
          </cell>
          <cell r="W25">
            <v>185204.8</v>
          </cell>
          <cell r="X25">
            <v>0</v>
          </cell>
          <cell r="Y25">
            <v>0.18</v>
          </cell>
          <cell r="Z25">
            <v>0.25</v>
          </cell>
          <cell r="AA25">
            <v>0.3</v>
          </cell>
          <cell r="AB25">
            <v>0.35</v>
          </cell>
          <cell r="AC25">
            <v>0.38</v>
          </cell>
          <cell r="AD25">
            <v>0.4</v>
          </cell>
          <cell r="AE25">
            <v>0.4</v>
          </cell>
          <cell r="AF25">
            <v>0.4</v>
          </cell>
          <cell r="AG25">
            <v>0.4</v>
          </cell>
          <cell r="AH25">
            <v>0.4</v>
          </cell>
          <cell r="AI25">
            <v>12080</v>
          </cell>
          <cell r="AJ25">
            <v>6750</v>
          </cell>
          <cell r="AK25">
            <v>2250</v>
          </cell>
        </row>
        <row r="26">
          <cell r="B26">
            <v>2015</v>
          </cell>
          <cell r="C26">
            <v>0</v>
          </cell>
          <cell r="D26">
            <v>174550</v>
          </cell>
          <cell r="E26">
            <v>272700</v>
          </cell>
          <cell r="F26">
            <v>377450</v>
          </cell>
          <cell r="G26">
            <v>528000</v>
          </cell>
          <cell r="H26">
            <v>673100</v>
          </cell>
          <cell r="I26">
            <v>673100</v>
          </cell>
          <cell r="J26">
            <v>673100</v>
          </cell>
          <cell r="K26">
            <v>673100</v>
          </cell>
          <cell r="L26">
            <v>673100</v>
          </cell>
          <cell r="M26">
            <v>170646103.75763673</v>
          </cell>
          <cell r="N26">
            <v>0</v>
          </cell>
          <cell r="O26">
            <v>31419</v>
          </cell>
          <cell r="P26">
            <v>55956.5</v>
          </cell>
          <cell r="Q26">
            <v>87381.5</v>
          </cell>
          <cell r="R26">
            <v>140074</v>
          </cell>
          <cell r="S26">
            <v>195212</v>
          </cell>
          <cell r="T26">
            <v>195212</v>
          </cell>
          <cell r="U26">
            <v>195212</v>
          </cell>
          <cell r="V26">
            <v>195212</v>
          </cell>
          <cell r="W26">
            <v>195212</v>
          </cell>
          <cell r="X26">
            <v>0</v>
          </cell>
          <cell r="Y26">
            <v>0.18</v>
          </cell>
          <cell r="Z26">
            <v>0.25</v>
          </cell>
          <cell r="AA26">
            <v>0.3</v>
          </cell>
          <cell r="AB26">
            <v>0.35</v>
          </cell>
          <cell r="AC26">
            <v>0.38</v>
          </cell>
          <cell r="AD26">
            <v>0.4</v>
          </cell>
          <cell r="AE26">
            <v>0.4</v>
          </cell>
          <cell r="AF26">
            <v>0.4</v>
          </cell>
          <cell r="AG26">
            <v>0.4</v>
          </cell>
          <cell r="AH26">
            <v>0.4</v>
          </cell>
          <cell r="AI26">
            <v>12726</v>
          </cell>
          <cell r="AJ26">
            <v>7110</v>
          </cell>
          <cell r="AK26">
            <v>2367</v>
          </cell>
        </row>
        <row r="27">
          <cell r="B27">
            <v>2016</v>
          </cell>
          <cell r="C27">
            <v>0</v>
          </cell>
          <cell r="D27">
            <v>181900</v>
          </cell>
          <cell r="E27">
            <v>284100</v>
          </cell>
          <cell r="F27">
            <v>393200</v>
          </cell>
          <cell r="G27">
            <v>550100</v>
          </cell>
          <cell r="H27">
            <v>701300</v>
          </cell>
          <cell r="I27">
            <v>701300</v>
          </cell>
          <cell r="J27">
            <v>701300</v>
          </cell>
          <cell r="K27">
            <v>701300</v>
          </cell>
          <cell r="L27">
            <v>701300</v>
          </cell>
          <cell r="M27">
            <v>179178408.94551858</v>
          </cell>
          <cell r="N27">
            <v>0</v>
          </cell>
          <cell r="O27">
            <v>32742</v>
          </cell>
          <cell r="P27">
            <v>59314</v>
          </cell>
          <cell r="Q27">
            <v>93135</v>
          </cell>
          <cell r="R27">
            <v>149619</v>
          </cell>
          <cell r="S27">
            <v>208587</v>
          </cell>
          <cell r="T27">
            <v>208587</v>
          </cell>
          <cell r="U27">
            <v>208587</v>
          </cell>
          <cell r="V27">
            <v>208587</v>
          </cell>
          <cell r="W27">
            <v>208587</v>
          </cell>
          <cell r="X27">
            <v>0</v>
          </cell>
          <cell r="Y27">
            <v>0.18</v>
          </cell>
          <cell r="Z27">
            <v>0.26</v>
          </cell>
          <cell r="AA27">
            <v>0.31</v>
          </cell>
          <cell r="AB27">
            <v>0.36</v>
          </cell>
          <cell r="AC27">
            <v>0.39</v>
          </cell>
          <cell r="AD27">
            <v>0.41</v>
          </cell>
          <cell r="AE27">
            <v>0.41</v>
          </cell>
          <cell r="AF27">
            <v>0.41</v>
          </cell>
          <cell r="AG27">
            <v>0.41</v>
          </cell>
          <cell r="AH27">
            <v>0.41</v>
          </cell>
          <cell r="AI27">
            <v>13257</v>
          </cell>
          <cell r="AJ27">
            <v>7407</v>
          </cell>
          <cell r="AK27">
            <v>2466</v>
          </cell>
        </row>
        <row r="28">
          <cell r="B28">
            <v>2017</v>
          </cell>
          <cell r="C28">
            <v>0</v>
          </cell>
          <cell r="D28">
            <v>188000</v>
          </cell>
          <cell r="E28">
            <v>293600</v>
          </cell>
          <cell r="F28">
            <v>406400</v>
          </cell>
          <cell r="G28">
            <v>550100</v>
          </cell>
          <cell r="H28">
            <v>701300</v>
          </cell>
          <cell r="I28">
            <v>701300</v>
          </cell>
          <cell r="J28">
            <v>701300</v>
          </cell>
          <cell r="K28">
            <v>701300</v>
          </cell>
          <cell r="L28">
            <v>701300</v>
          </cell>
          <cell r="M28">
            <v>188137329.39279452</v>
          </cell>
          <cell r="N28">
            <v>0</v>
          </cell>
          <cell r="O28">
            <v>33840</v>
          </cell>
          <cell r="P28">
            <v>61296</v>
          </cell>
          <cell r="Q28">
            <v>96264</v>
          </cell>
          <cell r="R28">
            <v>147996</v>
          </cell>
          <cell r="S28">
            <v>206964</v>
          </cell>
          <cell r="T28">
            <v>206964</v>
          </cell>
          <cell r="U28">
            <v>206964</v>
          </cell>
          <cell r="V28">
            <v>206964</v>
          </cell>
          <cell r="W28">
            <v>206964</v>
          </cell>
          <cell r="X28">
            <v>0</v>
          </cell>
          <cell r="Y28">
            <v>0.18</v>
          </cell>
          <cell r="Z28">
            <v>0.26</v>
          </cell>
          <cell r="AA28">
            <v>0.31</v>
          </cell>
          <cell r="AB28">
            <v>0.36</v>
          </cell>
          <cell r="AC28">
            <v>0.39</v>
          </cell>
          <cell r="AD28">
            <v>0.41</v>
          </cell>
          <cell r="AE28">
            <v>0.41</v>
          </cell>
          <cell r="AF28">
            <v>0.41</v>
          </cell>
          <cell r="AG28">
            <v>0.41</v>
          </cell>
          <cell r="AH28">
            <v>0.41</v>
          </cell>
          <cell r="AI28">
            <v>13500</v>
          </cell>
          <cell r="AJ28">
            <v>7407</v>
          </cell>
          <cell r="AK28">
            <v>2466</v>
          </cell>
        </row>
        <row r="29">
          <cell r="B29">
            <v>2018</v>
          </cell>
          <cell r="C29">
            <v>0</v>
          </cell>
          <cell r="D29">
            <v>189880</v>
          </cell>
          <cell r="E29">
            <v>296540</v>
          </cell>
          <cell r="F29">
            <v>410460</v>
          </cell>
          <cell r="G29">
            <v>555600</v>
          </cell>
          <cell r="H29">
            <v>708310</v>
          </cell>
          <cell r="I29">
            <v>1500000</v>
          </cell>
          <cell r="J29">
            <v>1500000</v>
          </cell>
          <cell r="K29">
            <v>1500000</v>
          </cell>
          <cell r="L29">
            <v>1500000</v>
          </cell>
          <cell r="M29">
            <v>197544195.86243427</v>
          </cell>
          <cell r="N29">
            <v>0</v>
          </cell>
          <cell r="O29">
            <v>34178.400000000001</v>
          </cell>
          <cell r="P29">
            <v>61910</v>
          </cell>
          <cell r="Q29">
            <v>97225.2</v>
          </cell>
          <cell r="R29">
            <v>149475.6</v>
          </cell>
          <cell r="S29">
            <v>209032.5</v>
          </cell>
          <cell r="T29">
            <v>533625.39999999991</v>
          </cell>
          <cell r="U29">
            <v>533625.39999999991</v>
          </cell>
          <cell r="V29">
            <v>533625.39999999991</v>
          </cell>
          <cell r="W29">
            <v>533625.39999999991</v>
          </cell>
          <cell r="X29">
            <v>0</v>
          </cell>
          <cell r="Y29">
            <v>0.18</v>
          </cell>
          <cell r="Z29">
            <v>0.26</v>
          </cell>
          <cell r="AA29">
            <v>0.31</v>
          </cell>
          <cell r="AB29">
            <v>0.36</v>
          </cell>
          <cell r="AC29">
            <v>0.39</v>
          </cell>
          <cell r="AD29">
            <v>0.41</v>
          </cell>
          <cell r="AE29">
            <v>0.45</v>
          </cell>
          <cell r="AF29">
            <v>0.45</v>
          </cell>
          <cell r="AG29">
            <v>0.45</v>
          </cell>
          <cell r="AH29">
            <v>0.45</v>
          </cell>
          <cell r="AI29">
            <v>13635</v>
          </cell>
          <cell r="AJ29">
            <v>7479</v>
          </cell>
          <cell r="AK29">
            <v>2493</v>
          </cell>
        </row>
        <row r="30">
          <cell r="B30">
            <v>2019</v>
          </cell>
          <cell r="C30">
            <v>0</v>
          </cell>
          <cell r="D30">
            <v>195850</v>
          </cell>
          <cell r="E30">
            <v>305850</v>
          </cell>
          <cell r="F30">
            <v>423300</v>
          </cell>
          <cell r="G30">
            <v>555600</v>
          </cell>
          <cell r="H30">
            <v>708310</v>
          </cell>
          <cell r="I30">
            <v>1500000</v>
          </cell>
          <cell r="J30">
            <v>1500000</v>
          </cell>
          <cell r="K30">
            <v>1500000</v>
          </cell>
          <cell r="L30">
            <v>1500000</v>
          </cell>
          <cell r="M30">
            <v>207421405.65555599</v>
          </cell>
          <cell r="N30">
            <v>0</v>
          </cell>
          <cell r="O30">
            <v>35253</v>
          </cell>
          <cell r="P30">
            <v>63853</v>
          </cell>
          <cell r="Q30">
            <v>100262.5</v>
          </cell>
          <cell r="R30">
            <v>147890.5</v>
          </cell>
          <cell r="S30">
            <v>207447.4</v>
          </cell>
          <cell r="T30">
            <v>532040.29999999993</v>
          </cell>
          <cell r="U30">
            <v>532040.29999999993</v>
          </cell>
          <cell r="V30">
            <v>532040.29999999993</v>
          </cell>
          <cell r="W30">
            <v>532040.29999999993</v>
          </cell>
          <cell r="X30">
            <v>0</v>
          </cell>
          <cell r="Y30">
            <v>0.18</v>
          </cell>
          <cell r="Z30">
            <v>0.26</v>
          </cell>
          <cell r="AA30">
            <v>0.31</v>
          </cell>
          <cell r="AB30">
            <v>0.36</v>
          </cell>
          <cell r="AC30">
            <v>0.39</v>
          </cell>
          <cell r="AD30">
            <v>0.41</v>
          </cell>
          <cell r="AE30">
            <v>0.45</v>
          </cell>
          <cell r="AF30">
            <v>0.45</v>
          </cell>
          <cell r="AG30">
            <v>0.45</v>
          </cell>
          <cell r="AH30">
            <v>0.45</v>
          </cell>
          <cell r="AI30">
            <v>14067</v>
          </cell>
          <cell r="AJ30">
            <v>7713</v>
          </cell>
          <cell r="AK30">
            <v>2574</v>
          </cell>
        </row>
        <row r="31">
          <cell r="B31">
            <v>2020</v>
          </cell>
          <cell r="C31">
            <v>0</v>
          </cell>
          <cell r="D31">
            <v>195850</v>
          </cell>
          <cell r="E31">
            <v>305850</v>
          </cell>
          <cell r="F31">
            <v>423300</v>
          </cell>
          <cell r="G31">
            <v>555600</v>
          </cell>
          <cell r="H31">
            <v>708310</v>
          </cell>
          <cell r="I31">
            <v>1500000</v>
          </cell>
          <cell r="J31">
            <v>1500000</v>
          </cell>
          <cell r="K31">
            <v>1500000</v>
          </cell>
          <cell r="L31">
            <v>1500000</v>
          </cell>
          <cell r="M31">
            <v>217792475.93833381</v>
          </cell>
          <cell r="N31">
            <v>0</v>
          </cell>
          <cell r="O31">
            <v>35253</v>
          </cell>
          <cell r="P31">
            <v>63853</v>
          </cell>
          <cell r="Q31">
            <v>100262.5</v>
          </cell>
          <cell r="R31">
            <v>147890.5</v>
          </cell>
          <cell r="S31">
            <v>207447.4</v>
          </cell>
          <cell r="T31">
            <v>532040.29999999993</v>
          </cell>
          <cell r="U31">
            <v>532040.29999999993</v>
          </cell>
          <cell r="V31">
            <v>532040.29999999993</v>
          </cell>
          <cell r="W31">
            <v>532040.29999999993</v>
          </cell>
          <cell r="X31">
            <v>0</v>
          </cell>
          <cell r="Y31">
            <v>0.18</v>
          </cell>
          <cell r="Z31">
            <v>0.26</v>
          </cell>
          <cell r="AA31">
            <v>0.31</v>
          </cell>
          <cell r="AB31">
            <v>0.36</v>
          </cell>
          <cell r="AC31">
            <v>0.39</v>
          </cell>
          <cell r="AD31">
            <v>0.41</v>
          </cell>
          <cell r="AE31">
            <v>0.45</v>
          </cell>
          <cell r="AF31">
            <v>0.45</v>
          </cell>
          <cell r="AG31">
            <v>0.45</v>
          </cell>
          <cell r="AH31">
            <v>0.45</v>
          </cell>
          <cell r="AI31">
            <v>14220</v>
          </cell>
          <cell r="AJ31">
            <v>7794</v>
          </cell>
          <cell r="AK31">
            <v>2601</v>
          </cell>
        </row>
        <row r="32">
          <cell r="B32">
            <v>2021</v>
          </cell>
          <cell r="C32">
            <v>0</v>
          </cell>
          <cell r="D32">
            <v>205900</v>
          </cell>
          <cell r="E32">
            <v>321600</v>
          </cell>
          <cell r="F32">
            <v>445100</v>
          </cell>
          <cell r="G32">
            <v>584200</v>
          </cell>
          <cell r="H32">
            <v>744800</v>
          </cell>
          <cell r="I32">
            <v>1577300</v>
          </cell>
          <cell r="J32">
            <v>1577300</v>
          </cell>
          <cell r="K32">
            <v>1577300</v>
          </cell>
          <cell r="L32">
            <v>1577300</v>
          </cell>
          <cell r="M32">
            <v>228682099.7352505</v>
          </cell>
          <cell r="N32">
            <v>0</v>
          </cell>
          <cell r="O32">
            <v>37062</v>
          </cell>
          <cell r="P32">
            <v>67144</v>
          </cell>
          <cell r="Q32">
            <v>105429</v>
          </cell>
          <cell r="R32">
            <v>155505</v>
          </cell>
          <cell r="S32">
            <v>218139</v>
          </cell>
          <cell r="T32">
            <v>559464</v>
          </cell>
          <cell r="U32">
            <v>559464</v>
          </cell>
          <cell r="V32">
            <v>559464</v>
          </cell>
          <cell r="W32">
            <v>559464</v>
          </cell>
          <cell r="X32">
            <v>0</v>
          </cell>
          <cell r="Y32">
            <v>0.18</v>
          </cell>
          <cell r="Z32">
            <v>0.26</v>
          </cell>
          <cell r="AA32">
            <v>0.31</v>
          </cell>
          <cell r="AB32">
            <v>0.36</v>
          </cell>
          <cell r="AC32">
            <v>0.39</v>
          </cell>
          <cell r="AD32">
            <v>0.41</v>
          </cell>
          <cell r="AE32">
            <v>0.45</v>
          </cell>
          <cell r="AF32">
            <v>0.45</v>
          </cell>
          <cell r="AG32">
            <v>0.45</v>
          </cell>
          <cell r="AH32">
            <v>0.45</v>
          </cell>
          <cell r="AI32">
            <v>14958</v>
          </cell>
          <cell r="AJ32">
            <v>8199</v>
          </cell>
          <cell r="AK32">
            <v>2736</v>
          </cell>
        </row>
        <row r="33">
          <cell r="B33">
            <v>2022</v>
          </cell>
          <cell r="C33">
            <v>0</v>
          </cell>
          <cell r="D33">
            <v>216195</v>
          </cell>
          <cell r="E33">
            <v>337680</v>
          </cell>
          <cell r="F33">
            <v>467355</v>
          </cell>
          <cell r="G33">
            <v>613410</v>
          </cell>
          <cell r="H33">
            <v>782040</v>
          </cell>
          <cell r="I33">
            <v>1656165</v>
          </cell>
          <cell r="J33">
            <v>1656165</v>
          </cell>
          <cell r="K33">
            <v>1656165</v>
          </cell>
          <cell r="L33">
            <v>1656165</v>
          </cell>
          <cell r="M33">
            <v>240116204.72201303</v>
          </cell>
          <cell r="N33">
            <v>0</v>
          </cell>
          <cell r="O33">
            <v>38915.1</v>
          </cell>
          <cell r="P33">
            <v>70501.2</v>
          </cell>
          <cell r="Q33">
            <v>110700.45</v>
          </cell>
          <cell r="R33">
            <v>163280.25</v>
          </cell>
          <cell r="S33">
            <v>229045.95</v>
          </cell>
          <cell r="T33">
            <v>587437.19999999995</v>
          </cell>
          <cell r="U33">
            <v>587437.19999999995</v>
          </cell>
          <cell r="V33">
            <v>587437.19999999995</v>
          </cell>
          <cell r="W33">
            <v>587437.19999999995</v>
          </cell>
          <cell r="X33">
            <v>0</v>
          </cell>
          <cell r="Y33">
            <v>0.18</v>
          </cell>
          <cell r="Z33">
            <v>0.26</v>
          </cell>
          <cell r="AA33">
            <v>0.31</v>
          </cell>
          <cell r="AB33">
            <v>0.36</v>
          </cell>
          <cell r="AC33">
            <v>0.39</v>
          </cell>
          <cell r="AD33">
            <v>0.41</v>
          </cell>
          <cell r="AE33">
            <v>0.45</v>
          </cell>
          <cell r="AF33">
            <v>0.45</v>
          </cell>
          <cell r="AG33">
            <v>0.45</v>
          </cell>
          <cell r="AH33">
            <v>0.45</v>
          </cell>
          <cell r="AI33">
            <v>15705.900000000001</v>
          </cell>
          <cell r="AJ33">
            <v>8608.9500000000007</v>
          </cell>
          <cell r="AK33">
            <v>2872.8</v>
          </cell>
        </row>
        <row r="34">
          <cell r="B34">
            <v>2023</v>
          </cell>
          <cell r="C34">
            <v>0</v>
          </cell>
          <cell r="D34">
            <v>227004.75</v>
          </cell>
          <cell r="E34">
            <v>354564</v>
          </cell>
          <cell r="F34">
            <v>490722.75</v>
          </cell>
          <cell r="G34">
            <v>644080.5</v>
          </cell>
          <cell r="H34">
            <v>821142</v>
          </cell>
          <cell r="I34">
            <v>1738973.25</v>
          </cell>
          <cell r="J34">
            <v>1738973.25</v>
          </cell>
          <cell r="K34">
            <v>1738973.25</v>
          </cell>
          <cell r="L34">
            <v>1738973.25</v>
          </cell>
          <cell r="M34">
            <v>252122014.9581137</v>
          </cell>
          <cell r="N34">
            <v>0</v>
          </cell>
          <cell r="O34">
            <v>40860.854999999996</v>
          </cell>
          <cell r="P34">
            <v>74026.259999999995</v>
          </cell>
          <cell r="Q34">
            <v>116235.4725</v>
          </cell>
          <cell r="R34">
            <v>171444.26250000001</v>
          </cell>
          <cell r="S34">
            <v>240498.2475</v>
          </cell>
          <cell r="T34">
            <v>616809.06000000006</v>
          </cell>
          <cell r="U34">
            <v>616809.06000000006</v>
          </cell>
          <cell r="V34">
            <v>616809.06000000006</v>
          </cell>
          <cell r="W34">
            <v>616809.06000000006</v>
          </cell>
          <cell r="X34">
            <v>0</v>
          </cell>
          <cell r="Y34">
            <v>0.18</v>
          </cell>
          <cell r="Z34">
            <v>0.26</v>
          </cell>
          <cell r="AA34">
            <v>0.31</v>
          </cell>
          <cell r="AB34">
            <v>0.36</v>
          </cell>
          <cell r="AC34">
            <v>0.39</v>
          </cell>
          <cell r="AD34">
            <v>0.41</v>
          </cell>
          <cell r="AE34">
            <v>0.45</v>
          </cell>
          <cell r="AF34">
            <v>0.45</v>
          </cell>
          <cell r="AG34">
            <v>0.45</v>
          </cell>
          <cell r="AH34">
            <v>0.45</v>
          </cell>
          <cell r="AI34">
            <v>16491.195000000003</v>
          </cell>
          <cell r="AJ34">
            <v>9039.3975000000009</v>
          </cell>
          <cell r="AK34">
            <v>3016.4400000000005</v>
          </cell>
        </row>
        <row r="35">
          <cell r="B35">
            <v>2024</v>
          </cell>
          <cell r="C35">
            <v>0</v>
          </cell>
          <cell r="D35">
            <v>238354.98750000002</v>
          </cell>
          <cell r="E35">
            <v>372292.2</v>
          </cell>
          <cell r="F35">
            <v>515258.88750000001</v>
          </cell>
          <cell r="G35">
            <v>676284.52500000002</v>
          </cell>
          <cell r="H35">
            <v>862199.10000000009</v>
          </cell>
          <cell r="I35">
            <v>1825921.9125000001</v>
          </cell>
          <cell r="J35">
            <v>1825921.9125000001</v>
          </cell>
          <cell r="K35">
            <v>1825921.9125000001</v>
          </cell>
          <cell r="L35">
            <v>1825921.9125000001</v>
          </cell>
          <cell r="M35">
            <v>264728115.7060194</v>
          </cell>
          <cell r="N35">
            <v>0</v>
          </cell>
          <cell r="O35">
            <v>42903.897750000004</v>
          </cell>
          <cell r="P35">
            <v>77727.573000000004</v>
          </cell>
          <cell r="Q35">
            <v>122047.24612500001</v>
          </cell>
          <cell r="R35">
            <v>180016.47562500002</v>
          </cell>
          <cell r="S35">
            <v>252523.15987500007</v>
          </cell>
          <cell r="T35">
            <v>647649.51300000004</v>
          </cell>
          <cell r="U35">
            <v>647649.51300000004</v>
          </cell>
          <cell r="V35">
            <v>647649.51300000004</v>
          </cell>
          <cell r="W35">
            <v>647649.51300000004</v>
          </cell>
          <cell r="X35">
            <v>0</v>
          </cell>
          <cell r="Y35">
            <v>0.18</v>
          </cell>
          <cell r="Z35">
            <v>0.26</v>
          </cell>
          <cell r="AA35">
            <v>0.31</v>
          </cell>
          <cell r="AB35">
            <v>0.36</v>
          </cell>
          <cell r="AC35">
            <v>0.39</v>
          </cell>
          <cell r="AD35">
            <v>0.41</v>
          </cell>
          <cell r="AE35">
            <v>0.45</v>
          </cell>
          <cell r="AF35">
            <v>0.45</v>
          </cell>
          <cell r="AG35">
            <v>0.45</v>
          </cell>
          <cell r="AH35">
            <v>0.45</v>
          </cell>
          <cell r="AI35">
            <v>17315.754750000004</v>
          </cell>
          <cell r="AJ35">
            <v>9491.3673750000016</v>
          </cell>
          <cell r="AK35">
            <v>3167.2620000000006</v>
          </cell>
        </row>
        <row r="36">
          <cell r="B36">
            <v>2025</v>
          </cell>
          <cell r="C36">
            <v>0</v>
          </cell>
          <cell r="D36">
            <v>250272.73687500003</v>
          </cell>
          <cell r="E36">
            <v>390906.81000000006</v>
          </cell>
          <cell r="F36">
            <v>541021.83187500003</v>
          </cell>
          <cell r="G36">
            <v>710098.75125000009</v>
          </cell>
          <cell r="H36">
            <v>905309.05500000017</v>
          </cell>
          <cell r="I36">
            <v>1917218.0081250002</v>
          </cell>
          <cell r="J36">
            <v>1917218.0081250002</v>
          </cell>
          <cell r="K36">
            <v>1917218.0081250002</v>
          </cell>
          <cell r="L36">
            <v>1917218.0081250002</v>
          </cell>
          <cell r="M36">
            <v>277964521.49132037</v>
          </cell>
          <cell r="N36">
            <v>0</v>
          </cell>
          <cell r="O36">
            <v>45049.092637500005</v>
          </cell>
          <cell r="P36">
            <v>81613.951650000003</v>
          </cell>
          <cell r="Q36">
            <v>128149.60843125</v>
          </cell>
          <cell r="R36">
            <v>189017.29940625001</v>
          </cell>
          <cell r="S36">
            <v>265149.31786875008</v>
          </cell>
          <cell r="T36">
            <v>680031.98865000007</v>
          </cell>
          <cell r="U36">
            <v>680031.98865000007</v>
          </cell>
          <cell r="V36">
            <v>680031.98865000007</v>
          </cell>
          <cell r="W36">
            <v>680031.98865000007</v>
          </cell>
          <cell r="X36">
            <v>0</v>
          </cell>
          <cell r="Y36">
            <v>0.18</v>
          </cell>
          <cell r="Z36">
            <v>0.26</v>
          </cell>
          <cell r="AA36">
            <v>0.31</v>
          </cell>
          <cell r="AB36">
            <v>0.36</v>
          </cell>
          <cell r="AC36">
            <v>0.39</v>
          </cell>
          <cell r="AD36">
            <v>0.41</v>
          </cell>
          <cell r="AE36">
            <v>0.45</v>
          </cell>
          <cell r="AF36">
            <v>0.45</v>
          </cell>
          <cell r="AG36">
            <v>0.45</v>
          </cell>
          <cell r="AH36">
            <v>0.45</v>
          </cell>
          <cell r="AI36">
            <v>18181.542487500006</v>
          </cell>
          <cell r="AJ36">
            <v>9965.9357437500021</v>
          </cell>
          <cell r="AK36">
            <v>3325.6251000000007</v>
          </cell>
        </row>
        <row r="37">
          <cell r="B37">
            <v>2026</v>
          </cell>
          <cell r="C37">
            <v>0</v>
          </cell>
          <cell r="D37">
            <v>262786.37371875002</v>
          </cell>
          <cell r="E37">
            <v>410452.15050000005</v>
          </cell>
          <cell r="F37">
            <v>568072.92346875009</v>
          </cell>
          <cell r="G37">
            <v>745603.6888125001</v>
          </cell>
          <cell r="H37">
            <v>950574.50775000022</v>
          </cell>
          <cell r="I37">
            <v>2013078.9085312502</v>
          </cell>
          <cell r="J37">
            <v>2013078.9085312502</v>
          </cell>
          <cell r="K37">
            <v>2013078.9085312502</v>
          </cell>
          <cell r="L37">
            <v>2013078.9085312502</v>
          </cell>
          <cell r="M37">
            <v>291862747.56588638</v>
          </cell>
          <cell r="N37">
            <v>0</v>
          </cell>
          <cell r="O37">
            <v>47301.547269375005</v>
          </cell>
          <cell r="P37">
            <v>85694.649232500014</v>
          </cell>
          <cell r="Q37">
            <v>134557.08885281254</v>
          </cell>
          <cell r="R37">
            <v>198468.16437656255</v>
          </cell>
          <cell r="S37">
            <v>278406.78376218758</v>
          </cell>
          <cell r="T37">
            <v>714033.58808250003</v>
          </cell>
          <cell r="U37">
            <v>714033.58808250003</v>
          </cell>
          <cell r="V37">
            <v>714033.58808250003</v>
          </cell>
          <cell r="W37">
            <v>714033.58808250003</v>
          </cell>
          <cell r="X37">
            <v>0</v>
          </cell>
          <cell r="Y37">
            <v>0.18</v>
          </cell>
          <cell r="Z37">
            <v>0.26</v>
          </cell>
          <cell r="AA37">
            <v>0.31</v>
          </cell>
          <cell r="AB37">
            <v>0.36</v>
          </cell>
          <cell r="AC37">
            <v>0.39</v>
          </cell>
          <cell r="AD37">
            <v>0.41</v>
          </cell>
          <cell r="AE37">
            <v>0.45</v>
          </cell>
          <cell r="AF37">
            <v>0.45</v>
          </cell>
          <cell r="AG37">
            <v>0.45</v>
          </cell>
          <cell r="AH37">
            <v>0.45</v>
          </cell>
          <cell r="AI37">
            <v>19090.619611875009</v>
          </cell>
          <cell r="AJ37">
            <v>10464.232530937503</v>
          </cell>
          <cell r="AK37">
            <v>3491.906355000001</v>
          </cell>
        </row>
        <row r="38">
          <cell r="B38">
            <v>2027</v>
          </cell>
          <cell r="C38">
            <v>0</v>
          </cell>
          <cell r="D38">
            <v>275925.69240468752</v>
          </cell>
          <cell r="E38">
            <v>430974.75802500005</v>
          </cell>
          <cell r="F38">
            <v>596476.56964218756</v>
          </cell>
          <cell r="G38">
            <v>782883.87325312512</v>
          </cell>
          <cell r="H38">
            <v>998103.23313750024</v>
          </cell>
          <cell r="I38">
            <v>2113732.8539578128</v>
          </cell>
          <cell r="J38">
            <v>2113732.8539578128</v>
          </cell>
          <cell r="K38">
            <v>2113732.8539578128</v>
          </cell>
          <cell r="L38">
            <v>2113732.8539578128</v>
          </cell>
          <cell r="M38">
            <v>306455884.94418073</v>
          </cell>
          <cell r="N38">
            <v>0</v>
          </cell>
          <cell r="O38">
            <v>49666.624632843756</v>
          </cell>
          <cell r="P38">
            <v>89979.381694125012</v>
          </cell>
          <cell r="Q38">
            <v>141284.94329545315</v>
          </cell>
          <cell r="R38">
            <v>208391.57259539067</v>
          </cell>
          <cell r="S38">
            <v>292327.12295029697</v>
          </cell>
          <cell r="T38">
            <v>749735.26748662512</v>
          </cell>
          <cell r="U38">
            <v>749735.26748662512</v>
          </cell>
          <cell r="V38">
            <v>749735.26748662512</v>
          </cell>
          <cell r="W38">
            <v>749735.26748662512</v>
          </cell>
          <cell r="X38">
            <v>0</v>
          </cell>
          <cell r="Y38">
            <v>0.18</v>
          </cell>
          <cell r="Z38">
            <v>0.26</v>
          </cell>
          <cell r="AA38">
            <v>0.31</v>
          </cell>
          <cell r="AB38">
            <v>0.36</v>
          </cell>
          <cell r="AC38">
            <v>0.39</v>
          </cell>
          <cell r="AD38">
            <v>0.41</v>
          </cell>
          <cell r="AE38">
            <v>0.45</v>
          </cell>
          <cell r="AF38">
            <v>0.45</v>
          </cell>
          <cell r="AG38">
            <v>0.45</v>
          </cell>
          <cell r="AH38">
            <v>0.45</v>
          </cell>
          <cell r="AI38">
            <v>20045.150592468759</v>
          </cell>
          <cell r="AJ38">
            <v>10987.444157484379</v>
          </cell>
          <cell r="AK38">
            <v>3666.501672750001</v>
          </cell>
        </row>
        <row r="39">
          <cell r="B39">
            <v>2028</v>
          </cell>
          <cell r="C39">
            <v>0</v>
          </cell>
          <cell r="D39">
            <v>289721.97702492191</v>
          </cell>
          <cell r="E39">
            <v>452523.49592625006</v>
          </cell>
          <cell r="F39">
            <v>626300.39812429692</v>
          </cell>
          <cell r="G39">
            <v>822028.06691578135</v>
          </cell>
          <cell r="H39">
            <v>1048008.3947943753</v>
          </cell>
          <cell r="I39">
            <v>2219419.4966557035</v>
          </cell>
          <cell r="J39">
            <v>2219419.4966557035</v>
          </cell>
          <cell r="K39">
            <v>2219419.4966557035</v>
          </cell>
          <cell r="L39">
            <v>2219419.4966557035</v>
          </cell>
          <cell r="M39">
            <v>321778679.1913898</v>
          </cell>
          <cell r="N39">
            <v>0</v>
          </cell>
          <cell r="O39">
            <v>52149.955864485943</v>
          </cell>
          <cell r="P39">
            <v>94478.350778831256</v>
          </cell>
          <cell r="Q39">
            <v>148349.19046022577</v>
          </cell>
          <cell r="R39">
            <v>218811.15122516017</v>
          </cell>
          <cell r="S39">
            <v>306943.4790978118</v>
          </cell>
          <cell r="T39">
            <v>787222.03086095641</v>
          </cell>
          <cell r="U39">
            <v>787222.03086095641</v>
          </cell>
          <cell r="V39">
            <v>787222.03086095641</v>
          </cell>
          <cell r="W39">
            <v>787222.03086095641</v>
          </cell>
          <cell r="X39">
            <v>0</v>
          </cell>
          <cell r="Y39">
            <v>0.18</v>
          </cell>
          <cell r="Z39">
            <v>0.26</v>
          </cell>
          <cell r="AA39">
            <v>0.31</v>
          </cell>
          <cell r="AB39">
            <v>0.36</v>
          </cell>
          <cell r="AC39">
            <v>0.39</v>
          </cell>
          <cell r="AD39">
            <v>0.41</v>
          </cell>
          <cell r="AE39">
            <v>0.45</v>
          </cell>
          <cell r="AF39">
            <v>0.45</v>
          </cell>
          <cell r="AG39">
            <v>0.45</v>
          </cell>
          <cell r="AH39">
            <v>0.45</v>
          </cell>
          <cell r="AI39">
            <v>21047.408122092198</v>
          </cell>
          <cell r="AJ39">
            <v>11536.816365358598</v>
          </cell>
          <cell r="AK39">
            <v>3849.8267563875011</v>
          </cell>
        </row>
        <row r="40">
          <cell r="B40">
            <v>2029</v>
          </cell>
          <cell r="C40">
            <v>0</v>
          </cell>
          <cell r="D40">
            <v>304208.07587616803</v>
          </cell>
          <cell r="E40">
            <v>475149.67072256259</v>
          </cell>
          <cell r="F40">
            <v>657615.41803051182</v>
          </cell>
          <cell r="G40">
            <v>863129.47026157042</v>
          </cell>
          <cell r="H40">
            <v>1100408.8145340942</v>
          </cell>
          <cell r="I40">
            <v>2330390.4714884888</v>
          </cell>
          <cell r="J40">
            <v>2330390.4714884888</v>
          </cell>
          <cell r="K40">
            <v>2330390.4714884888</v>
          </cell>
          <cell r="L40">
            <v>2330390.4714884888</v>
          </cell>
          <cell r="M40">
            <v>337867613.15095931</v>
          </cell>
          <cell r="N40">
            <v>0</v>
          </cell>
          <cell r="O40">
            <v>54757.453657710241</v>
          </cell>
          <cell r="P40">
            <v>99202.268317772832</v>
          </cell>
          <cell r="Q40">
            <v>155766.64998323709</v>
          </cell>
          <cell r="R40">
            <v>229751.7087864182</v>
          </cell>
          <cell r="S40">
            <v>322290.65305270249</v>
          </cell>
          <cell r="T40">
            <v>826583.13240400422</v>
          </cell>
          <cell r="U40">
            <v>826583.13240400422</v>
          </cell>
          <cell r="V40">
            <v>826583.13240400422</v>
          </cell>
          <cell r="W40">
            <v>826583.13240400422</v>
          </cell>
          <cell r="X40">
            <v>0</v>
          </cell>
          <cell r="Y40">
            <v>0.18</v>
          </cell>
          <cell r="Z40">
            <v>0.26</v>
          </cell>
          <cell r="AA40">
            <v>0.31</v>
          </cell>
          <cell r="AB40">
            <v>0.36</v>
          </cell>
          <cell r="AC40">
            <v>0.39</v>
          </cell>
          <cell r="AD40">
            <v>0.41</v>
          </cell>
          <cell r="AE40">
            <v>0.45</v>
          </cell>
          <cell r="AF40">
            <v>0.45</v>
          </cell>
          <cell r="AG40">
            <v>0.45</v>
          </cell>
          <cell r="AH40">
            <v>0.45</v>
          </cell>
          <cell r="AI40">
            <v>22099.77852819681</v>
          </cell>
          <cell r="AJ40">
            <v>12113.657183626528</v>
          </cell>
          <cell r="AK40">
            <v>4042.3180942068761</v>
          </cell>
        </row>
        <row r="41">
          <cell r="B41">
            <v>2030</v>
          </cell>
          <cell r="C41">
            <v>0</v>
          </cell>
          <cell r="D41">
            <v>319418.47966997646</v>
          </cell>
          <cell r="E41">
            <v>498907.15425869072</v>
          </cell>
          <cell r="F41">
            <v>690496.18893203745</v>
          </cell>
          <cell r="G41">
            <v>906285.94377464894</v>
          </cell>
          <cell r="H41">
            <v>1155429.2552607988</v>
          </cell>
          <cell r="I41">
            <v>2446909.9950629133</v>
          </cell>
          <cell r="J41">
            <v>2446909.9950629133</v>
          </cell>
          <cell r="K41">
            <v>2446909.9950629133</v>
          </cell>
          <cell r="L41">
            <v>2446909.9950629133</v>
          </cell>
          <cell r="M41">
            <v>354760993.80850732</v>
          </cell>
          <cell r="N41">
            <v>0</v>
          </cell>
          <cell r="O41">
            <v>57495.326340595762</v>
          </cell>
          <cell r="P41">
            <v>104162.38173366147</v>
          </cell>
          <cell r="Q41">
            <v>163554.98248239898</v>
          </cell>
          <cell r="R41">
            <v>241239.29422573911</v>
          </cell>
          <cell r="S41">
            <v>338405.18570533756</v>
          </cell>
          <cell r="T41">
            <v>867912.28902420448</v>
          </cell>
          <cell r="U41">
            <v>867912.28902420448</v>
          </cell>
          <cell r="V41">
            <v>867912.28902420448</v>
          </cell>
          <cell r="W41">
            <v>867912.28902420448</v>
          </cell>
          <cell r="X41">
            <v>0</v>
          </cell>
          <cell r="Y41">
            <v>0.18</v>
          </cell>
          <cell r="Z41">
            <v>0.26</v>
          </cell>
          <cell r="AA41">
            <v>0.31</v>
          </cell>
          <cell r="AB41">
            <v>0.36</v>
          </cell>
          <cell r="AC41">
            <v>0.39</v>
          </cell>
          <cell r="AD41">
            <v>0.41</v>
          </cell>
          <cell r="AE41">
            <v>0.45</v>
          </cell>
          <cell r="AF41">
            <v>0.45</v>
          </cell>
          <cell r="AG41">
            <v>0.45</v>
          </cell>
          <cell r="AH41">
            <v>0.45</v>
          </cell>
          <cell r="AI41">
            <v>23204.767454606652</v>
          </cell>
          <cell r="AJ41">
            <v>12719.340042807855</v>
          </cell>
          <cell r="AK41">
            <v>4244.4339989172204</v>
          </cell>
        </row>
        <row r="42">
          <cell r="B42">
            <v>2031</v>
          </cell>
          <cell r="C42">
            <v>0</v>
          </cell>
          <cell r="D42">
            <v>335389.40365347528</v>
          </cell>
          <cell r="E42">
            <v>523852.51197162527</v>
          </cell>
          <cell r="F42">
            <v>725020.99837863934</v>
          </cell>
          <cell r="G42">
            <v>951600.24096338148</v>
          </cell>
          <cell r="H42">
            <v>1213200.7180238389</v>
          </cell>
          <cell r="I42">
            <v>2569255.4948160592</v>
          </cell>
          <cell r="J42">
            <v>2569255.4948160592</v>
          </cell>
          <cell r="K42">
            <v>2569255.4948160592</v>
          </cell>
          <cell r="L42">
            <v>2569255.4948160592</v>
          </cell>
          <cell r="M42">
            <v>372499043.49893272</v>
          </cell>
          <cell r="N42">
            <v>0</v>
          </cell>
          <cell r="O42">
            <v>60370.092657625552</v>
          </cell>
          <cell r="P42">
            <v>109370.50082034455</v>
          </cell>
          <cell r="Q42">
            <v>171732.73160651891</v>
          </cell>
          <cell r="R42">
            <v>253301.25893702608</v>
          </cell>
          <cell r="S42">
            <v>355325.44499060448</v>
          </cell>
          <cell r="T42">
            <v>911307.90347541473</v>
          </cell>
          <cell r="U42">
            <v>911307.90347541473</v>
          </cell>
          <cell r="V42">
            <v>911307.90347541473</v>
          </cell>
          <cell r="W42">
            <v>911307.90347541473</v>
          </cell>
          <cell r="X42">
            <v>0</v>
          </cell>
          <cell r="Y42">
            <v>0.18</v>
          </cell>
          <cell r="Z42">
            <v>0.26</v>
          </cell>
          <cell r="AA42">
            <v>0.31</v>
          </cell>
          <cell r="AB42">
            <v>0.36</v>
          </cell>
          <cell r="AC42">
            <v>0.39</v>
          </cell>
          <cell r="AD42">
            <v>0.41</v>
          </cell>
          <cell r="AE42">
            <v>0.45</v>
          </cell>
          <cell r="AF42">
            <v>0.45</v>
          </cell>
          <cell r="AG42">
            <v>0.45</v>
          </cell>
          <cell r="AH42">
            <v>0.45</v>
          </cell>
          <cell r="AI42">
            <v>24365.005827336987</v>
          </cell>
          <cell r="AJ42">
            <v>13355.307044948247</v>
          </cell>
          <cell r="AK42">
            <v>4456.6556988630819</v>
          </cell>
        </row>
        <row r="43">
          <cell r="B43">
            <v>2032</v>
          </cell>
          <cell r="C43">
            <v>0</v>
          </cell>
          <cell r="D43">
            <v>352158.87383614905</v>
          </cell>
          <cell r="E43">
            <v>550045.13757020654</v>
          </cell>
          <cell r="F43">
            <v>761272.04829757137</v>
          </cell>
          <cell r="G43">
            <v>999180.25301155064</v>
          </cell>
          <cell r="H43">
            <v>1273860.7539250311</v>
          </cell>
          <cell r="I43">
            <v>2697718.2695568623</v>
          </cell>
          <cell r="J43">
            <v>2697718.2695568623</v>
          </cell>
          <cell r="K43">
            <v>2697718.2695568623</v>
          </cell>
          <cell r="L43">
            <v>2697718.2695568623</v>
          </cell>
          <cell r="M43">
            <v>391123995.67387938</v>
          </cell>
          <cell r="N43">
            <v>0</v>
          </cell>
          <cell r="O43">
            <v>63388.597290506827</v>
          </cell>
          <cell r="P43">
            <v>114839.02586136178</v>
          </cell>
          <cell r="Q43">
            <v>180319.36818684486</v>
          </cell>
          <cell r="R43">
            <v>265966.32188387739</v>
          </cell>
          <cell r="S43">
            <v>373091.71724013472</v>
          </cell>
          <cell r="T43">
            <v>956873.29864918545</v>
          </cell>
          <cell r="U43">
            <v>956873.29864918545</v>
          </cell>
          <cell r="V43">
            <v>956873.29864918545</v>
          </cell>
          <cell r="W43">
            <v>956873.29864918545</v>
          </cell>
          <cell r="X43">
            <v>0</v>
          </cell>
          <cell r="Y43">
            <v>0.18</v>
          </cell>
          <cell r="Z43">
            <v>0.26</v>
          </cell>
          <cell r="AA43">
            <v>0.31</v>
          </cell>
          <cell r="AB43">
            <v>0.36</v>
          </cell>
          <cell r="AC43">
            <v>0.39</v>
          </cell>
          <cell r="AD43">
            <v>0.41</v>
          </cell>
          <cell r="AE43">
            <v>0.45</v>
          </cell>
          <cell r="AF43">
            <v>0.45</v>
          </cell>
          <cell r="AG43">
            <v>0.45</v>
          </cell>
          <cell r="AH43">
            <v>0.45</v>
          </cell>
          <cell r="AI43">
            <v>25583.256118703837</v>
          </cell>
          <cell r="AJ43">
            <v>14023.072397195661</v>
          </cell>
          <cell r="AK43">
            <v>4679.4884838062362</v>
          </cell>
        </row>
        <row r="44">
          <cell r="B44">
            <v>2033</v>
          </cell>
          <cell r="C44">
            <v>0</v>
          </cell>
          <cell r="D44">
            <v>369766.8175279565</v>
          </cell>
          <cell r="E44">
            <v>577547.39444871689</v>
          </cell>
          <cell r="F44">
            <v>799335.65071244992</v>
          </cell>
          <cell r="G44">
            <v>1049139.2656621281</v>
          </cell>
          <cell r="H44">
            <v>1337553.7916212827</v>
          </cell>
          <cell r="I44">
            <v>2832604.1830347055</v>
          </cell>
          <cell r="J44">
            <v>2832604.1830347055</v>
          </cell>
          <cell r="K44">
            <v>2832604.1830347055</v>
          </cell>
          <cell r="L44">
            <v>2832604.1830347055</v>
          </cell>
          <cell r="M44">
            <v>410680195.45757335</v>
          </cell>
          <cell r="N44">
            <v>0</v>
          </cell>
          <cell r="O44">
            <v>66558.027155032163</v>
          </cell>
          <cell r="P44">
            <v>120580.97715442986</v>
          </cell>
          <cell r="Q44">
            <v>189335.33659618709</v>
          </cell>
          <cell r="R44">
            <v>279264.63797807123</v>
          </cell>
          <cell r="S44">
            <v>391746.30310214154</v>
          </cell>
          <cell r="T44">
            <v>1004716.9635816449</v>
          </cell>
          <cell r="U44">
            <v>1004716.9635816449</v>
          </cell>
          <cell r="V44">
            <v>1004716.9635816449</v>
          </cell>
          <cell r="W44">
            <v>1004716.9635816449</v>
          </cell>
          <cell r="X44">
            <v>0</v>
          </cell>
          <cell r="Y44">
            <v>0.18</v>
          </cell>
          <cell r="Z44">
            <v>0.26</v>
          </cell>
          <cell r="AA44">
            <v>0.31</v>
          </cell>
          <cell r="AB44">
            <v>0.36</v>
          </cell>
          <cell r="AC44">
            <v>0.39</v>
          </cell>
          <cell r="AD44">
            <v>0.41</v>
          </cell>
          <cell r="AE44">
            <v>0.45</v>
          </cell>
          <cell r="AF44">
            <v>0.45</v>
          </cell>
          <cell r="AG44">
            <v>0.45</v>
          </cell>
          <cell r="AH44">
            <v>0.45</v>
          </cell>
          <cell r="AI44">
            <v>26862.418924639031</v>
          </cell>
          <cell r="AJ44">
            <v>14724.226017055445</v>
          </cell>
          <cell r="AK44">
            <v>4913.462907996548</v>
          </cell>
        </row>
        <row r="45">
          <cell r="B45">
            <v>2034</v>
          </cell>
          <cell r="C45">
            <v>0</v>
          </cell>
          <cell r="D45">
            <v>388255.15840435436</v>
          </cell>
          <cell r="E45">
            <v>606424.76417115272</v>
          </cell>
          <cell r="F45">
            <v>839302.4332480724</v>
          </cell>
          <cell r="G45">
            <v>1101596.2289452346</v>
          </cell>
          <cell r="H45">
            <v>1404431.481202347</v>
          </cell>
          <cell r="I45">
            <v>2974234.392186441</v>
          </cell>
          <cell r="J45">
            <v>2974234.392186441</v>
          </cell>
          <cell r="K45">
            <v>2974234.392186441</v>
          </cell>
          <cell r="L45">
            <v>2974234.392186441</v>
          </cell>
          <cell r="M45">
            <v>431214205.23045206</v>
          </cell>
          <cell r="N45">
            <v>0</v>
          </cell>
          <cell r="O45">
            <v>69885.928512783779</v>
          </cell>
          <cell r="P45">
            <v>126610.02601215136</v>
          </cell>
          <cell r="Q45">
            <v>198802.10342599644</v>
          </cell>
          <cell r="R45">
            <v>293227.86987697484</v>
          </cell>
          <cell r="S45">
            <v>411333.61825724866</v>
          </cell>
          <cell r="T45">
            <v>1054952.8117607273</v>
          </cell>
          <cell r="U45">
            <v>1054952.8117607273</v>
          </cell>
          <cell r="V45">
            <v>1054952.8117607273</v>
          </cell>
          <cell r="W45">
            <v>1054952.8117607273</v>
          </cell>
          <cell r="X45">
            <v>0</v>
          </cell>
          <cell r="Y45">
            <v>0.18</v>
          </cell>
          <cell r="Z45">
            <v>0.26</v>
          </cell>
          <cell r="AA45">
            <v>0.31</v>
          </cell>
          <cell r="AB45">
            <v>0.36</v>
          </cell>
          <cell r="AC45">
            <v>0.39</v>
          </cell>
          <cell r="AD45">
            <v>0.41</v>
          </cell>
          <cell r="AE45">
            <v>0.45</v>
          </cell>
          <cell r="AF45">
            <v>0.45</v>
          </cell>
          <cell r="AG45">
            <v>0.45</v>
          </cell>
          <cell r="AH45">
            <v>0.45</v>
          </cell>
          <cell r="AI45">
            <v>28205.539870870984</v>
          </cell>
          <cell r="AJ45">
            <v>15460.437317908218</v>
          </cell>
          <cell r="AK45">
            <v>5159.1360533963752</v>
          </cell>
        </row>
        <row r="46">
          <cell r="B46">
            <v>2035</v>
          </cell>
          <cell r="C46">
            <v>0</v>
          </cell>
          <cell r="D46">
            <v>407667.91632457211</v>
          </cell>
          <cell r="E46">
            <v>636746.00237971044</v>
          </cell>
          <cell r="F46">
            <v>881267.55491047609</v>
          </cell>
          <cell r="G46">
            <v>1156676.0403924964</v>
          </cell>
          <cell r="H46">
            <v>1474653.0552624643</v>
          </cell>
          <cell r="I46">
            <v>3122946.111795763</v>
          </cell>
          <cell r="J46">
            <v>3122946.111795763</v>
          </cell>
          <cell r="K46">
            <v>3122946.111795763</v>
          </cell>
          <cell r="L46">
            <v>3122946.111795763</v>
          </cell>
          <cell r="M46">
            <v>452774915.49197471</v>
          </cell>
          <cell r="N46">
            <v>0</v>
          </cell>
          <cell r="O46">
            <v>73380.22493842298</v>
          </cell>
          <cell r="P46">
            <v>132940.52731275896</v>
          </cell>
          <cell r="Q46">
            <v>208742.20859729633</v>
          </cell>
          <cell r="R46">
            <v>307889.26337082364</v>
          </cell>
          <cell r="S46">
            <v>431900.29917011113</v>
          </cell>
          <cell r="T46">
            <v>1107700.4523487636</v>
          </cell>
          <cell r="U46">
            <v>1107700.4523487636</v>
          </cell>
          <cell r="V46">
            <v>1107700.4523487636</v>
          </cell>
          <cell r="W46">
            <v>1107700.4523487636</v>
          </cell>
          <cell r="X46">
            <v>0</v>
          </cell>
          <cell r="Y46">
            <v>0.18</v>
          </cell>
          <cell r="Z46">
            <v>0.26</v>
          </cell>
          <cell r="AA46">
            <v>0.31</v>
          </cell>
          <cell r="AB46">
            <v>0.36</v>
          </cell>
          <cell r="AC46">
            <v>0.39</v>
          </cell>
          <cell r="AD46">
            <v>0.41</v>
          </cell>
          <cell r="AE46">
            <v>0.45</v>
          </cell>
          <cell r="AF46">
            <v>0.45</v>
          </cell>
          <cell r="AG46">
            <v>0.45</v>
          </cell>
          <cell r="AH46">
            <v>0.45</v>
          </cell>
          <cell r="AI46">
            <v>29615.816864414533</v>
          </cell>
          <cell r="AJ46">
            <v>16233.459183803629</v>
          </cell>
          <cell r="AK46">
            <v>5417.0928560661941</v>
          </cell>
        </row>
        <row r="47">
          <cell r="B47">
            <v>2036</v>
          </cell>
          <cell r="C47">
            <v>0</v>
          </cell>
          <cell r="D47">
            <v>428051.31214080076</v>
          </cell>
          <cell r="E47">
            <v>668583.30249869602</v>
          </cell>
          <cell r="F47">
            <v>925330.9326559999</v>
          </cell>
          <cell r="G47">
            <v>1214509.8424121214</v>
          </cell>
          <cell r="H47">
            <v>1548385.7080255877</v>
          </cell>
          <cell r="I47">
            <v>3279093.4173855511</v>
          </cell>
          <cell r="J47">
            <v>3279093.4173855511</v>
          </cell>
          <cell r="K47">
            <v>3279093.4173855511</v>
          </cell>
          <cell r="L47">
            <v>3279093.4173855511</v>
          </cell>
          <cell r="M47">
            <v>475413661.26657349</v>
          </cell>
          <cell r="N47">
            <v>0</v>
          </cell>
          <cell r="O47">
            <v>77049.23618534414</v>
          </cell>
          <cell r="P47">
            <v>139587.55367839691</v>
          </cell>
          <cell r="Q47">
            <v>219179.31902716111</v>
          </cell>
          <cell r="R47">
            <v>323283.72653936484</v>
          </cell>
          <cell r="S47">
            <v>453495.31412861671</v>
          </cell>
          <cell r="T47">
            <v>1163085.4749662017</v>
          </cell>
          <cell r="U47">
            <v>1163085.4749662017</v>
          </cell>
          <cell r="V47">
            <v>1163085.4749662017</v>
          </cell>
          <cell r="W47">
            <v>1163085.4749662017</v>
          </cell>
          <cell r="X47">
            <v>0</v>
          </cell>
          <cell r="Y47">
            <v>0.18</v>
          </cell>
          <cell r="Z47">
            <v>0.26</v>
          </cell>
          <cell r="AA47">
            <v>0.31</v>
          </cell>
          <cell r="AB47">
            <v>0.36</v>
          </cell>
          <cell r="AC47">
            <v>0.39</v>
          </cell>
          <cell r="AD47">
            <v>0.41</v>
          </cell>
          <cell r="AE47">
            <v>0.45</v>
          </cell>
          <cell r="AF47">
            <v>0.45</v>
          </cell>
          <cell r="AG47">
            <v>0.45</v>
          </cell>
          <cell r="AH47">
            <v>0.45</v>
          </cell>
          <cell r="AI47">
            <v>31096.607707635263</v>
          </cell>
          <cell r="AJ47">
            <v>17045.132142993811</v>
          </cell>
          <cell r="AK47">
            <v>5687.9474988695038</v>
          </cell>
        </row>
        <row r="48">
          <cell r="B48">
            <v>2037</v>
          </cell>
          <cell r="C48">
            <v>0</v>
          </cell>
          <cell r="D48">
            <v>449453.87774784083</v>
          </cell>
          <cell r="E48">
            <v>702012.46762363089</v>
          </cell>
          <cell r="F48">
            <v>971597.47928879992</v>
          </cell>
          <cell r="G48">
            <v>1275235.3345327275</v>
          </cell>
          <cell r="H48">
            <v>1625804.9934268671</v>
          </cell>
          <cell r="I48">
            <v>3443048.0882548289</v>
          </cell>
          <cell r="J48">
            <v>3443048.0882548289</v>
          </cell>
          <cell r="K48">
            <v>3443048.0882548289</v>
          </cell>
          <cell r="L48">
            <v>3443048.0882548289</v>
          </cell>
          <cell r="M48">
            <v>499184344.32990217</v>
          </cell>
          <cell r="N48">
            <v>0</v>
          </cell>
          <cell r="O48">
            <v>80901.697994611342</v>
          </cell>
          <cell r="P48">
            <v>146566.93136231677</v>
          </cell>
          <cell r="Q48">
            <v>230138.28497851916</v>
          </cell>
          <cell r="R48">
            <v>339447.91286633309</v>
          </cell>
          <cell r="S48">
            <v>476170.07983504754</v>
          </cell>
          <cell r="T48">
            <v>1221239.7487145117</v>
          </cell>
          <cell r="U48">
            <v>1221239.7487145117</v>
          </cell>
          <cell r="V48">
            <v>1221239.7487145117</v>
          </cell>
          <cell r="W48">
            <v>1221239.7487145117</v>
          </cell>
          <cell r="X48">
            <v>0</v>
          </cell>
          <cell r="Y48">
            <v>0.18</v>
          </cell>
          <cell r="Z48">
            <v>0.26</v>
          </cell>
          <cell r="AA48">
            <v>0.31</v>
          </cell>
          <cell r="AB48">
            <v>0.36</v>
          </cell>
          <cell r="AC48">
            <v>0.39</v>
          </cell>
          <cell r="AD48">
            <v>0.41</v>
          </cell>
          <cell r="AE48">
            <v>0.45</v>
          </cell>
          <cell r="AF48">
            <v>0.45</v>
          </cell>
          <cell r="AG48">
            <v>0.45</v>
          </cell>
          <cell r="AH48">
            <v>0.45</v>
          </cell>
          <cell r="AI48">
            <v>32651.438093017026</v>
          </cell>
          <cell r="AJ48">
            <v>17897.388750143502</v>
          </cell>
          <cell r="AK48">
            <v>5972.3448738129791</v>
          </cell>
        </row>
        <row r="49">
          <cell r="B49">
            <v>2038</v>
          </cell>
          <cell r="C49">
            <v>0</v>
          </cell>
          <cell r="D49">
            <v>471926.57163523289</v>
          </cell>
          <cell r="E49">
            <v>737113.09100481251</v>
          </cell>
          <cell r="F49">
            <v>1020177.35325324</v>
          </cell>
          <cell r="G49">
            <v>1338997.1012593638</v>
          </cell>
          <cell r="H49">
            <v>1707095.2430982105</v>
          </cell>
          <cell r="I49">
            <v>3615200.4926675707</v>
          </cell>
          <cell r="J49">
            <v>3615200.4926675707</v>
          </cell>
          <cell r="K49">
            <v>3615200.4926675707</v>
          </cell>
          <cell r="L49">
            <v>3615200.4926675707</v>
          </cell>
          <cell r="M49">
            <v>524143561.54639733</v>
          </cell>
          <cell r="N49">
            <v>0</v>
          </cell>
          <cell r="O49">
            <v>84946.782894341915</v>
          </cell>
          <cell r="P49">
            <v>153895.27793043264</v>
          </cell>
          <cell r="Q49">
            <v>241645.19922744518</v>
          </cell>
          <cell r="R49">
            <v>356420.30850964977</v>
          </cell>
          <cell r="S49">
            <v>499978.58382679999</v>
          </cell>
          <cell r="T49">
            <v>1282301.7361502377</v>
          </cell>
          <cell r="U49">
            <v>1282301.7361502377</v>
          </cell>
          <cell r="V49">
            <v>1282301.7361502377</v>
          </cell>
          <cell r="W49">
            <v>1282301.7361502377</v>
          </cell>
          <cell r="X49">
            <v>0</v>
          </cell>
          <cell r="Y49">
            <v>0.18</v>
          </cell>
          <cell r="Z49">
            <v>0.26</v>
          </cell>
          <cell r="AA49">
            <v>0.31</v>
          </cell>
          <cell r="AB49">
            <v>0.36</v>
          </cell>
          <cell r="AC49">
            <v>0.39</v>
          </cell>
          <cell r="AD49">
            <v>0.41</v>
          </cell>
          <cell r="AE49">
            <v>0.45</v>
          </cell>
          <cell r="AF49">
            <v>0.45</v>
          </cell>
          <cell r="AG49">
            <v>0.45</v>
          </cell>
          <cell r="AH49">
            <v>0.45</v>
          </cell>
          <cell r="AI49">
            <v>34284.009997667876</v>
          </cell>
          <cell r="AJ49">
            <v>18792.258187650677</v>
          </cell>
          <cell r="AK49">
            <v>6270.9621175036282</v>
          </cell>
        </row>
        <row r="50">
          <cell r="B50">
            <v>2039</v>
          </cell>
          <cell r="C50">
            <v>0</v>
          </cell>
          <cell r="D50">
            <v>495522.90021699457</v>
          </cell>
          <cell r="E50">
            <v>773968.74555505312</v>
          </cell>
          <cell r="F50">
            <v>1071186.2209159019</v>
          </cell>
          <cell r="G50">
            <v>1405946.9563223321</v>
          </cell>
          <cell r="H50">
            <v>1792450.0052531213</v>
          </cell>
          <cell r="I50">
            <v>3795960.5173009494</v>
          </cell>
          <cell r="J50">
            <v>3795960.5173009494</v>
          </cell>
          <cell r="K50">
            <v>3795960.5173009494</v>
          </cell>
          <cell r="L50">
            <v>3795960.5173009494</v>
          </cell>
          <cell r="M50">
            <v>550350739.62371719</v>
          </cell>
          <cell r="N50">
            <v>0</v>
          </cell>
          <cell r="O50">
            <v>89194.122039059017</v>
          </cell>
          <cell r="P50">
            <v>161590.04182695423</v>
          </cell>
          <cell r="Q50">
            <v>253727.45918881736</v>
          </cell>
          <cell r="R50">
            <v>374241.32393513224</v>
          </cell>
          <cell r="S50">
            <v>524977.51301813999</v>
          </cell>
          <cell r="T50">
            <v>1346416.8229577495</v>
          </cell>
          <cell r="U50">
            <v>1346416.8229577495</v>
          </cell>
          <cell r="V50">
            <v>1346416.8229577495</v>
          </cell>
          <cell r="W50">
            <v>1346416.8229577495</v>
          </cell>
          <cell r="X50">
            <v>0</v>
          </cell>
          <cell r="Y50">
            <v>0.18</v>
          </cell>
          <cell r="Z50">
            <v>0.26</v>
          </cell>
          <cell r="AA50">
            <v>0.31</v>
          </cell>
          <cell r="AB50">
            <v>0.36</v>
          </cell>
          <cell r="AC50">
            <v>0.39</v>
          </cell>
          <cell r="AD50">
            <v>0.41</v>
          </cell>
          <cell r="AE50">
            <v>0.45</v>
          </cell>
          <cell r="AF50">
            <v>0.45</v>
          </cell>
          <cell r="AG50">
            <v>0.45</v>
          </cell>
          <cell r="AH50">
            <v>0.45</v>
          </cell>
          <cell r="AI50">
            <v>35998.21049755127</v>
          </cell>
          <cell r="AJ50">
            <v>19731.87109703321</v>
          </cell>
          <cell r="AK50">
            <v>6584.5102233788102</v>
          </cell>
        </row>
        <row r="51">
          <cell r="B51">
            <v>2040</v>
          </cell>
          <cell r="C51">
            <v>0</v>
          </cell>
          <cell r="D51">
            <v>520299.04522784433</v>
          </cell>
          <cell r="E51">
            <v>812667.18283280579</v>
          </cell>
          <cell r="F51">
            <v>1124745.5319616972</v>
          </cell>
          <cell r="G51">
            <v>1476244.3041384488</v>
          </cell>
          <cell r="H51">
            <v>1882072.5055157775</v>
          </cell>
          <cell r="I51">
            <v>3985758.5431659971</v>
          </cell>
          <cell r="J51">
            <v>3985758.5431659971</v>
          </cell>
          <cell r="K51">
            <v>3985758.5431659971</v>
          </cell>
          <cell r="L51">
            <v>3985758.5431659971</v>
          </cell>
          <cell r="M51">
            <v>577868276.6049031</v>
          </cell>
          <cell r="N51">
            <v>0</v>
          </cell>
          <cell r="O51">
            <v>93653.828141011982</v>
          </cell>
          <cell r="P51">
            <v>169669.54391830196</v>
          </cell>
          <cell r="Q51">
            <v>266413.83214825828</v>
          </cell>
          <cell r="R51">
            <v>392953.39013188885</v>
          </cell>
          <cell r="S51">
            <v>551226.38866904704</v>
          </cell>
          <cell r="T51">
            <v>1413737.664105637</v>
          </cell>
          <cell r="U51">
            <v>1413737.664105637</v>
          </cell>
          <cell r="V51">
            <v>1413737.664105637</v>
          </cell>
          <cell r="W51">
            <v>1413737.664105637</v>
          </cell>
          <cell r="X51">
            <v>0</v>
          </cell>
          <cell r="Y51">
            <v>0.18</v>
          </cell>
          <cell r="Z51">
            <v>0.26</v>
          </cell>
          <cell r="AA51">
            <v>0.31</v>
          </cell>
          <cell r="AB51">
            <v>0.36</v>
          </cell>
          <cell r="AC51">
            <v>0.39</v>
          </cell>
          <cell r="AD51">
            <v>0.41</v>
          </cell>
          <cell r="AE51">
            <v>0.45</v>
          </cell>
          <cell r="AF51">
            <v>0.45</v>
          </cell>
          <cell r="AG51">
            <v>0.45</v>
          </cell>
          <cell r="AH51">
            <v>0.45</v>
          </cell>
          <cell r="AI51">
            <v>37798.121022428837</v>
          </cell>
          <cell r="AJ51">
            <v>20718.464651884871</v>
          </cell>
          <cell r="AK51">
            <v>6913.7357345477512</v>
          </cell>
        </row>
        <row r="52">
          <cell r="B52">
            <v>2041</v>
          </cell>
          <cell r="C52">
            <v>0</v>
          </cell>
          <cell r="D52">
            <v>546313.99748923653</v>
          </cell>
          <cell r="E52">
            <v>853300.54197444615</v>
          </cell>
          <cell r="F52">
            <v>1180982.8085597821</v>
          </cell>
          <cell r="G52">
            <v>1550056.5193453713</v>
          </cell>
          <cell r="H52">
            <v>1976176.1307915666</v>
          </cell>
          <cell r="I52">
            <v>4185046.470324297</v>
          </cell>
          <cell r="J52">
            <v>4185046.470324297</v>
          </cell>
          <cell r="K52">
            <v>4185046.470324297</v>
          </cell>
          <cell r="L52">
            <v>4185046.470324297</v>
          </cell>
          <cell r="M52">
            <v>606761690.43514824</v>
          </cell>
          <cell r="N52">
            <v>0</v>
          </cell>
          <cell r="O52">
            <v>98336.51954806257</v>
          </cell>
          <cell r="P52">
            <v>178153.02111421706</v>
          </cell>
          <cell r="Q52">
            <v>279734.52375567122</v>
          </cell>
          <cell r="R52">
            <v>412601.05963848333</v>
          </cell>
          <cell r="S52">
            <v>578787.70810249948</v>
          </cell>
          <cell r="T52">
            <v>1484424.5473109188</v>
          </cell>
          <cell r="U52">
            <v>1484424.5473109188</v>
          </cell>
          <cell r="V52">
            <v>1484424.5473109188</v>
          </cell>
          <cell r="W52">
            <v>1484424.5473109188</v>
          </cell>
          <cell r="X52">
            <v>0</v>
          </cell>
          <cell r="Y52">
            <v>0.18</v>
          </cell>
          <cell r="Z52">
            <v>0.26</v>
          </cell>
          <cell r="AA52">
            <v>0.31</v>
          </cell>
          <cell r="AB52">
            <v>0.36</v>
          </cell>
          <cell r="AC52">
            <v>0.39</v>
          </cell>
          <cell r="AD52">
            <v>0.41</v>
          </cell>
          <cell r="AE52">
            <v>0.45</v>
          </cell>
          <cell r="AF52">
            <v>0.45</v>
          </cell>
          <cell r="AG52">
            <v>0.45</v>
          </cell>
          <cell r="AH52">
            <v>0.45</v>
          </cell>
          <cell r="AI52">
            <v>39688.027073550278</v>
          </cell>
          <cell r="AJ52">
            <v>21754.387884479114</v>
          </cell>
          <cell r="AK52">
            <v>7259.4225212751389</v>
          </cell>
        </row>
        <row r="53">
          <cell r="B53">
            <v>2042</v>
          </cell>
          <cell r="C53">
            <v>0</v>
          </cell>
          <cell r="D53">
            <v>573629.69736369839</v>
          </cell>
          <cell r="E53">
            <v>895965.56907316844</v>
          </cell>
          <cell r="F53">
            <v>1240031.9489877713</v>
          </cell>
          <cell r="G53">
            <v>1627559.3453126398</v>
          </cell>
          <cell r="H53">
            <v>2074984.9373311449</v>
          </cell>
          <cell r="I53">
            <v>4394298.7938405117</v>
          </cell>
          <cell r="J53">
            <v>4394298.7938405117</v>
          </cell>
          <cell r="K53">
            <v>4394298.7938405117</v>
          </cell>
          <cell r="L53">
            <v>4394298.7938405117</v>
          </cell>
          <cell r="M53">
            <v>637099774.95690572</v>
          </cell>
          <cell r="N53">
            <v>0</v>
          </cell>
          <cell r="O53">
            <v>103253.3455254657</v>
          </cell>
          <cell r="P53">
            <v>187060.67216992792</v>
          </cell>
          <cell r="Q53">
            <v>293721.24994345481</v>
          </cell>
          <cell r="R53">
            <v>433231.11262040748</v>
          </cell>
          <cell r="S53">
            <v>607727.09350762446</v>
          </cell>
          <cell r="T53">
            <v>1558645.774676465</v>
          </cell>
          <cell r="U53">
            <v>1558645.774676465</v>
          </cell>
          <cell r="V53">
            <v>1558645.774676465</v>
          </cell>
          <cell r="W53">
            <v>1558645.774676465</v>
          </cell>
          <cell r="X53">
            <v>0</v>
          </cell>
          <cell r="Y53">
            <v>0.18</v>
          </cell>
          <cell r="Z53">
            <v>0.26</v>
          </cell>
          <cell r="AA53">
            <v>0.31</v>
          </cell>
          <cell r="AB53">
            <v>0.36</v>
          </cell>
          <cell r="AC53">
            <v>0.39</v>
          </cell>
          <cell r="AD53">
            <v>0.41</v>
          </cell>
          <cell r="AE53">
            <v>0.45</v>
          </cell>
          <cell r="AF53">
            <v>0.45</v>
          </cell>
          <cell r="AG53">
            <v>0.45</v>
          </cell>
          <cell r="AH53">
            <v>0.45</v>
          </cell>
          <cell r="AI53">
            <v>41672.428427227795</v>
          </cell>
          <cell r="AJ53">
            <v>22842.107278703072</v>
          </cell>
          <cell r="AK53">
            <v>7622.3936473388958</v>
          </cell>
        </row>
        <row r="54">
          <cell r="B54">
            <v>2043</v>
          </cell>
          <cell r="C54">
            <v>0</v>
          </cell>
          <cell r="D54">
            <v>602311.18223188329</v>
          </cell>
          <cell r="E54">
            <v>940763.8475268269</v>
          </cell>
          <cell r="F54">
            <v>1302033.5464371599</v>
          </cell>
          <cell r="G54">
            <v>1708937.3125782718</v>
          </cell>
          <cell r="H54">
            <v>2178734.1841977024</v>
          </cell>
          <cell r="I54">
            <v>4614013.7335325377</v>
          </cell>
          <cell r="J54">
            <v>4614013.7335325377</v>
          </cell>
          <cell r="K54">
            <v>4614013.7335325377</v>
          </cell>
          <cell r="L54">
            <v>4614013.7335325377</v>
          </cell>
          <cell r="M54">
            <v>668954763.70475101</v>
          </cell>
          <cell r="N54">
            <v>0</v>
          </cell>
          <cell r="O54">
            <v>108416.01280173899</v>
          </cell>
          <cell r="P54">
            <v>196413.70577842434</v>
          </cell>
          <cell r="Q54">
            <v>308407.31244062755</v>
          </cell>
          <cell r="R54">
            <v>454892.66825142782</v>
          </cell>
          <cell r="S54">
            <v>638113.44818300579</v>
          </cell>
          <cell r="T54">
            <v>1636578.0634102882</v>
          </cell>
          <cell r="U54">
            <v>1636578.0634102882</v>
          </cell>
          <cell r="V54">
            <v>1636578.0634102882</v>
          </cell>
          <cell r="W54">
            <v>1636578.0634102882</v>
          </cell>
          <cell r="X54">
            <v>0</v>
          </cell>
          <cell r="Y54">
            <v>0.18</v>
          </cell>
          <cell r="Z54">
            <v>0.26</v>
          </cell>
          <cell r="AA54">
            <v>0.31</v>
          </cell>
          <cell r="AB54">
            <v>0.36</v>
          </cell>
          <cell r="AC54">
            <v>0.39</v>
          </cell>
          <cell r="AD54">
            <v>0.41</v>
          </cell>
          <cell r="AE54">
            <v>0.45</v>
          </cell>
          <cell r="AF54">
            <v>0.45</v>
          </cell>
          <cell r="AG54">
            <v>0.45</v>
          </cell>
          <cell r="AH54">
            <v>0.45</v>
          </cell>
          <cell r="AI54">
            <v>43756.049848589188</v>
          </cell>
          <cell r="AJ54">
            <v>23984.212642638227</v>
          </cell>
          <cell r="AK54">
            <v>8003.513329705841</v>
          </cell>
        </row>
        <row r="55">
          <cell r="B55">
            <v>2044</v>
          </cell>
          <cell r="C55">
            <v>0</v>
          </cell>
          <cell r="D55">
            <v>632426.74134347751</v>
          </cell>
          <cell r="E55">
            <v>987802.03990316833</v>
          </cell>
          <cell r="F55">
            <v>1367135.2237590179</v>
          </cell>
          <cell r="G55">
            <v>1794384.1782071856</v>
          </cell>
          <cell r="H55">
            <v>2287670.8934075879</v>
          </cell>
          <cell r="I55">
            <v>4844714.4202091647</v>
          </cell>
          <cell r="J55">
            <v>4844714.4202091647</v>
          </cell>
          <cell r="K55">
            <v>4844714.4202091647</v>
          </cell>
          <cell r="L55">
            <v>4844714.4202091647</v>
          </cell>
          <cell r="M55">
            <v>702402501.88998854</v>
          </cell>
          <cell r="N55">
            <v>0</v>
          </cell>
          <cell r="O55">
            <v>113836.81344182594</v>
          </cell>
          <cell r="P55">
            <v>206234.39106734557</v>
          </cell>
          <cell r="Q55">
            <v>323827.67806265893</v>
          </cell>
          <cell r="R55">
            <v>477637.30166399933</v>
          </cell>
          <cell r="S55">
            <v>670019.12059215619</v>
          </cell>
          <cell r="T55">
            <v>1718406.9665808026</v>
          </cell>
          <cell r="U55">
            <v>1718406.9665808026</v>
          </cell>
          <cell r="V55">
            <v>1718406.9665808026</v>
          </cell>
          <cell r="W55">
            <v>1718406.9665808026</v>
          </cell>
          <cell r="X55">
            <v>0</v>
          </cell>
          <cell r="Y55">
            <v>0.18</v>
          </cell>
          <cell r="Z55">
            <v>0.26</v>
          </cell>
          <cell r="AA55">
            <v>0.31</v>
          </cell>
          <cell r="AB55">
            <v>0.36</v>
          </cell>
          <cell r="AC55">
            <v>0.39</v>
          </cell>
          <cell r="AD55">
            <v>0.41</v>
          </cell>
          <cell r="AE55">
            <v>0.45</v>
          </cell>
          <cell r="AF55">
            <v>0.45</v>
          </cell>
          <cell r="AG55">
            <v>0.45</v>
          </cell>
          <cell r="AH55">
            <v>0.45</v>
          </cell>
          <cell r="AI55">
            <v>45943.852341018646</v>
          </cell>
          <cell r="AJ55">
            <v>25183.423274770139</v>
          </cell>
          <cell r="AK55">
            <v>8403.6889961911329</v>
          </cell>
        </row>
        <row r="56">
          <cell r="B56">
            <v>2045</v>
          </cell>
          <cell r="C56">
            <v>0</v>
          </cell>
          <cell r="D56">
            <v>664048.07841065142</v>
          </cell>
          <cell r="E56">
            <v>1037192.1418983268</v>
          </cell>
          <cell r="F56">
            <v>1435491.9849469687</v>
          </cell>
          <cell r="G56">
            <v>1884103.3871175449</v>
          </cell>
          <cell r="H56">
            <v>2402054.4380779676</v>
          </cell>
          <cell r="I56">
            <v>5086950.1412196234</v>
          </cell>
          <cell r="J56">
            <v>5086950.1412196234</v>
          </cell>
          <cell r="K56">
            <v>5086950.1412196234</v>
          </cell>
          <cell r="L56">
            <v>5086950.1412196234</v>
          </cell>
          <cell r="M56">
            <v>737522626.98448801</v>
          </cell>
          <cell r="N56">
            <v>0</v>
          </cell>
          <cell r="O56">
            <v>119528.65411391725</v>
          </cell>
          <cell r="P56">
            <v>216546.11062071286</v>
          </cell>
          <cell r="Q56">
            <v>340019.06196579186</v>
          </cell>
          <cell r="R56">
            <v>501519.16674719926</v>
          </cell>
          <cell r="S56">
            <v>703520.07662176411</v>
          </cell>
          <cell r="T56">
            <v>1804327.3149098428</v>
          </cell>
          <cell r="U56">
            <v>1804327.3149098428</v>
          </cell>
          <cell r="V56">
            <v>1804327.3149098428</v>
          </cell>
          <cell r="W56">
            <v>1804327.3149098428</v>
          </cell>
          <cell r="X56">
            <v>0</v>
          </cell>
          <cell r="Y56">
            <v>0.18</v>
          </cell>
          <cell r="Z56">
            <v>0.26</v>
          </cell>
          <cell r="AA56">
            <v>0.31</v>
          </cell>
          <cell r="AB56">
            <v>0.36</v>
          </cell>
          <cell r="AC56">
            <v>0.39</v>
          </cell>
          <cell r="AD56">
            <v>0.41</v>
          </cell>
          <cell r="AE56">
            <v>0.45</v>
          </cell>
          <cell r="AF56">
            <v>0.45</v>
          </cell>
          <cell r="AG56">
            <v>0.45</v>
          </cell>
          <cell r="AH56">
            <v>0.45</v>
          </cell>
          <cell r="AI56">
            <v>48241.044958069579</v>
          </cell>
          <cell r="AJ56">
            <v>26442.594438508648</v>
          </cell>
          <cell r="AK56">
            <v>8823.8734460006908</v>
          </cell>
        </row>
        <row r="57">
          <cell r="B57">
            <v>2046</v>
          </cell>
          <cell r="C57">
            <v>0</v>
          </cell>
          <cell r="D57">
            <v>697250.48233118397</v>
          </cell>
          <cell r="E57">
            <v>1089051.7489932431</v>
          </cell>
          <cell r="F57">
            <v>1507266.5841943172</v>
          </cell>
          <cell r="G57">
            <v>1978308.5564734223</v>
          </cell>
          <cell r="H57">
            <v>2522157.1599818659</v>
          </cell>
          <cell r="I57">
            <v>5341297.6482806047</v>
          </cell>
          <cell r="J57">
            <v>5341297.6482806047</v>
          </cell>
          <cell r="K57">
            <v>5341297.6482806047</v>
          </cell>
          <cell r="L57">
            <v>5341297.6482806047</v>
          </cell>
          <cell r="M57">
            <v>774398758.33371246</v>
          </cell>
          <cell r="N57">
            <v>0</v>
          </cell>
          <cell r="O57">
            <v>125505.08681961311</v>
          </cell>
          <cell r="P57">
            <v>227373.41615174848</v>
          </cell>
          <cell r="Q57">
            <v>357020.01506408147</v>
          </cell>
          <cell r="R57">
            <v>526595.12508455932</v>
          </cell>
          <cell r="S57">
            <v>738696.0804528523</v>
          </cell>
          <cell r="T57">
            <v>1894543.6806553351</v>
          </cell>
          <cell r="U57">
            <v>1894543.6806553351</v>
          </cell>
          <cell r="V57">
            <v>1894543.6806553351</v>
          </cell>
          <cell r="W57">
            <v>1894543.6806553351</v>
          </cell>
          <cell r="X57">
            <v>0</v>
          </cell>
          <cell r="Y57">
            <v>0.18</v>
          </cell>
          <cell r="Z57">
            <v>0.26</v>
          </cell>
          <cell r="AA57">
            <v>0.31</v>
          </cell>
          <cell r="AB57">
            <v>0.36</v>
          </cell>
          <cell r="AC57">
            <v>0.39</v>
          </cell>
          <cell r="AD57">
            <v>0.41</v>
          </cell>
          <cell r="AE57">
            <v>0.45</v>
          </cell>
          <cell r="AF57">
            <v>0.45</v>
          </cell>
          <cell r="AG57">
            <v>0.45</v>
          </cell>
          <cell r="AH57">
            <v>0.45</v>
          </cell>
          <cell r="AI57">
            <v>50653.097205973063</v>
          </cell>
          <cell r="AJ57">
            <v>27764.724160434082</v>
          </cell>
          <cell r="AK57">
            <v>9265.0671183007253</v>
          </cell>
        </row>
        <row r="58">
          <cell r="B58">
            <v>2047</v>
          </cell>
          <cell r="C58">
            <v>0</v>
          </cell>
          <cell r="D58">
            <v>732113.00644774316</v>
          </cell>
          <cell r="E58">
            <v>1143504.3364429052</v>
          </cell>
          <cell r="F58">
            <v>1582629.9134040331</v>
          </cell>
          <cell r="G58">
            <v>2077223.9842970935</v>
          </cell>
          <cell r="H58">
            <v>2648265.0179809593</v>
          </cell>
          <cell r="I58">
            <v>5608362.5306946356</v>
          </cell>
          <cell r="J58">
            <v>5608362.5306946356</v>
          </cell>
          <cell r="K58">
            <v>5608362.5306946356</v>
          </cell>
          <cell r="L58">
            <v>5608362.5306946356</v>
          </cell>
          <cell r="M58">
            <v>813118696.25039816</v>
          </cell>
          <cell r="N58">
            <v>0</v>
          </cell>
          <cell r="O58">
            <v>131780.34116059376</v>
          </cell>
          <cell r="P58">
            <v>238742.08695933589</v>
          </cell>
          <cell r="Q58">
            <v>374871.01581728552</v>
          </cell>
          <cell r="R58">
            <v>552924.88133878727</v>
          </cell>
          <cell r="S58">
            <v>775630.88447549497</v>
          </cell>
          <cell r="T58">
            <v>1989270.8646881022</v>
          </cell>
          <cell r="U58">
            <v>1989270.8646881022</v>
          </cell>
          <cell r="V58">
            <v>1989270.8646881022</v>
          </cell>
          <cell r="W58">
            <v>1989270.8646881022</v>
          </cell>
          <cell r="X58">
            <v>0</v>
          </cell>
          <cell r="Y58">
            <v>0.18</v>
          </cell>
          <cell r="Z58">
            <v>0.26</v>
          </cell>
          <cell r="AA58">
            <v>0.31</v>
          </cell>
          <cell r="AB58">
            <v>0.36</v>
          </cell>
          <cell r="AC58">
            <v>0.39</v>
          </cell>
          <cell r="AD58">
            <v>0.41</v>
          </cell>
          <cell r="AE58">
            <v>0.45</v>
          </cell>
          <cell r="AF58">
            <v>0.45</v>
          </cell>
          <cell r="AG58">
            <v>0.45</v>
          </cell>
          <cell r="AH58">
            <v>0.45</v>
          </cell>
          <cell r="AI58">
            <v>53185.752066271722</v>
          </cell>
          <cell r="AJ58">
            <v>29152.960368455788</v>
          </cell>
          <cell r="AK58">
            <v>9728.3204742157614</v>
          </cell>
        </row>
        <row r="59">
          <cell r="B59">
            <v>2048</v>
          </cell>
          <cell r="C59">
            <v>0</v>
          </cell>
          <cell r="D59">
            <v>768718.65677013039</v>
          </cell>
          <cell r="E59">
            <v>1200679.5532650505</v>
          </cell>
          <cell r="F59">
            <v>1661761.4090742348</v>
          </cell>
          <cell r="G59">
            <v>2181085.1835119482</v>
          </cell>
          <cell r="H59">
            <v>2780678.2688800073</v>
          </cell>
          <cell r="I59">
            <v>5888780.6572293676</v>
          </cell>
          <cell r="J59">
            <v>5888780.6572293676</v>
          </cell>
          <cell r="K59">
            <v>5888780.6572293676</v>
          </cell>
          <cell r="L59">
            <v>5888780.6572293676</v>
          </cell>
          <cell r="M59">
            <v>853774631.06291807</v>
          </cell>
          <cell r="N59">
            <v>0</v>
          </cell>
          <cell r="O59">
            <v>138369.35821862347</v>
          </cell>
          <cell r="P59">
            <v>250679.19130730271</v>
          </cell>
          <cell r="Q59">
            <v>393614.56660814979</v>
          </cell>
          <cell r="R59">
            <v>580571.12540572661</v>
          </cell>
          <cell r="S59">
            <v>814412.42869926966</v>
          </cell>
          <cell r="T59">
            <v>2088734.4079225073</v>
          </cell>
          <cell r="U59">
            <v>2088734.4079225073</v>
          </cell>
          <cell r="V59">
            <v>2088734.4079225073</v>
          </cell>
          <cell r="W59">
            <v>2088734.4079225073</v>
          </cell>
          <cell r="X59">
            <v>0</v>
          </cell>
          <cell r="Y59">
            <v>0.18</v>
          </cell>
          <cell r="Z59">
            <v>0.26</v>
          </cell>
          <cell r="AA59">
            <v>0.31</v>
          </cell>
          <cell r="AB59">
            <v>0.36</v>
          </cell>
          <cell r="AC59">
            <v>0.39</v>
          </cell>
          <cell r="AD59">
            <v>0.41</v>
          </cell>
          <cell r="AE59">
            <v>0.45</v>
          </cell>
          <cell r="AF59">
            <v>0.45</v>
          </cell>
          <cell r="AG59">
            <v>0.45</v>
          </cell>
          <cell r="AH59">
            <v>0.45</v>
          </cell>
          <cell r="AI59">
            <v>55845.039669585312</v>
          </cell>
          <cell r="AJ59">
            <v>30610.608386878579</v>
          </cell>
          <cell r="AK59">
            <v>10214.736497926549</v>
          </cell>
        </row>
        <row r="60">
          <cell r="B60">
            <v>2049</v>
          </cell>
          <cell r="C60">
            <v>0</v>
          </cell>
          <cell r="D60">
            <v>807154.58960863692</v>
          </cell>
          <cell r="E60">
            <v>1260713.530928303</v>
          </cell>
          <cell r="F60">
            <v>1744849.4795279466</v>
          </cell>
          <cell r="G60">
            <v>2290139.4426875459</v>
          </cell>
          <cell r="H60">
            <v>2919712.1823240076</v>
          </cell>
          <cell r="I60">
            <v>6183219.690090836</v>
          </cell>
          <cell r="J60">
            <v>6183219.690090836</v>
          </cell>
          <cell r="K60">
            <v>6183219.690090836</v>
          </cell>
          <cell r="L60">
            <v>6183219.690090836</v>
          </cell>
          <cell r="M60">
            <v>896463362.61606395</v>
          </cell>
          <cell r="N60">
            <v>0</v>
          </cell>
          <cell r="O60">
            <v>145287.82612955463</v>
          </cell>
          <cell r="P60">
            <v>263213.15087266779</v>
          </cell>
          <cell r="Q60">
            <v>413295.29493855732</v>
          </cell>
          <cell r="R60">
            <v>609599.68167601305</v>
          </cell>
          <cell r="S60">
            <v>855133.05013423308</v>
          </cell>
          <cell r="T60">
            <v>2193171.1283186325</v>
          </cell>
          <cell r="U60">
            <v>2193171.1283186325</v>
          </cell>
          <cell r="V60">
            <v>2193171.1283186325</v>
          </cell>
          <cell r="W60">
            <v>2193171.1283186325</v>
          </cell>
          <cell r="X60">
            <v>0</v>
          </cell>
          <cell r="Y60">
            <v>0.18</v>
          </cell>
          <cell r="Z60">
            <v>0.26</v>
          </cell>
          <cell r="AA60">
            <v>0.31</v>
          </cell>
          <cell r="AB60">
            <v>0.36</v>
          </cell>
          <cell r="AC60">
            <v>0.39</v>
          </cell>
          <cell r="AD60">
            <v>0.41</v>
          </cell>
          <cell r="AE60">
            <v>0.45</v>
          </cell>
          <cell r="AF60">
            <v>0.45</v>
          </cell>
          <cell r="AG60">
            <v>0.45</v>
          </cell>
          <cell r="AH60">
            <v>0.45</v>
          </cell>
          <cell r="AI60">
            <v>58637.291653064582</v>
          </cell>
          <cell r="AJ60">
            <v>32141.138806222509</v>
          </cell>
          <cell r="AK60">
            <v>10725.473322822878</v>
          </cell>
        </row>
        <row r="61">
          <cell r="B61">
            <v>2050</v>
          </cell>
          <cell r="C61">
            <v>0</v>
          </cell>
          <cell r="D61">
            <v>847512.3190890688</v>
          </cell>
          <cell r="E61">
            <v>1323749.2074747183</v>
          </cell>
          <cell r="F61">
            <v>1832091.953504344</v>
          </cell>
          <cell r="G61">
            <v>2404646.4148219232</v>
          </cell>
          <cell r="H61">
            <v>3065697.791440208</v>
          </cell>
          <cell r="I61">
            <v>6492380.6745953783</v>
          </cell>
          <cell r="J61">
            <v>6492380.6745953783</v>
          </cell>
          <cell r="K61">
            <v>6492380.6745953783</v>
          </cell>
          <cell r="L61">
            <v>6492380.6745953783</v>
          </cell>
          <cell r="M61">
            <v>941286530.74686718</v>
          </cell>
          <cell r="N61">
            <v>0</v>
          </cell>
          <cell r="O61">
            <v>152552.21743603237</v>
          </cell>
          <cell r="P61">
            <v>276373.80841630127</v>
          </cell>
          <cell r="Q61">
            <v>433960.0596854852</v>
          </cell>
          <cell r="R61">
            <v>640079.66575981374</v>
          </cell>
          <cell r="S61">
            <v>897889.70264094486</v>
          </cell>
          <cell r="T61">
            <v>2302829.6847345647</v>
          </cell>
          <cell r="U61">
            <v>2302829.6847345647</v>
          </cell>
          <cell r="V61">
            <v>2302829.6847345647</v>
          </cell>
          <cell r="W61">
            <v>2302829.6847345647</v>
          </cell>
          <cell r="X61">
            <v>0</v>
          </cell>
          <cell r="Y61">
            <v>0.18</v>
          </cell>
          <cell r="Z61">
            <v>0.26</v>
          </cell>
          <cell r="AA61">
            <v>0.31</v>
          </cell>
          <cell r="AB61">
            <v>0.36</v>
          </cell>
          <cell r="AC61">
            <v>0.39</v>
          </cell>
          <cell r="AD61">
            <v>0.41</v>
          </cell>
          <cell r="AE61">
            <v>0.45</v>
          </cell>
          <cell r="AF61">
            <v>0.45</v>
          </cell>
          <cell r="AG61">
            <v>0.45</v>
          </cell>
          <cell r="AH61">
            <v>0.45</v>
          </cell>
          <cell r="AI61">
            <v>61569.156235717812</v>
          </cell>
          <cell r="AJ61">
            <v>33748.195746533638</v>
          </cell>
          <cell r="AK61">
            <v>11261.746988964022</v>
          </cell>
        </row>
        <row r="62">
          <cell r="B62">
            <v>2051</v>
          </cell>
          <cell r="C62">
            <v>0</v>
          </cell>
          <cell r="D62">
            <v>889887.93504352227</v>
          </cell>
          <cell r="E62">
            <v>1389936.6678484543</v>
          </cell>
          <cell r="F62">
            <v>1923696.5511795613</v>
          </cell>
          <cell r="G62">
            <v>2524878.7355630193</v>
          </cell>
          <cell r="H62">
            <v>3218982.6810122184</v>
          </cell>
          <cell r="I62">
            <v>6816999.7083251476</v>
          </cell>
          <cell r="J62">
            <v>6816999.7083251476</v>
          </cell>
          <cell r="K62">
            <v>6816999.7083251476</v>
          </cell>
          <cell r="L62">
            <v>6816999.7083251476</v>
          </cell>
          <cell r="M62">
            <v>988350857.28421056</v>
          </cell>
          <cell r="N62">
            <v>0</v>
          </cell>
          <cell r="O62">
            <v>160179.82830783402</v>
          </cell>
          <cell r="P62">
            <v>290192.49883711635</v>
          </cell>
          <cell r="Q62">
            <v>455658.0626697595</v>
          </cell>
          <cell r="R62">
            <v>672083.6490478043</v>
          </cell>
          <cell r="S62">
            <v>942784.18777299195</v>
          </cell>
          <cell r="T62">
            <v>2417971.1689712927</v>
          </cell>
          <cell r="U62">
            <v>2417971.1689712927</v>
          </cell>
          <cell r="V62">
            <v>2417971.1689712927</v>
          </cell>
          <cell r="W62">
            <v>2417971.1689712927</v>
          </cell>
          <cell r="X62">
            <v>0</v>
          </cell>
          <cell r="Y62">
            <v>0.18</v>
          </cell>
          <cell r="Z62">
            <v>0.26</v>
          </cell>
          <cell r="AA62">
            <v>0.31</v>
          </cell>
          <cell r="AB62">
            <v>0.36</v>
          </cell>
          <cell r="AC62">
            <v>0.39</v>
          </cell>
          <cell r="AD62">
            <v>0.41</v>
          </cell>
          <cell r="AE62">
            <v>0.45</v>
          </cell>
          <cell r="AF62">
            <v>0.45</v>
          </cell>
          <cell r="AG62">
            <v>0.45</v>
          </cell>
          <cell r="AH62">
            <v>0.45</v>
          </cell>
          <cell r="AI62">
            <v>64647.614047503703</v>
          </cell>
          <cell r="AJ62">
            <v>35435.605533860318</v>
          </cell>
          <cell r="AK62">
            <v>11824.834338412224</v>
          </cell>
        </row>
        <row r="63">
          <cell r="B63">
            <v>2052</v>
          </cell>
          <cell r="C63">
            <v>0</v>
          </cell>
          <cell r="D63">
            <v>934382.33179569838</v>
          </cell>
          <cell r="E63">
            <v>1459433.5012408772</v>
          </cell>
          <cell r="F63">
            <v>2019881.3787385395</v>
          </cell>
          <cell r="G63">
            <v>2651122.6723411703</v>
          </cell>
          <cell r="H63">
            <v>3379931.8150628293</v>
          </cell>
          <cell r="I63">
            <v>7157849.6937414054</v>
          </cell>
          <cell r="J63">
            <v>7157849.6937414054</v>
          </cell>
          <cell r="K63">
            <v>7157849.6937414054</v>
          </cell>
          <cell r="L63">
            <v>7157849.6937414054</v>
          </cell>
          <cell r="M63">
            <v>1037768400.1484212</v>
          </cell>
          <cell r="N63">
            <v>0</v>
          </cell>
          <cell r="O63">
            <v>168188.81972322569</v>
          </cell>
          <cell r="P63">
            <v>304702.12377897219</v>
          </cell>
          <cell r="Q63">
            <v>478440.96580324753</v>
          </cell>
          <cell r="R63">
            <v>705687.83150019462</v>
          </cell>
          <cell r="S63">
            <v>989923.39716164162</v>
          </cell>
          <cell r="T63">
            <v>2538869.7274198579</v>
          </cell>
          <cell r="U63">
            <v>2538869.7274198579</v>
          </cell>
          <cell r="V63">
            <v>2538869.7274198579</v>
          </cell>
          <cell r="W63">
            <v>2538869.7274198579</v>
          </cell>
          <cell r="X63">
            <v>0</v>
          </cell>
          <cell r="Y63">
            <v>0.18</v>
          </cell>
          <cell r="Z63">
            <v>0.26</v>
          </cell>
          <cell r="AA63">
            <v>0.31</v>
          </cell>
          <cell r="AB63">
            <v>0.36</v>
          </cell>
          <cell r="AC63">
            <v>0.39</v>
          </cell>
          <cell r="AD63">
            <v>0.41</v>
          </cell>
          <cell r="AE63">
            <v>0.45</v>
          </cell>
          <cell r="AF63">
            <v>0.45</v>
          </cell>
          <cell r="AG63">
            <v>0.45</v>
          </cell>
          <cell r="AH63">
            <v>0.45</v>
          </cell>
          <cell r="AI63">
            <v>67879.994749878897</v>
          </cell>
          <cell r="AJ63">
            <v>37207.385810553336</v>
          </cell>
          <cell r="AK63">
            <v>12416.076055332835</v>
          </cell>
        </row>
        <row r="64">
          <cell r="B64">
            <v>2053</v>
          </cell>
          <cell r="C64">
            <v>0</v>
          </cell>
          <cell r="D64">
            <v>981101.44838548335</v>
          </cell>
          <cell r="E64">
            <v>1532405.176302921</v>
          </cell>
          <cell r="F64">
            <v>2120875.4476754665</v>
          </cell>
          <cell r="G64">
            <v>2783678.8059582291</v>
          </cell>
          <cell r="H64">
            <v>3548928.4058159711</v>
          </cell>
          <cell r="I64">
            <v>7515742.1784284757</v>
          </cell>
          <cell r="J64">
            <v>7515742.1784284757</v>
          </cell>
          <cell r="K64">
            <v>7515742.1784284757</v>
          </cell>
          <cell r="L64">
            <v>7515742.1784284757</v>
          </cell>
          <cell r="M64">
            <v>1089656820.1558423</v>
          </cell>
          <cell r="N64">
            <v>0</v>
          </cell>
          <cell r="O64">
            <v>176598.26070938699</v>
          </cell>
          <cell r="P64">
            <v>319937.22996792081</v>
          </cell>
          <cell r="Q64">
            <v>502363.01409340987</v>
          </cell>
          <cell r="R64">
            <v>740972.22307520441</v>
          </cell>
          <cell r="S64">
            <v>1039419.5670197238</v>
          </cell>
          <cell r="T64">
            <v>2665813.2137908507</v>
          </cell>
          <cell r="U64">
            <v>2665813.2137908507</v>
          </cell>
          <cell r="V64">
            <v>2665813.2137908507</v>
          </cell>
          <cell r="W64">
            <v>2665813.2137908507</v>
          </cell>
          <cell r="X64">
            <v>0</v>
          </cell>
          <cell r="Y64">
            <v>0.18</v>
          </cell>
          <cell r="Z64">
            <v>0.26</v>
          </cell>
          <cell r="AA64">
            <v>0.31</v>
          </cell>
          <cell r="AB64">
            <v>0.36</v>
          </cell>
          <cell r="AC64">
            <v>0.39</v>
          </cell>
          <cell r="AD64">
            <v>0.41</v>
          </cell>
          <cell r="AE64">
            <v>0.45</v>
          </cell>
          <cell r="AF64">
            <v>0.45</v>
          </cell>
          <cell r="AG64">
            <v>0.45</v>
          </cell>
          <cell r="AH64">
            <v>0.45</v>
          </cell>
          <cell r="AI64">
            <v>71273.994487372838</v>
          </cell>
          <cell r="AJ64">
            <v>39067.755101081006</v>
          </cell>
          <cell r="AK64">
            <v>13036.879858099477</v>
          </cell>
        </row>
        <row r="65">
          <cell r="B65">
            <v>2054</v>
          </cell>
          <cell r="C65">
            <v>0</v>
          </cell>
          <cell r="D65">
            <v>1030156.5208047576</v>
          </cell>
          <cell r="E65">
            <v>1609025.4351180671</v>
          </cell>
          <cell r="F65">
            <v>2226919.2200592398</v>
          </cell>
          <cell r="G65">
            <v>2922862.7462561405</v>
          </cell>
          <cell r="H65">
            <v>3726374.82610677</v>
          </cell>
          <cell r="I65">
            <v>7891529.2873499002</v>
          </cell>
          <cell r="J65">
            <v>7891529.2873499002</v>
          </cell>
          <cell r="K65">
            <v>7891529.2873499002</v>
          </cell>
          <cell r="L65">
            <v>7891529.2873499002</v>
          </cell>
          <cell r="M65">
            <v>1144139661.1636345</v>
          </cell>
          <cell r="N65">
            <v>0</v>
          </cell>
          <cell r="O65">
            <v>185428.17374485635</v>
          </cell>
          <cell r="P65">
            <v>335934.09146631684</v>
          </cell>
          <cell r="Q65">
            <v>527481.16479808034</v>
          </cell>
          <cell r="R65">
            <v>778020.83422896464</v>
          </cell>
          <cell r="S65">
            <v>1091390.5453707101</v>
          </cell>
          <cell r="T65">
            <v>2799103.8744803937</v>
          </cell>
          <cell r="U65">
            <v>2799103.8744803937</v>
          </cell>
          <cell r="V65">
            <v>2799103.8744803937</v>
          </cell>
          <cell r="W65">
            <v>2799103.8744803937</v>
          </cell>
          <cell r="X65">
            <v>0</v>
          </cell>
          <cell r="Y65">
            <v>0.18</v>
          </cell>
          <cell r="Z65">
            <v>0.26</v>
          </cell>
          <cell r="AA65">
            <v>0.31</v>
          </cell>
          <cell r="AB65">
            <v>0.36</v>
          </cell>
          <cell r="AC65">
            <v>0.39</v>
          </cell>
          <cell r="AD65">
            <v>0.41</v>
          </cell>
          <cell r="AE65">
            <v>0.45</v>
          </cell>
          <cell r="AF65">
            <v>0.45</v>
          </cell>
          <cell r="AG65">
            <v>0.45</v>
          </cell>
          <cell r="AH65">
            <v>0.45</v>
          </cell>
          <cell r="AI65">
            <v>74837.694211741487</v>
          </cell>
          <cell r="AJ65">
            <v>41021.142856135055</v>
          </cell>
          <cell r="AK65">
            <v>13688.723851004452</v>
          </cell>
        </row>
        <row r="66">
          <cell r="B66">
            <v>2055</v>
          </cell>
          <cell r="C66">
            <v>0</v>
          </cell>
          <cell r="D66">
            <v>1081664.3468449956</v>
          </cell>
          <cell r="E66">
            <v>1689476.7068739706</v>
          </cell>
          <cell r="F66">
            <v>2338265.181062202</v>
          </cell>
          <cell r="G66">
            <v>3069005.8835689477</v>
          </cell>
          <cell r="H66">
            <v>3912693.5674121086</v>
          </cell>
          <cell r="I66">
            <v>8286105.7517173951</v>
          </cell>
          <cell r="J66">
            <v>8286105.7517173951</v>
          </cell>
          <cell r="K66">
            <v>8286105.7517173951</v>
          </cell>
          <cell r="L66">
            <v>8286105.7517173951</v>
          </cell>
          <cell r="M66">
            <v>1201346644.2218163</v>
          </cell>
          <cell r="N66">
            <v>0</v>
          </cell>
          <cell r="O66">
            <v>194699.58243209921</v>
          </cell>
          <cell r="P66">
            <v>352730.7960396327</v>
          </cell>
          <cell r="Q66">
            <v>553855.22303798446</v>
          </cell>
          <cell r="R66">
            <v>816921.87594041298</v>
          </cell>
          <cell r="S66">
            <v>1145960.0726392458</v>
          </cell>
          <cell r="T66">
            <v>2939059.0682044132</v>
          </cell>
          <cell r="U66">
            <v>2939059.0682044132</v>
          </cell>
          <cell r="V66">
            <v>2939059.0682044132</v>
          </cell>
          <cell r="W66">
            <v>2939059.0682044132</v>
          </cell>
          <cell r="X66">
            <v>0</v>
          </cell>
          <cell r="Y66">
            <v>0.18</v>
          </cell>
          <cell r="Z66">
            <v>0.26</v>
          </cell>
          <cell r="AA66">
            <v>0.31</v>
          </cell>
          <cell r="AB66">
            <v>0.36</v>
          </cell>
          <cell r="AC66">
            <v>0.39</v>
          </cell>
          <cell r="AD66">
            <v>0.41</v>
          </cell>
          <cell r="AE66">
            <v>0.45</v>
          </cell>
          <cell r="AF66">
            <v>0.45</v>
          </cell>
          <cell r="AG66">
            <v>0.45</v>
          </cell>
          <cell r="AH66">
            <v>0.45</v>
          </cell>
          <cell r="AI66">
            <v>78579.578922328568</v>
          </cell>
          <cell r="AJ66">
            <v>43072.199998941811</v>
          </cell>
          <cell r="AK66">
            <v>14373.160043554675</v>
          </cell>
        </row>
        <row r="67">
          <cell r="B67">
            <v>2056</v>
          </cell>
          <cell r="C67">
            <v>0</v>
          </cell>
          <cell r="D67">
            <v>1135747.5641872454</v>
          </cell>
          <cell r="E67">
            <v>1773950.5422176691</v>
          </cell>
          <cell r="F67">
            <v>2455178.4401153121</v>
          </cell>
          <cell r="G67">
            <v>3222456.1777473954</v>
          </cell>
          <cell r="H67">
            <v>4108328.2457827143</v>
          </cell>
          <cell r="I67">
            <v>8700411.0393032655</v>
          </cell>
          <cell r="J67">
            <v>8700411.0393032655</v>
          </cell>
          <cell r="K67">
            <v>8700411.0393032655</v>
          </cell>
          <cell r="L67">
            <v>8700411.0393032655</v>
          </cell>
          <cell r="M67">
            <v>1261413976.4329071</v>
          </cell>
          <cell r="N67">
            <v>0</v>
          </cell>
          <cell r="O67">
            <v>204434.56155370417</v>
          </cell>
          <cell r="P67">
            <v>370367.33584161429</v>
          </cell>
          <cell r="Q67">
            <v>581547.98418988357</v>
          </cell>
          <cell r="R67">
            <v>857767.9697374336</v>
          </cell>
          <cell r="S67">
            <v>1203258.076271208</v>
          </cell>
          <cell r="T67">
            <v>3086012.021614634</v>
          </cell>
          <cell r="U67">
            <v>3086012.021614634</v>
          </cell>
          <cell r="V67">
            <v>3086012.021614634</v>
          </cell>
          <cell r="W67">
            <v>3086012.021614634</v>
          </cell>
          <cell r="X67">
            <v>0</v>
          </cell>
          <cell r="Y67">
            <v>0.18</v>
          </cell>
          <cell r="Z67">
            <v>0.26</v>
          </cell>
          <cell r="AA67">
            <v>0.31</v>
          </cell>
          <cell r="AB67">
            <v>0.36</v>
          </cell>
          <cell r="AC67">
            <v>0.39</v>
          </cell>
          <cell r="AD67">
            <v>0.41</v>
          </cell>
          <cell r="AE67">
            <v>0.45</v>
          </cell>
          <cell r="AF67">
            <v>0.45</v>
          </cell>
          <cell r="AG67">
            <v>0.45</v>
          </cell>
          <cell r="AH67">
            <v>0.45</v>
          </cell>
          <cell r="AI67">
            <v>82508.557868445001</v>
          </cell>
          <cell r="AJ67">
            <v>45225.809998888901</v>
          </cell>
          <cell r="AK67">
            <v>15091.818045732409</v>
          </cell>
        </row>
        <row r="68">
          <cell r="B68">
            <v>2057</v>
          </cell>
          <cell r="C68">
            <v>0</v>
          </cell>
          <cell r="D68">
            <v>1192534.9423966077</v>
          </cell>
          <cell r="E68">
            <v>1862648.0693285526</v>
          </cell>
          <cell r="F68">
            <v>2577937.3621210777</v>
          </cell>
          <cell r="G68">
            <v>3383578.9866347653</v>
          </cell>
          <cell r="H68">
            <v>4313744.6580718504</v>
          </cell>
          <cell r="I68">
            <v>9135431.5912684295</v>
          </cell>
          <cell r="J68">
            <v>9135431.5912684295</v>
          </cell>
          <cell r="K68">
            <v>9135431.5912684295</v>
          </cell>
          <cell r="L68">
            <v>9135431.5912684295</v>
          </cell>
          <cell r="M68">
            <v>1324484675.2545526</v>
          </cell>
          <cell r="N68">
            <v>0</v>
          </cell>
          <cell r="O68">
            <v>214656.28963138937</v>
          </cell>
          <cell r="P68">
            <v>388885.70263369504</v>
          </cell>
          <cell r="Q68">
            <v>610625.38339937781</v>
          </cell>
          <cell r="R68">
            <v>900656.36822430533</v>
          </cell>
          <cell r="S68">
            <v>1263420.9800847685</v>
          </cell>
          <cell r="T68">
            <v>3240312.6226953659</v>
          </cell>
          <cell r="U68">
            <v>3240312.6226953659</v>
          </cell>
          <cell r="V68">
            <v>3240312.6226953659</v>
          </cell>
          <cell r="W68">
            <v>3240312.6226953659</v>
          </cell>
          <cell r="X68">
            <v>0</v>
          </cell>
          <cell r="Y68">
            <v>0.18</v>
          </cell>
          <cell r="Z68">
            <v>0.26</v>
          </cell>
          <cell r="AA68">
            <v>0.31</v>
          </cell>
          <cell r="AB68">
            <v>0.36</v>
          </cell>
          <cell r="AC68">
            <v>0.39</v>
          </cell>
          <cell r="AD68">
            <v>0.41</v>
          </cell>
          <cell r="AE68">
            <v>0.45</v>
          </cell>
          <cell r="AF68">
            <v>0.45</v>
          </cell>
          <cell r="AG68">
            <v>0.45</v>
          </cell>
          <cell r="AH68">
            <v>0.45</v>
          </cell>
          <cell r="AI68">
            <v>86633.985761867254</v>
          </cell>
          <cell r="AJ68">
            <v>47487.100498833344</v>
          </cell>
          <cell r="AK68">
            <v>15846.408948019031</v>
          </cell>
        </row>
        <row r="69">
          <cell r="B69">
            <v>2058</v>
          </cell>
          <cell r="C69">
            <v>0</v>
          </cell>
          <cell r="D69">
            <v>1252161.6895164382</v>
          </cell>
          <cell r="E69">
            <v>1955780.4727949803</v>
          </cell>
          <cell r="F69">
            <v>2706834.2302271319</v>
          </cell>
          <cell r="G69">
            <v>3552757.9359665038</v>
          </cell>
          <cell r="H69">
            <v>4529431.8909754427</v>
          </cell>
          <cell r="I69">
            <v>9592203.1708318517</v>
          </cell>
          <cell r="J69">
            <v>9592203.1708318517</v>
          </cell>
          <cell r="K69">
            <v>9592203.1708318517</v>
          </cell>
          <cell r="L69">
            <v>9592203.1708318517</v>
          </cell>
          <cell r="M69">
            <v>1390708909.0172803</v>
          </cell>
          <cell r="N69">
            <v>0</v>
          </cell>
          <cell r="O69">
            <v>225389.10411295886</v>
          </cell>
          <cell r="P69">
            <v>408329.98776537983</v>
          </cell>
          <cell r="Q69">
            <v>641156.65256934683</v>
          </cell>
          <cell r="R69">
            <v>945689.18663552077</v>
          </cell>
          <cell r="S69">
            <v>1326592.0290890071</v>
          </cell>
          <cell r="T69">
            <v>3402328.2538301349</v>
          </cell>
          <cell r="U69">
            <v>3402328.2538301349</v>
          </cell>
          <cell r="V69">
            <v>3402328.2538301349</v>
          </cell>
          <cell r="W69">
            <v>3402328.2538301349</v>
          </cell>
          <cell r="X69">
            <v>0</v>
          </cell>
          <cell r="Y69">
            <v>0.18</v>
          </cell>
          <cell r="Z69">
            <v>0.26</v>
          </cell>
          <cell r="AA69">
            <v>0.31</v>
          </cell>
          <cell r="AB69">
            <v>0.36</v>
          </cell>
          <cell r="AC69">
            <v>0.39</v>
          </cell>
          <cell r="AD69">
            <v>0.41</v>
          </cell>
          <cell r="AE69">
            <v>0.45</v>
          </cell>
          <cell r="AF69">
            <v>0.45</v>
          </cell>
          <cell r="AG69">
            <v>0.45</v>
          </cell>
          <cell r="AH69">
            <v>0.45</v>
          </cell>
          <cell r="AI69">
            <v>90965.685049960623</v>
          </cell>
          <cell r="AJ69">
            <v>49861.45552377501</v>
          </cell>
          <cell r="AK69">
            <v>16638.729395419981</v>
          </cell>
        </row>
        <row r="70">
          <cell r="B70">
            <v>2059</v>
          </cell>
          <cell r="C70">
            <v>0</v>
          </cell>
          <cell r="D70">
            <v>1314769.7739922602</v>
          </cell>
          <cell r="E70">
            <v>2053569.4964347293</v>
          </cell>
          <cell r="F70">
            <v>2842175.9417384886</v>
          </cell>
          <cell r="G70">
            <v>3730395.832764829</v>
          </cell>
          <cell r="H70">
            <v>4755903.4855242148</v>
          </cell>
          <cell r="I70">
            <v>10071813.329373445</v>
          </cell>
          <cell r="J70">
            <v>10071813.329373445</v>
          </cell>
          <cell r="K70">
            <v>10071813.329373445</v>
          </cell>
          <cell r="L70">
            <v>10071813.329373445</v>
          </cell>
          <cell r="M70">
            <v>1460244354.4681444</v>
          </cell>
          <cell r="N70">
            <v>0</v>
          </cell>
          <cell r="O70">
            <v>236658.55931860683</v>
          </cell>
          <cell r="P70">
            <v>428746.48715364881</v>
          </cell>
          <cell r="Q70">
            <v>673214.48519781418</v>
          </cell>
          <cell r="R70">
            <v>992973.64596729679</v>
          </cell>
          <cell r="S70">
            <v>1392921.6305434573</v>
          </cell>
          <cell r="T70">
            <v>3572444.6665216419</v>
          </cell>
          <cell r="U70">
            <v>3572444.6665216419</v>
          </cell>
          <cell r="V70">
            <v>3572444.6665216419</v>
          </cell>
          <cell r="W70">
            <v>3572444.6665216419</v>
          </cell>
          <cell r="X70">
            <v>0</v>
          </cell>
          <cell r="Y70">
            <v>0.18</v>
          </cell>
          <cell r="Z70">
            <v>0.26</v>
          </cell>
          <cell r="AA70">
            <v>0.31</v>
          </cell>
          <cell r="AB70">
            <v>0.36</v>
          </cell>
          <cell r="AC70">
            <v>0.39</v>
          </cell>
          <cell r="AD70">
            <v>0.41</v>
          </cell>
          <cell r="AE70">
            <v>0.45</v>
          </cell>
          <cell r="AF70">
            <v>0.45</v>
          </cell>
          <cell r="AG70">
            <v>0.45</v>
          </cell>
          <cell r="AH70">
            <v>0.45</v>
          </cell>
          <cell r="AI70">
            <v>95513.96930245866</v>
          </cell>
          <cell r="AJ70">
            <v>52354.528299963764</v>
          </cell>
          <cell r="AK70">
            <v>17470.665865190982</v>
          </cell>
        </row>
        <row r="71">
          <cell r="B71">
            <v>2060</v>
          </cell>
          <cell r="C71">
            <v>0</v>
          </cell>
          <cell r="D71">
            <v>1380508.2626918734</v>
          </cell>
          <cell r="E71">
            <v>2156247.9712564657</v>
          </cell>
          <cell r="F71">
            <v>2984284.7388254134</v>
          </cell>
          <cell r="G71">
            <v>3916915.6244030707</v>
          </cell>
          <cell r="H71">
            <v>4993698.6598004261</v>
          </cell>
          <cell r="I71">
            <v>10575403.995842118</v>
          </cell>
          <cell r="J71">
            <v>10575403.995842118</v>
          </cell>
          <cell r="K71">
            <v>10575403.995842118</v>
          </cell>
          <cell r="L71">
            <v>10575403.995842118</v>
          </cell>
          <cell r="M71">
            <v>1533256572.1915517</v>
          </cell>
          <cell r="N71">
            <v>0</v>
          </cell>
          <cell r="O71">
            <v>248491.4872845372</v>
          </cell>
          <cell r="P71">
            <v>450183.81151133124</v>
          </cell>
          <cell r="Q71">
            <v>706875.20945770503</v>
          </cell>
          <cell r="R71">
            <v>1042622.3282656616</v>
          </cell>
          <cell r="S71">
            <v>1462567.7120706302</v>
          </cell>
          <cell r="T71">
            <v>3751066.8998477235</v>
          </cell>
          <cell r="U71">
            <v>3751066.8998477235</v>
          </cell>
          <cell r="V71">
            <v>3751066.8998477235</v>
          </cell>
          <cell r="W71">
            <v>3751066.8998477235</v>
          </cell>
          <cell r="X71">
            <v>0</v>
          </cell>
          <cell r="Y71">
            <v>0.18</v>
          </cell>
          <cell r="Z71">
            <v>0.26</v>
          </cell>
          <cell r="AA71">
            <v>0.31</v>
          </cell>
          <cell r="AB71">
            <v>0.36</v>
          </cell>
          <cell r="AC71">
            <v>0.39</v>
          </cell>
          <cell r="AD71">
            <v>0.41</v>
          </cell>
          <cell r="AE71">
            <v>0.45</v>
          </cell>
          <cell r="AF71">
            <v>0.45</v>
          </cell>
          <cell r="AG71">
            <v>0.45</v>
          </cell>
          <cell r="AH71">
            <v>0.45</v>
          </cell>
          <cell r="AI71">
            <v>100289.6677675816</v>
          </cell>
          <cell r="AJ71">
            <v>54972.254714961957</v>
          </cell>
          <cell r="AK71">
            <v>18344.19915845053</v>
          </cell>
        </row>
        <row r="72">
          <cell r="B72">
            <v>2061</v>
          </cell>
          <cell r="C72">
            <v>0</v>
          </cell>
          <cell r="D72">
            <v>1449533.6758264671</v>
          </cell>
          <cell r="E72">
            <v>2264060.3698192891</v>
          </cell>
          <cell r="F72">
            <v>3133498.9757666844</v>
          </cell>
          <cell r="G72">
            <v>4112761.4056232246</v>
          </cell>
          <cell r="H72">
            <v>5243383.5927904472</v>
          </cell>
          <cell r="I72">
            <v>11104174.195634224</v>
          </cell>
          <cell r="J72">
            <v>11104174.195634224</v>
          </cell>
          <cell r="K72">
            <v>11104174.195634224</v>
          </cell>
          <cell r="L72">
            <v>11104174.195634224</v>
          </cell>
          <cell r="M72">
            <v>1609919400.8011293</v>
          </cell>
          <cell r="N72">
            <v>0</v>
          </cell>
          <cell r="O72">
            <v>260916.06164876407</v>
          </cell>
          <cell r="P72">
            <v>472693.00208689779</v>
          </cell>
          <cell r="Q72">
            <v>742218.96993059036</v>
          </cell>
          <cell r="R72">
            <v>1094753.4446789448</v>
          </cell>
          <cell r="S72">
            <v>1535696.0976741617</v>
          </cell>
          <cell r="T72">
            <v>3938620.2448401097</v>
          </cell>
          <cell r="U72">
            <v>3938620.2448401097</v>
          </cell>
          <cell r="V72">
            <v>3938620.2448401097</v>
          </cell>
          <cell r="W72">
            <v>3938620.2448401097</v>
          </cell>
          <cell r="X72">
            <v>0</v>
          </cell>
          <cell r="Y72">
            <v>0.18</v>
          </cell>
          <cell r="Z72">
            <v>0.26</v>
          </cell>
          <cell r="AA72">
            <v>0.31</v>
          </cell>
          <cell r="AB72">
            <v>0.36</v>
          </cell>
          <cell r="AC72">
            <v>0.39</v>
          </cell>
          <cell r="AD72">
            <v>0.41</v>
          </cell>
          <cell r="AE72">
            <v>0.45</v>
          </cell>
          <cell r="AF72">
            <v>0.45</v>
          </cell>
          <cell r="AG72">
            <v>0.45</v>
          </cell>
          <cell r="AH72">
            <v>0.45</v>
          </cell>
          <cell r="AI72">
            <v>105304.15115596069</v>
          </cell>
          <cell r="AJ72">
            <v>57720.867450710059</v>
          </cell>
          <cell r="AK72">
            <v>19261.409116373059</v>
          </cell>
        </row>
        <row r="73">
          <cell r="B73">
            <v>2062</v>
          </cell>
          <cell r="C73">
            <v>0</v>
          </cell>
          <cell r="D73">
            <v>1522010.3596177904</v>
          </cell>
          <cell r="E73">
            <v>2377263.3883102536</v>
          </cell>
          <cell r="F73">
            <v>3290173.9245550185</v>
          </cell>
          <cell r="G73">
            <v>4318399.4759043856</v>
          </cell>
          <cell r="H73">
            <v>5505552.7724299701</v>
          </cell>
          <cell r="I73">
            <v>11659382.905415935</v>
          </cell>
          <cell r="J73">
            <v>11659382.905415935</v>
          </cell>
          <cell r="K73">
            <v>11659382.905415935</v>
          </cell>
          <cell r="L73">
            <v>11659382.905415935</v>
          </cell>
          <cell r="M73">
            <v>1690415370.8411858</v>
          </cell>
          <cell r="N73">
            <v>0</v>
          </cell>
          <cell r="O73">
            <v>273961.86473120225</v>
          </cell>
          <cell r="P73">
            <v>496327.65219124267</v>
          </cell>
          <cell r="Q73">
            <v>779329.91842711973</v>
          </cell>
          <cell r="R73">
            <v>1149491.1169128919</v>
          </cell>
          <cell r="S73">
            <v>1612480.9025578699</v>
          </cell>
          <cell r="T73">
            <v>4135551.2570821154</v>
          </cell>
          <cell r="U73">
            <v>4135551.2570821154</v>
          </cell>
          <cell r="V73">
            <v>4135551.2570821154</v>
          </cell>
          <cell r="W73">
            <v>4135551.2570821154</v>
          </cell>
          <cell r="X73">
            <v>0</v>
          </cell>
          <cell r="Y73">
            <v>0.18</v>
          </cell>
          <cell r="Z73">
            <v>0.26</v>
          </cell>
          <cell r="AA73">
            <v>0.31</v>
          </cell>
          <cell r="AB73">
            <v>0.36</v>
          </cell>
          <cell r="AC73">
            <v>0.39</v>
          </cell>
          <cell r="AD73">
            <v>0.41</v>
          </cell>
          <cell r="AE73">
            <v>0.45</v>
          </cell>
          <cell r="AF73">
            <v>0.45</v>
          </cell>
          <cell r="AG73">
            <v>0.45</v>
          </cell>
          <cell r="AH73">
            <v>0.45</v>
          </cell>
          <cell r="AI73">
            <v>110569.35871375873</v>
          </cell>
          <cell r="AJ73">
            <v>60606.910823245562</v>
          </cell>
          <cell r="AK73">
            <v>20224.479572191714</v>
          </cell>
        </row>
        <row r="74">
          <cell r="B74">
            <v>2063</v>
          </cell>
          <cell r="C74">
            <v>0</v>
          </cell>
          <cell r="D74">
            <v>1598110.8775986801</v>
          </cell>
          <cell r="E74">
            <v>2496126.5577257662</v>
          </cell>
          <cell r="F74">
            <v>3454682.6207827698</v>
          </cell>
          <cell r="G74">
            <v>4534319.4496996049</v>
          </cell>
          <cell r="H74">
            <v>5780830.4110514689</v>
          </cell>
          <cell r="I74">
            <v>12242352.050686732</v>
          </cell>
          <cell r="J74">
            <v>12242352.050686732</v>
          </cell>
          <cell r="K74">
            <v>12242352.050686732</v>
          </cell>
          <cell r="L74">
            <v>12242352.050686732</v>
          </cell>
          <cell r="M74">
            <v>1774936139.3832452</v>
          </cell>
          <cell r="N74">
            <v>0</v>
          </cell>
          <cell r="O74">
            <v>287659.95796776243</v>
          </cell>
          <cell r="P74">
            <v>521144.0348008048</v>
          </cell>
          <cell r="Q74">
            <v>818296.41434847587</v>
          </cell>
          <cell r="R74">
            <v>1206965.6727585364</v>
          </cell>
          <cell r="S74">
            <v>1693104.9476857635</v>
          </cell>
          <cell r="T74">
            <v>4342328.8199362215</v>
          </cell>
          <cell r="U74">
            <v>4342328.8199362215</v>
          </cell>
          <cell r="V74">
            <v>4342328.8199362215</v>
          </cell>
          <cell r="W74">
            <v>4342328.8199362215</v>
          </cell>
          <cell r="X74">
            <v>0</v>
          </cell>
          <cell r="Y74">
            <v>0.18</v>
          </cell>
          <cell r="Z74">
            <v>0.26</v>
          </cell>
          <cell r="AA74">
            <v>0.31</v>
          </cell>
          <cell r="AB74">
            <v>0.36</v>
          </cell>
          <cell r="AC74">
            <v>0.39</v>
          </cell>
          <cell r="AD74">
            <v>0.41</v>
          </cell>
          <cell r="AE74">
            <v>0.45</v>
          </cell>
          <cell r="AF74">
            <v>0.45</v>
          </cell>
          <cell r="AG74">
            <v>0.45</v>
          </cell>
          <cell r="AH74">
            <v>0.45</v>
          </cell>
          <cell r="AI74">
            <v>116097.82664944667</v>
          </cell>
          <cell r="AJ74">
            <v>63637.25636440784</v>
          </cell>
          <cell r="AK74">
            <v>21235.7035508013</v>
          </cell>
        </row>
        <row r="75">
          <cell r="B75">
            <v>2064</v>
          </cell>
          <cell r="C75">
            <v>0</v>
          </cell>
          <cell r="D75">
            <v>1678016.4214786142</v>
          </cell>
          <cell r="E75">
            <v>2620932.8856120547</v>
          </cell>
          <cell r="F75">
            <v>3627416.7518219082</v>
          </cell>
          <cell r="G75">
            <v>4761035.4221845856</v>
          </cell>
          <cell r="H75">
            <v>6069871.9316040426</v>
          </cell>
          <cell r="I75">
            <v>12854469.653221069</v>
          </cell>
          <cell r="J75">
            <v>12854469.653221069</v>
          </cell>
          <cell r="K75">
            <v>12854469.653221069</v>
          </cell>
          <cell r="L75">
            <v>12854469.653221069</v>
          </cell>
          <cell r="M75">
            <v>1863682946.3524075</v>
          </cell>
          <cell r="N75">
            <v>0</v>
          </cell>
          <cell r="O75">
            <v>302042.95586615056</v>
          </cell>
          <cell r="P75">
            <v>547201.23654084513</v>
          </cell>
          <cell r="Q75">
            <v>859211.23506589967</v>
          </cell>
          <cell r="R75">
            <v>1267313.9563964636</v>
          </cell>
          <cell r="S75">
            <v>1777760.1950700518</v>
          </cell>
          <cell r="T75">
            <v>4559445.2609330323</v>
          </cell>
          <cell r="U75">
            <v>4559445.2609330323</v>
          </cell>
          <cell r="V75">
            <v>4559445.2609330323</v>
          </cell>
          <cell r="W75">
            <v>4559445.2609330323</v>
          </cell>
          <cell r="X75">
            <v>0</v>
          </cell>
          <cell r="Y75">
            <v>0.18</v>
          </cell>
          <cell r="Z75">
            <v>0.26</v>
          </cell>
          <cell r="AA75">
            <v>0.31</v>
          </cell>
          <cell r="AB75">
            <v>0.36</v>
          </cell>
          <cell r="AC75">
            <v>0.39</v>
          </cell>
          <cell r="AD75">
            <v>0.41</v>
          </cell>
          <cell r="AE75">
            <v>0.45</v>
          </cell>
          <cell r="AF75">
            <v>0.45</v>
          </cell>
          <cell r="AG75">
            <v>0.45</v>
          </cell>
          <cell r="AH75">
            <v>0.45</v>
          </cell>
          <cell r="AI75">
            <v>121902.71798191901</v>
          </cell>
          <cell r="AJ75">
            <v>66819.11918262823</v>
          </cell>
          <cell r="AK75">
            <v>22297.488728341366</v>
          </cell>
        </row>
        <row r="76">
          <cell r="B76">
            <v>2065</v>
          </cell>
          <cell r="C76">
            <v>0</v>
          </cell>
          <cell r="D76">
            <v>1761917.2425525449</v>
          </cell>
          <cell r="E76">
            <v>2751979.5298926574</v>
          </cell>
          <cell r="F76">
            <v>3808787.5894130035</v>
          </cell>
          <cell r="G76">
            <v>4999087.1932938155</v>
          </cell>
          <cell r="H76">
            <v>6373365.5281842453</v>
          </cell>
          <cell r="I76">
            <v>13497193.135882122</v>
          </cell>
          <cell r="J76">
            <v>13497193.135882122</v>
          </cell>
          <cell r="K76">
            <v>13497193.135882122</v>
          </cell>
          <cell r="L76">
            <v>13497193.135882122</v>
          </cell>
          <cell r="M76">
            <v>1956867093.670028</v>
          </cell>
          <cell r="N76">
            <v>0</v>
          </cell>
          <cell r="O76">
            <v>317145.10365945805</v>
          </cell>
          <cell r="P76">
            <v>574561.29836788727</v>
          </cell>
          <cell r="Q76">
            <v>902171.79681919457</v>
          </cell>
          <cell r="R76">
            <v>1330679.6542162867</v>
          </cell>
          <cell r="S76">
            <v>1866648.2048235545</v>
          </cell>
          <cell r="T76">
            <v>4787417.5239796843</v>
          </cell>
          <cell r="U76">
            <v>4787417.5239796843</v>
          </cell>
          <cell r="V76">
            <v>4787417.5239796843</v>
          </cell>
          <cell r="W76">
            <v>4787417.5239796843</v>
          </cell>
          <cell r="X76">
            <v>0</v>
          </cell>
          <cell r="Y76">
            <v>0.18</v>
          </cell>
          <cell r="Z76">
            <v>0.26</v>
          </cell>
          <cell r="AA76">
            <v>0.31</v>
          </cell>
          <cell r="AB76">
            <v>0.36</v>
          </cell>
          <cell r="AC76">
            <v>0.39</v>
          </cell>
          <cell r="AD76">
            <v>0.41</v>
          </cell>
          <cell r="AE76">
            <v>0.45</v>
          </cell>
          <cell r="AF76">
            <v>0.45</v>
          </cell>
          <cell r="AG76">
            <v>0.45</v>
          </cell>
          <cell r="AH76">
            <v>0.45</v>
          </cell>
          <cell r="AI76">
            <v>127997.85388101496</v>
          </cell>
          <cell r="AJ76">
            <v>70160.075141759648</v>
          </cell>
          <cell r="AK76">
            <v>23412.363164758437</v>
          </cell>
        </row>
        <row r="77">
          <cell r="B77">
            <v>2066</v>
          </cell>
          <cell r="C77">
            <v>0</v>
          </cell>
          <cell r="D77">
            <v>1850013.1046801722</v>
          </cell>
          <cell r="E77">
            <v>2889578.5063872905</v>
          </cell>
          <cell r="F77">
            <v>3999226.9688836541</v>
          </cell>
          <cell r="G77">
            <v>5249041.5529585062</v>
          </cell>
          <cell r="H77">
            <v>6692033.8045934578</v>
          </cell>
          <cell r="I77">
            <v>14172052.792676229</v>
          </cell>
          <cell r="J77">
            <v>14172052.792676229</v>
          </cell>
          <cell r="K77">
            <v>14172052.792676229</v>
          </cell>
          <cell r="L77">
            <v>14172052.792676229</v>
          </cell>
          <cell r="M77">
            <v>2054710448.3535295</v>
          </cell>
          <cell r="N77">
            <v>0</v>
          </cell>
          <cell r="O77">
            <v>333002.35884243099</v>
          </cell>
          <cell r="P77">
            <v>603289.3632862817</v>
          </cell>
          <cell r="Q77">
            <v>947280.38666015444</v>
          </cell>
          <cell r="R77">
            <v>1397213.6369271013</v>
          </cell>
          <cell r="S77">
            <v>1959980.6150647325</v>
          </cell>
          <cell r="T77">
            <v>5026788.4001786681</v>
          </cell>
          <cell r="U77">
            <v>5026788.4001786681</v>
          </cell>
          <cell r="V77">
            <v>5026788.4001786681</v>
          </cell>
          <cell r="W77">
            <v>5026788.4001786681</v>
          </cell>
          <cell r="X77">
            <v>0</v>
          </cell>
          <cell r="Y77">
            <v>0.18</v>
          </cell>
          <cell r="Z77">
            <v>0.26</v>
          </cell>
          <cell r="AA77">
            <v>0.31</v>
          </cell>
          <cell r="AB77">
            <v>0.36</v>
          </cell>
          <cell r="AC77">
            <v>0.39</v>
          </cell>
          <cell r="AD77">
            <v>0.41</v>
          </cell>
          <cell r="AE77">
            <v>0.45</v>
          </cell>
          <cell r="AF77">
            <v>0.45</v>
          </cell>
          <cell r="AG77">
            <v>0.45</v>
          </cell>
          <cell r="AH77">
            <v>0.45</v>
          </cell>
          <cell r="AI77">
            <v>134397.74657506571</v>
          </cell>
          <cell r="AJ77">
            <v>73668.078898847627</v>
          </cell>
          <cell r="AK77">
            <v>24582.981322996358</v>
          </cell>
        </row>
        <row r="78">
          <cell r="B78">
            <v>2067</v>
          </cell>
          <cell r="C78">
            <v>0</v>
          </cell>
          <cell r="D78">
            <v>1942513.759914181</v>
          </cell>
          <cell r="E78">
            <v>3034057.4317066553</v>
          </cell>
          <cell r="F78">
            <v>4199188.3173278365</v>
          </cell>
          <cell r="G78">
            <v>5511493.6306064315</v>
          </cell>
          <cell r="H78">
            <v>7026635.4948231308</v>
          </cell>
          <cell r="I78">
            <v>14880655.432310041</v>
          </cell>
          <cell r="J78">
            <v>14880655.432310041</v>
          </cell>
          <cell r="K78">
            <v>14880655.432310041</v>
          </cell>
          <cell r="L78">
            <v>14880655.432310041</v>
          </cell>
          <cell r="M78">
            <v>2157445970.7712059</v>
          </cell>
          <cell r="N78">
            <v>0</v>
          </cell>
          <cell r="O78">
            <v>349652.47678455256</v>
          </cell>
          <cell r="P78">
            <v>633453.83145059599</v>
          </cell>
          <cell r="Q78">
            <v>994644.40599316219</v>
          </cell>
          <cell r="R78">
            <v>1467074.3187734564</v>
          </cell>
          <cell r="S78">
            <v>2057979.645817969</v>
          </cell>
          <cell r="T78">
            <v>5278127.8201876022</v>
          </cell>
          <cell r="U78">
            <v>5278127.8201876022</v>
          </cell>
          <cell r="V78">
            <v>5278127.8201876022</v>
          </cell>
          <cell r="W78">
            <v>5278127.8201876022</v>
          </cell>
          <cell r="X78">
            <v>0</v>
          </cell>
          <cell r="Y78">
            <v>0.18</v>
          </cell>
          <cell r="Z78">
            <v>0.26</v>
          </cell>
          <cell r="AA78">
            <v>0.31</v>
          </cell>
          <cell r="AB78">
            <v>0.36</v>
          </cell>
          <cell r="AC78">
            <v>0.39</v>
          </cell>
          <cell r="AD78">
            <v>0.41</v>
          </cell>
          <cell r="AE78">
            <v>0.45</v>
          </cell>
          <cell r="AF78">
            <v>0.45</v>
          </cell>
          <cell r="AG78">
            <v>0.45</v>
          </cell>
          <cell r="AH78">
            <v>0.45</v>
          </cell>
          <cell r="AI78">
            <v>141117.63390381902</v>
          </cell>
          <cell r="AJ78">
            <v>77351.482843790014</v>
          </cell>
          <cell r="AK78">
            <v>25812.130389146176</v>
          </cell>
        </row>
        <row r="79">
          <cell r="B79">
            <v>2068</v>
          </cell>
          <cell r="C79">
            <v>0</v>
          </cell>
          <cell r="D79">
            <v>2039639.4479098902</v>
          </cell>
          <cell r="E79">
            <v>3185760.3032919881</v>
          </cell>
          <cell r="F79">
            <v>4409147.7331942283</v>
          </cell>
          <cell r="G79">
            <v>5787068.3121367535</v>
          </cell>
          <cell r="H79">
            <v>7377967.2695642877</v>
          </cell>
          <cell r="I79">
            <v>15624688.203925544</v>
          </cell>
          <cell r="J79">
            <v>15624688.203925544</v>
          </cell>
          <cell r="K79">
            <v>15624688.203925544</v>
          </cell>
          <cell r="L79">
            <v>15624688.203925544</v>
          </cell>
          <cell r="M79">
            <v>2265318269.3097663</v>
          </cell>
          <cell r="N79">
            <v>0</v>
          </cell>
          <cell r="O79">
            <v>367135.10062378022</v>
          </cell>
          <cell r="P79">
            <v>665126.52302312572</v>
          </cell>
          <cell r="Q79">
            <v>1044376.6262928201</v>
          </cell>
          <cell r="R79">
            <v>1540428.0347121293</v>
          </cell>
          <cell r="S79">
            <v>2160878.6281088674</v>
          </cell>
          <cell r="T79">
            <v>5542034.2111969823</v>
          </cell>
          <cell r="U79">
            <v>5542034.2111969823</v>
          </cell>
          <cell r="V79">
            <v>5542034.2111969823</v>
          </cell>
          <cell r="W79">
            <v>5542034.2111969823</v>
          </cell>
          <cell r="X79">
            <v>0</v>
          </cell>
          <cell r="Y79">
            <v>0.18</v>
          </cell>
          <cell r="Z79">
            <v>0.26</v>
          </cell>
          <cell r="AA79">
            <v>0.31</v>
          </cell>
          <cell r="AB79">
            <v>0.36</v>
          </cell>
          <cell r="AC79">
            <v>0.39</v>
          </cell>
          <cell r="AD79">
            <v>0.41</v>
          </cell>
          <cell r="AE79">
            <v>0.45</v>
          </cell>
          <cell r="AF79">
            <v>0.45</v>
          </cell>
          <cell r="AG79">
            <v>0.45</v>
          </cell>
          <cell r="AH79">
            <v>0.45</v>
          </cell>
          <cell r="AI79">
            <v>148173.51559900999</v>
          </cell>
          <cell r="AJ79">
            <v>81219.056985979521</v>
          </cell>
          <cell r="AK79">
            <v>27102.736908603485</v>
          </cell>
        </row>
        <row r="80">
          <cell r="B80">
            <v>2069</v>
          </cell>
          <cell r="C80">
            <v>0</v>
          </cell>
          <cell r="D80">
            <v>2141621.4203053848</v>
          </cell>
          <cell r="E80">
            <v>3345048.3184565878</v>
          </cell>
          <cell r="F80">
            <v>4629605.1198539399</v>
          </cell>
          <cell r="G80">
            <v>6076421.7277435912</v>
          </cell>
          <cell r="H80">
            <v>7746865.6330425022</v>
          </cell>
          <cell r="I80">
            <v>16405922.614121823</v>
          </cell>
          <cell r="J80">
            <v>16405922.614121823</v>
          </cell>
          <cell r="K80">
            <v>16405922.614121823</v>
          </cell>
          <cell r="L80">
            <v>16405922.614121823</v>
          </cell>
          <cell r="M80">
            <v>2378584182.7752547</v>
          </cell>
          <cell r="N80">
            <v>0</v>
          </cell>
          <cell r="O80">
            <v>385491.85565496923</v>
          </cell>
          <cell r="P80">
            <v>698382.84917428205</v>
          </cell>
          <cell r="Q80">
            <v>1096595.4576074611</v>
          </cell>
          <cell r="R80">
            <v>1617449.4364477356</v>
          </cell>
          <cell r="S80">
            <v>2268922.5595143111</v>
          </cell>
          <cell r="T80">
            <v>5819135.9217568329</v>
          </cell>
          <cell r="U80">
            <v>5819135.9217568329</v>
          </cell>
          <cell r="V80">
            <v>5819135.9217568329</v>
          </cell>
          <cell r="W80">
            <v>5819135.9217568329</v>
          </cell>
          <cell r="X80">
            <v>0</v>
          </cell>
          <cell r="Y80">
            <v>0.18</v>
          </cell>
          <cell r="Z80">
            <v>0.26</v>
          </cell>
          <cell r="AA80">
            <v>0.31</v>
          </cell>
          <cell r="AB80">
            <v>0.36</v>
          </cell>
          <cell r="AC80">
            <v>0.39</v>
          </cell>
          <cell r="AD80">
            <v>0.41</v>
          </cell>
          <cell r="AE80">
            <v>0.45</v>
          </cell>
          <cell r="AF80">
            <v>0.45</v>
          </cell>
          <cell r="AG80">
            <v>0.45</v>
          </cell>
          <cell r="AH80">
            <v>0.45</v>
          </cell>
          <cell r="AI80">
            <v>155582.1913789605</v>
          </cell>
          <cell r="AJ80">
            <v>85280.009835278499</v>
          </cell>
          <cell r="AK80">
            <v>28457.873754033659</v>
          </cell>
        </row>
        <row r="81">
          <cell r="B81">
            <v>2070</v>
          </cell>
          <cell r="C81">
            <v>0</v>
          </cell>
          <cell r="D81">
            <v>2248702.4913206543</v>
          </cell>
          <cell r="E81">
            <v>3512300.7343794173</v>
          </cell>
          <cell r="F81">
            <v>4861085.3758466374</v>
          </cell>
          <cell r="G81">
            <v>6380242.814130771</v>
          </cell>
          <cell r="H81">
            <v>8134208.9146946277</v>
          </cell>
          <cell r="I81">
            <v>17226218.744827915</v>
          </cell>
          <cell r="J81">
            <v>17226218.744827915</v>
          </cell>
          <cell r="K81">
            <v>17226218.744827915</v>
          </cell>
          <cell r="L81">
            <v>17226218.744827915</v>
          </cell>
          <cell r="M81">
            <v>2497513391.9140177</v>
          </cell>
          <cell r="N81">
            <v>0</v>
          </cell>
          <cell r="O81">
            <v>404766.44843771774</v>
          </cell>
          <cell r="P81">
            <v>733301.99163299613</v>
          </cell>
          <cell r="Q81">
            <v>1151425.2304878344</v>
          </cell>
          <cell r="R81">
            <v>1698321.9082701225</v>
          </cell>
          <cell r="S81">
            <v>2382368.6874900265</v>
          </cell>
          <cell r="T81">
            <v>6110092.7178446744</v>
          </cell>
          <cell r="U81">
            <v>6110092.7178446744</v>
          </cell>
          <cell r="V81">
            <v>6110092.7178446744</v>
          </cell>
          <cell r="W81">
            <v>6110092.7178446744</v>
          </cell>
          <cell r="X81">
            <v>0</v>
          </cell>
          <cell r="Y81">
            <v>0.18</v>
          </cell>
          <cell r="Z81">
            <v>0.26</v>
          </cell>
          <cell r="AA81">
            <v>0.31</v>
          </cell>
          <cell r="AB81">
            <v>0.36</v>
          </cell>
          <cell r="AC81">
            <v>0.39</v>
          </cell>
          <cell r="AD81">
            <v>0.41</v>
          </cell>
          <cell r="AE81">
            <v>0.45</v>
          </cell>
          <cell r="AF81">
            <v>0.45</v>
          </cell>
          <cell r="AG81">
            <v>0.45</v>
          </cell>
          <cell r="AH81">
            <v>0.45</v>
          </cell>
          <cell r="AI81">
            <v>163361.30094790854</v>
          </cell>
          <cell r="AJ81">
            <v>89544.01032704243</v>
          </cell>
          <cell r="AK81">
            <v>29880.767441735345</v>
          </cell>
        </row>
        <row r="82">
          <cell r="B82">
            <v>2071</v>
          </cell>
          <cell r="C82">
            <v>0</v>
          </cell>
          <cell r="D82">
            <v>2361137.6158866873</v>
          </cell>
          <cell r="E82">
            <v>3687915.7710983884</v>
          </cell>
          <cell r="F82">
            <v>5104139.6446389696</v>
          </cell>
          <cell r="G82">
            <v>6699254.9548373101</v>
          </cell>
          <cell r="H82">
            <v>8540919.3604293596</v>
          </cell>
          <cell r="I82">
            <v>18087529.682069313</v>
          </cell>
          <cell r="J82">
            <v>18087529.682069313</v>
          </cell>
          <cell r="K82">
            <v>18087529.682069313</v>
          </cell>
          <cell r="L82">
            <v>18087529.682069313</v>
          </cell>
          <cell r="M82">
            <v>2622389061.5097189</v>
          </cell>
          <cell r="N82">
            <v>0</v>
          </cell>
          <cell r="O82">
            <v>425004.77085960371</v>
          </cell>
          <cell r="P82">
            <v>769967.091214646</v>
          </cell>
          <cell r="Q82">
            <v>1208996.4920122263</v>
          </cell>
          <cell r="R82">
            <v>1783238.003683629</v>
          </cell>
          <cell r="S82">
            <v>2501487.1218645284</v>
          </cell>
          <cell r="T82">
            <v>6415597.3537369091</v>
          </cell>
          <cell r="U82">
            <v>6415597.3537369091</v>
          </cell>
          <cell r="V82">
            <v>6415597.3537369091</v>
          </cell>
          <cell r="W82">
            <v>6415597.3537369091</v>
          </cell>
          <cell r="X82">
            <v>0</v>
          </cell>
          <cell r="Y82">
            <v>0.18</v>
          </cell>
          <cell r="Z82">
            <v>0.26</v>
          </cell>
          <cell r="AA82">
            <v>0.31</v>
          </cell>
          <cell r="AB82">
            <v>0.36</v>
          </cell>
          <cell r="AC82">
            <v>0.39</v>
          </cell>
          <cell r="AD82">
            <v>0.41</v>
          </cell>
          <cell r="AE82">
            <v>0.45</v>
          </cell>
          <cell r="AF82">
            <v>0.45</v>
          </cell>
          <cell r="AG82">
            <v>0.45</v>
          </cell>
          <cell r="AH82">
            <v>0.45</v>
          </cell>
          <cell r="AI82">
            <v>171529.36599530399</v>
          </cell>
          <cell r="AJ82">
            <v>94021.210843394554</v>
          </cell>
          <cell r="AK82">
            <v>31374.805813822113</v>
          </cell>
        </row>
        <row r="83">
          <cell r="B83">
            <v>2072</v>
          </cell>
          <cell r="C83">
            <v>0</v>
          </cell>
          <cell r="D83">
            <v>2479194.496681022</v>
          </cell>
          <cell r="E83">
            <v>3872311.5596533078</v>
          </cell>
          <cell r="F83">
            <v>5359346.6268709181</v>
          </cell>
          <cell r="G83">
            <v>7034217.7025791761</v>
          </cell>
          <cell r="H83">
            <v>8967965.3284508288</v>
          </cell>
          <cell r="I83">
            <v>18991906.16617278</v>
          </cell>
          <cell r="J83">
            <v>18991906.16617278</v>
          </cell>
          <cell r="K83">
            <v>18991906.16617278</v>
          </cell>
          <cell r="L83">
            <v>18991906.16617278</v>
          </cell>
          <cell r="M83">
            <v>2753508514.5852051</v>
          </cell>
          <cell r="N83">
            <v>0</v>
          </cell>
          <cell r="O83">
            <v>446255.00940258394</v>
          </cell>
          <cell r="P83">
            <v>808465.44577537826</v>
          </cell>
          <cell r="Q83">
            <v>1269446.3166128374</v>
          </cell>
          <cell r="R83">
            <v>1872399.9038678103</v>
          </cell>
          <cell r="S83">
            <v>2626561.4779577549</v>
          </cell>
          <cell r="T83">
            <v>6736377.2214237545</v>
          </cell>
          <cell r="U83">
            <v>6736377.2214237545</v>
          </cell>
          <cell r="V83">
            <v>6736377.2214237545</v>
          </cell>
          <cell r="W83">
            <v>6736377.2214237545</v>
          </cell>
          <cell r="X83">
            <v>0</v>
          </cell>
          <cell r="Y83">
            <v>0.18</v>
          </cell>
          <cell r="Z83">
            <v>0.26</v>
          </cell>
          <cell r="AA83">
            <v>0.31</v>
          </cell>
          <cell r="AB83">
            <v>0.36</v>
          </cell>
          <cell r="AC83">
            <v>0.39</v>
          </cell>
          <cell r="AD83">
            <v>0.41</v>
          </cell>
          <cell r="AE83">
            <v>0.45</v>
          </cell>
          <cell r="AF83">
            <v>0.45</v>
          </cell>
          <cell r="AG83">
            <v>0.45</v>
          </cell>
          <cell r="AH83">
            <v>0.45</v>
          </cell>
          <cell r="AI83">
            <v>180105.83429506919</v>
          </cell>
          <cell r="AJ83">
            <v>98722.27138556428</v>
          </cell>
          <cell r="AK83">
            <v>32943.546104513218</v>
          </cell>
        </row>
        <row r="84">
          <cell r="B84">
            <v>2073</v>
          </cell>
          <cell r="C84">
            <v>0</v>
          </cell>
          <cell r="D84">
            <v>2603154.221515073</v>
          </cell>
          <cell r="E84">
            <v>4065927.1376359733</v>
          </cell>
          <cell r="F84">
            <v>5627313.9582144646</v>
          </cell>
          <cell r="G84">
            <v>7385928.5877081351</v>
          </cell>
          <cell r="H84">
            <v>9416363.5948733706</v>
          </cell>
          <cell r="I84">
            <v>19941501.474481419</v>
          </cell>
          <cell r="J84">
            <v>19941501.474481419</v>
          </cell>
          <cell r="K84">
            <v>19941501.474481419</v>
          </cell>
          <cell r="L84">
            <v>19941501.474481419</v>
          </cell>
          <cell r="M84">
            <v>2891183940.3144655</v>
          </cell>
          <cell r="N84">
            <v>0</v>
          </cell>
          <cell r="O84">
            <v>468567.75987271313</v>
          </cell>
          <cell r="P84">
            <v>848888.71806414728</v>
          </cell>
          <cell r="Q84">
            <v>1332918.6324434797</v>
          </cell>
          <cell r="R84">
            <v>1966019.8990612011</v>
          </cell>
          <cell r="S84">
            <v>2757889.5518556433</v>
          </cell>
          <cell r="T84">
            <v>7073196.0824949425</v>
          </cell>
          <cell r="U84">
            <v>7073196.0824949425</v>
          </cell>
          <cell r="V84">
            <v>7073196.0824949425</v>
          </cell>
          <cell r="W84">
            <v>7073196.0824949425</v>
          </cell>
          <cell r="X84">
            <v>0</v>
          </cell>
          <cell r="Y84">
            <v>0.18</v>
          </cell>
          <cell r="Z84">
            <v>0.26</v>
          </cell>
          <cell r="AA84">
            <v>0.31</v>
          </cell>
          <cell r="AB84">
            <v>0.36</v>
          </cell>
          <cell r="AC84">
            <v>0.39</v>
          </cell>
          <cell r="AD84">
            <v>0.41</v>
          </cell>
          <cell r="AE84">
            <v>0.45</v>
          </cell>
          <cell r="AF84">
            <v>0.45</v>
          </cell>
          <cell r="AG84">
            <v>0.45</v>
          </cell>
          <cell r="AH84">
            <v>0.45</v>
          </cell>
          <cell r="AI84">
            <v>189111.12600982265</v>
          </cell>
          <cell r="AJ84">
            <v>103658.38495484249</v>
          </cell>
          <cell r="AK84">
            <v>34590.723409738879</v>
          </cell>
        </row>
        <row r="85">
          <cell r="B85">
            <v>2074</v>
          </cell>
          <cell r="C85">
            <v>0</v>
          </cell>
          <cell r="D85">
            <v>2733311.9325908269</v>
          </cell>
          <cell r="E85">
            <v>4269223.4945177725</v>
          </cell>
          <cell r="F85">
            <v>5908679.6561251879</v>
          </cell>
          <cell r="G85">
            <v>7755225.017093542</v>
          </cell>
          <cell r="H85">
            <v>9887181.7746170387</v>
          </cell>
          <cell r="I85">
            <v>20938576.548205491</v>
          </cell>
          <cell r="J85">
            <v>20938576.548205491</v>
          </cell>
          <cell r="K85">
            <v>20938576.548205491</v>
          </cell>
          <cell r="L85">
            <v>20938576.548205491</v>
          </cell>
          <cell r="M85">
            <v>3035743137.3301888</v>
          </cell>
          <cell r="N85">
            <v>0</v>
          </cell>
          <cell r="O85">
            <v>491996.14786634879</v>
          </cell>
          <cell r="P85">
            <v>891333.15396735468</v>
          </cell>
          <cell r="Q85">
            <v>1399564.5640656534</v>
          </cell>
          <cell r="R85">
            <v>2064320.8940142607</v>
          </cell>
          <cell r="S85">
            <v>2895784.0294484245</v>
          </cell>
          <cell r="T85">
            <v>7426855.8866196899</v>
          </cell>
          <cell r="U85">
            <v>7426855.8866196899</v>
          </cell>
          <cell r="V85">
            <v>7426855.8866196899</v>
          </cell>
          <cell r="W85">
            <v>7426855.8866196899</v>
          </cell>
          <cell r="X85">
            <v>0</v>
          </cell>
          <cell r="Y85">
            <v>0.18</v>
          </cell>
          <cell r="Z85">
            <v>0.26</v>
          </cell>
          <cell r="AA85">
            <v>0.31</v>
          </cell>
          <cell r="AB85">
            <v>0.36</v>
          </cell>
          <cell r="AC85">
            <v>0.39</v>
          </cell>
          <cell r="AD85">
            <v>0.41</v>
          </cell>
          <cell r="AE85">
            <v>0.45</v>
          </cell>
          <cell r="AF85">
            <v>0.45</v>
          </cell>
          <cell r="AG85">
            <v>0.45</v>
          </cell>
          <cell r="AH85">
            <v>0.45</v>
          </cell>
          <cell r="AI85">
            <v>198566.6823103138</v>
          </cell>
          <cell r="AJ85">
            <v>108841.30420258462</v>
          </cell>
          <cell r="AK85">
            <v>36320.259580225822</v>
          </cell>
        </row>
        <row r="86">
          <cell r="B86">
            <v>2075</v>
          </cell>
          <cell r="C86">
            <v>0</v>
          </cell>
          <cell r="D86">
            <v>2869977.5292203682</v>
          </cell>
          <cell r="E86">
            <v>4482684.6692436617</v>
          </cell>
          <cell r="F86">
            <v>6204113.6389314476</v>
          </cell>
          <cell r="G86">
            <v>8142986.2679482196</v>
          </cell>
          <cell r="H86">
            <v>10381540.863347892</v>
          </cell>
          <cell r="I86">
            <v>21985505.375615768</v>
          </cell>
          <cell r="J86">
            <v>21985505.375615768</v>
          </cell>
          <cell r="K86">
            <v>21985505.375615768</v>
          </cell>
          <cell r="L86">
            <v>21985505.375615768</v>
          </cell>
          <cell r="M86">
            <v>3187530294.1966982</v>
          </cell>
          <cell r="N86">
            <v>0</v>
          </cell>
          <cell r="O86">
            <v>516595.95525966625</v>
          </cell>
          <cell r="P86">
            <v>935899.81166572263</v>
          </cell>
          <cell r="Q86">
            <v>1469542.7922689363</v>
          </cell>
          <cell r="R86">
            <v>2167536.9387149741</v>
          </cell>
          <cell r="S86">
            <v>3040573.2309208461</v>
          </cell>
          <cell r="T86">
            <v>7798198.6809506752</v>
          </cell>
          <cell r="U86">
            <v>7798198.6809506752</v>
          </cell>
          <cell r="V86">
            <v>7798198.6809506752</v>
          </cell>
          <cell r="W86">
            <v>7798198.6809506752</v>
          </cell>
          <cell r="X86">
            <v>0</v>
          </cell>
          <cell r="Y86">
            <v>0.18</v>
          </cell>
          <cell r="Z86">
            <v>0.26</v>
          </cell>
          <cell r="AA86">
            <v>0.31</v>
          </cell>
          <cell r="AB86">
            <v>0.36</v>
          </cell>
          <cell r="AC86">
            <v>0.39</v>
          </cell>
          <cell r="AD86">
            <v>0.41</v>
          </cell>
          <cell r="AE86">
            <v>0.45</v>
          </cell>
          <cell r="AF86">
            <v>0.45</v>
          </cell>
          <cell r="AG86">
            <v>0.45</v>
          </cell>
          <cell r="AH86">
            <v>0.45</v>
          </cell>
          <cell r="AI86">
            <v>208495.0164258295</v>
          </cell>
          <cell r="AJ86">
            <v>114283.36941271386</v>
          </cell>
          <cell r="AK86">
            <v>38136.272559237113</v>
          </cell>
        </row>
        <row r="87">
          <cell r="B87">
            <v>2076</v>
          </cell>
          <cell r="C87">
            <v>0</v>
          </cell>
          <cell r="D87">
            <v>3013476.4056813866</v>
          </cell>
          <cell r="E87">
            <v>4706818.9027058454</v>
          </cell>
          <cell r="F87">
            <v>6514319.3208780205</v>
          </cell>
          <cell r="G87">
            <v>8550135.5813456308</v>
          </cell>
          <cell r="H87">
            <v>10900617.906515287</v>
          </cell>
          <cell r="I87">
            <v>23084780.644396558</v>
          </cell>
          <cell r="J87">
            <v>23084780.644396558</v>
          </cell>
          <cell r="K87">
            <v>23084780.644396558</v>
          </cell>
          <cell r="L87">
            <v>23084780.644396558</v>
          </cell>
          <cell r="M87">
            <v>3346906808.9065332</v>
          </cell>
          <cell r="N87">
            <v>0</v>
          </cell>
          <cell r="O87">
            <v>542425.75302264956</v>
          </cell>
          <cell r="P87">
            <v>982694.80224900879</v>
          </cell>
          <cell r="Q87">
            <v>1543019.9318823831</v>
          </cell>
          <cell r="R87">
            <v>2275913.7856507227</v>
          </cell>
          <cell r="S87">
            <v>3192601.8924668888</v>
          </cell>
          <cell r="T87">
            <v>8188108.6149982093</v>
          </cell>
          <cell r="U87">
            <v>8188108.6149982093</v>
          </cell>
          <cell r="V87">
            <v>8188108.6149982093</v>
          </cell>
          <cell r="W87">
            <v>8188108.6149982093</v>
          </cell>
          <cell r="X87">
            <v>0</v>
          </cell>
          <cell r="Y87">
            <v>0.18</v>
          </cell>
          <cell r="Z87">
            <v>0.26</v>
          </cell>
          <cell r="AA87">
            <v>0.31</v>
          </cell>
          <cell r="AB87">
            <v>0.36</v>
          </cell>
          <cell r="AC87">
            <v>0.39</v>
          </cell>
          <cell r="AD87">
            <v>0.41</v>
          </cell>
          <cell r="AE87">
            <v>0.45</v>
          </cell>
          <cell r="AF87">
            <v>0.45</v>
          </cell>
          <cell r="AG87">
            <v>0.45</v>
          </cell>
          <cell r="AH87">
            <v>0.45</v>
          </cell>
          <cell r="AI87">
            <v>218919.767247121</v>
          </cell>
          <cell r="AJ87">
            <v>119997.53788334956</v>
          </cell>
          <cell r="AK87">
            <v>40043.086187198969</v>
          </cell>
        </row>
        <row r="88">
          <cell r="B88">
            <v>2077</v>
          </cell>
          <cell r="C88">
            <v>0</v>
          </cell>
          <cell r="D88">
            <v>3164150.2259654561</v>
          </cell>
          <cell r="E88">
            <v>4942159.847841138</v>
          </cell>
          <cell r="F88">
            <v>6840035.2869219221</v>
          </cell>
          <cell r="G88">
            <v>8977642.3604129124</v>
          </cell>
          <cell r="H88">
            <v>11445648.801841052</v>
          </cell>
          <cell r="I88">
            <v>24239019.676616386</v>
          </cell>
          <cell r="J88">
            <v>24239019.676616386</v>
          </cell>
          <cell r="K88">
            <v>24239019.676616386</v>
          </cell>
          <cell r="L88">
            <v>24239019.676616386</v>
          </cell>
          <cell r="M88">
            <v>3514252149.35186</v>
          </cell>
          <cell r="N88">
            <v>0</v>
          </cell>
          <cell r="O88">
            <v>569547.04067378212</v>
          </cell>
          <cell r="P88">
            <v>1031829.5423614595</v>
          </cell>
          <cell r="Q88">
            <v>1620170.9284765027</v>
          </cell>
          <cell r="R88">
            <v>2389709.4749332592</v>
          </cell>
          <cell r="S88">
            <v>3352231.9870902337</v>
          </cell>
          <cell r="T88">
            <v>8597514.0457481202</v>
          </cell>
          <cell r="U88">
            <v>8597514.0457481202</v>
          </cell>
          <cell r="V88">
            <v>8597514.0457481202</v>
          </cell>
          <cell r="W88">
            <v>8597514.0457481202</v>
          </cell>
          <cell r="X88">
            <v>0</v>
          </cell>
          <cell r="Y88">
            <v>0.18</v>
          </cell>
          <cell r="Z88">
            <v>0.26</v>
          </cell>
          <cell r="AA88">
            <v>0.31</v>
          </cell>
          <cell r="AB88">
            <v>0.36</v>
          </cell>
          <cell r="AC88">
            <v>0.39</v>
          </cell>
          <cell r="AD88">
            <v>0.41</v>
          </cell>
          <cell r="AE88">
            <v>0.45</v>
          </cell>
          <cell r="AF88">
            <v>0.45</v>
          </cell>
          <cell r="AG88">
            <v>0.45</v>
          </cell>
          <cell r="AH88">
            <v>0.45</v>
          </cell>
          <cell r="AI88">
            <v>229865.75560947706</v>
          </cell>
          <cell r="AJ88">
            <v>125997.41477751704</v>
          </cell>
          <cell r="AK88">
            <v>42045.240496558916</v>
          </cell>
        </row>
        <row r="89">
          <cell r="B89">
            <v>2078</v>
          </cell>
          <cell r="C89">
            <v>0</v>
          </cell>
          <cell r="D89">
            <v>3322357.7372637289</v>
          </cell>
          <cell r="E89">
            <v>5189267.8402331956</v>
          </cell>
          <cell r="F89">
            <v>7182037.0512680188</v>
          </cell>
          <cell r="G89">
            <v>9426524.4784335587</v>
          </cell>
          <cell r="H89">
            <v>12017931.241933106</v>
          </cell>
          <cell r="I89">
            <v>25450970.660447206</v>
          </cell>
          <cell r="J89">
            <v>25450970.660447206</v>
          </cell>
          <cell r="K89">
            <v>25450970.660447206</v>
          </cell>
          <cell r="L89">
            <v>25450970.660447206</v>
          </cell>
          <cell r="M89">
            <v>3689964756.8194532</v>
          </cell>
          <cell r="N89">
            <v>0</v>
          </cell>
          <cell r="O89">
            <v>598024.39270747115</v>
          </cell>
          <cell r="P89">
            <v>1083421.0194795325</v>
          </cell>
          <cell r="Q89">
            <v>1701179.4749003276</v>
          </cell>
          <cell r="R89">
            <v>2509194.9486799221</v>
          </cell>
          <cell r="S89">
            <v>3519843.5864447453</v>
          </cell>
          <cell r="T89">
            <v>9027389.7480355259</v>
          </cell>
          <cell r="U89">
            <v>9027389.7480355259</v>
          </cell>
          <cell r="V89">
            <v>9027389.7480355259</v>
          </cell>
          <cell r="W89">
            <v>9027389.7480355259</v>
          </cell>
          <cell r="X89">
            <v>0</v>
          </cell>
          <cell r="Y89">
            <v>0.18</v>
          </cell>
          <cell r="Z89">
            <v>0.26</v>
          </cell>
          <cell r="AA89">
            <v>0.31</v>
          </cell>
          <cell r="AB89">
            <v>0.36</v>
          </cell>
          <cell r="AC89">
            <v>0.39</v>
          </cell>
          <cell r="AD89">
            <v>0.41</v>
          </cell>
          <cell r="AE89">
            <v>0.45</v>
          </cell>
          <cell r="AF89">
            <v>0.45</v>
          </cell>
          <cell r="AG89">
            <v>0.45</v>
          </cell>
          <cell r="AH89">
            <v>0.45</v>
          </cell>
          <cell r="AI89">
            <v>241359.04338995091</v>
          </cell>
          <cell r="AJ89">
            <v>132297.28551639291</v>
          </cell>
          <cell r="AK89">
            <v>44147.502521386865</v>
          </cell>
        </row>
        <row r="90">
          <cell r="B90">
            <v>2079</v>
          </cell>
          <cell r="C90">
            <v>0</v>
          </cell>
          <cell r="D90">
            <v>3488475.6241269154</v>
          </cell>
          <cell r="E90">
            <v>5448731.2322448557</v>
          </cell>
          <cell r="F90">
            <v>7541138.9038314205</v>
          </cell>
          <cell r="G90">
            <v>9897850.7023552377</v>
          </cell>
          <cell r="H90">
            <v>12618827.804029761</v>
          </cell>
          <cell r="I90">
            <v>26723519.193469569</v>
          </cell>
          <cell r="J90">
            <v>26723519.193469569</v>
          </cell>
          <cell r="K90">
            <v>26723519.193469569</v>
          </cell>
          <cell r="L90">
            <v>26723519.193469569</v>
          </cell>
          <cell r="M90">
            <v>3874462994.6604261</v>
          </cell>
          <cell r="N90">
            <v>0</v>
          </cell>
          <cell r="O90">
            <v>627925.61234284472</v>
          </cell>
          <cell r="P90">
            <v>1137592.0704535092</v>
          </cell>
          <cell r="Q90">
            <v>1786238.4486453442</v>
          </cell>
          <cell r="R90">
            <v>2634654.6961139184</v>
          </cell>
          <cell r="S90">
            <v>3695835.7657669825</v>
          </cell>
          <cell r="T90">
            <v>9478759.2354373038</v>
          </cell>
          <cell r="U90">
            <v>9478759.2354373038</v>
          </cell>
          <cell r="V90">
            <v>9478759.2354373038</v>
          </cell>
          <cell r="W90">
            <v>9478759.2354373038</v>
          </cell>
          <cell r="X90">
            <v>0</v>
          </cell>
          <cell r="Y90">
            <v>0.18</v>
          </cell>
          <cell r="Z90">
            <v>0.26</v>
          </cell>
          <cell r="AA90">
            <v>0.31</v>
          </cell>
          <cell r="AB90">
            <v>0.36</v>
          </cell>
          <cell r="AC90">
            <v>0.39</v>
          </cell>
          <cell r="AD90">
            <v>0.41</v>
          </cell>
          <cell r="AE90">
            <v>0.45</v>
          </cell>
          <cell r="AF90">
            <v>0.45</v>
          </cell>
          <cell r="AG90">
            <v>0.45</v>
          </cell>
          <cell r="AH90">
            <v>0.45</v>
          </cell>
          <cell r="AI90">
            <v>253426.99555944846</v>
          </cell>
          <cell r="AJ90">
            <v>138912.14979221256</v>
          </cell>
          <cell r="AK90">
            <v>46354.877647456211</v>
          </cell>
        </row>
        <row r="91">
          <cell r="B91">
            <v>2080</v>
          </cell>
          <cell r="C91">
            <v>0</v>
          </cell>
          <cell r="D91">
            <v>3662899.4053332615</v>
          </cell>
          <cell r="E91">
            <v>5721167.7938570986</v>
          </cell>
          <cell r="F91">
            <v>7918195.849022992</v>
          </cell>
          <cell r="G91">
            <v>10392743.237473</v>
          </cell>
          <cell r="H91">
            <v>13249769.194231249</v>
          </cell>
          <cell r="I91">
            <v>28059695.153143048</v>
          </cell>
          <cell r="J91">
            <v>28059695.153143048</v>
          </cell>
          <cell r="K91">
            <v>28059695.153143048</v>
          </cell>
          <cell r="L91">
            <v>28059695.153143048</v>
          </cell>
          <cell r="M91">
            <v>4068186144.3934474</v>
          </cell>
          <cell r="N91">
            <v>0</v>
          </cell>
          <cell r="O91">
            <v>659321.89295998705</v>
          </cell>
          <cell r="P91">
            <v>1194471.6739761848</v>
          </cell>
          <cell r="Q91">
            <v>1875550.3710776116</v>
          </cell>
          <cell r="R91">
            <v>2766387.4309196146</v>
          </cell>
          <cell r="S91">
            <v>3880627.5540553322</v>
          </cell>
          <cell r="T91">
            <v>9952697.1972091682</v>
          </cell>
          <cell r="U91">
            <v>9952697.1972091682</v>
          </cell>
          <cell r="V91">
            <v>9952697.1972091682</v>
          </cell>
          <cell r="W91">
            <v>9952697.1972091682</v>
          </cell>
          <cell r="X91">
            <v>0</v>
          </cell>
          <cell r="Y91">
            <v>0.18</v>
          </cell>
          <cell r="Z91">
            <v>0.26</v>
          </cell>
          <cell r="AA91">
            <v>0.31</v>
          </cell>
          <cell r="AB91">
            <v>0.36</v>
          </cell>
          <cell r="AC91">
            <v>0.39</v>
          </cell>
          <cell r="AD91">
            <v>0.41</v>
          </cell>
          <cell r="AE91">
            <v>0.45</v>
          </cell>
          <cell r="AF91">
            <v>0.45</v>
          </cell>
          <cell r="AG91">
            <v>0.45</v>
          </cell>
          <cell r="AH91">
            <v>0.45</v>
          </cell>
          <cell r="AI91">
            <v>266098.34533742088</v>
          </cell>
          <cell r="AJ91">
            <v>145857.7572818232</v>
          </cell>
          <cell r="AK91">
            <v>48672.621529829026</v>
          </cell>
        </row>
        <row r="92">
          <cell r="B92">
            <v>2081</v>
          </cell>
          <cell r="C92">
            <v>0</v>
          </cell>
          <cell r="D92">
            <v>3846044.3755999245</v>
          </cell>
          <cell r="E92">
            <v>6007226.1835499536</v>
          </cell>
          <cell r="F92">
            <v>8314105.6414741417</v>
          </cell>
          <cell r="G92">
            <v>10912380.39934665</v>
          </cell>
          <cell r="H92">
            <v>13912257.653942812</v>
          </cell>
          <cell r="I92">
            <v>29462679.910800204</v>
          </cell>
          <cell r="J92">
            <v>29462679.910800204</v>
          </cell>
          <cell r="K92">
            <v>29462679.910800204</v>
          </cell>
          <cell r="L92">
            <v>29462679.910800204</v>
          </cell>
          <cell r="M92">
            <v>4271595451.6131201</v>
          </cell>
          <cell r="N92">
            <v>0</v>
          </cell>
          <cell r="O92">
            <v>692287.98760798643</v>
          </cell>
          <cell r="P92">
            <v>1254195.2576749939</v>
          </cell>
          <cell r="Q92">
            <v>1969327.8896314921</v>
          </cell>
          <cell r="R92">
            <v>2904706.8024655948</v>
          </cell>
          <cell r="S92">
            <v>4074658.9317580983</v>
          </cell>
          <cell r="T92">
            <v>10450332.057069629</v>
          </cell>
          <cell r="U92">
            <v>10450332.057069629</v>
          </cell>
          <cell r="V92">
            <v>10450332.057069629</v>
          </cell>
          <cell r="W92">
            <v>10450332.057069629</v>
          </cell>
          <cell r="X92">
            <v>0</v>
          </cell>
          <cell r="Y92">
            <v>0.18</v>
          </cell>
          <cell r="Z92">
            <v>0.26</v>
          </cell>
          <cell r="AA92">
            <v>0.31</v>
          </cell>
          <cell r="AB92">
            <v>0.36</v>
          </cell>
          <cell r="AC92">
            <v>0.39</v>
          </cell>
          <cell r="AD92">
            <v>0.41</v>
          </cell>
          <cell r="AE92">
            <v>0.45</v>
          </cell>
          <cell r="AF92">
            <v>0.45</v>
          </cell>
          <cell r="AG92">
            <v>0.45</v>
          </cell>
          <cell r="AH92">
            <v>0.45</v>
          </cell>
          <cell r="AI92">
            <v>279403.26260429196</v>
          </cell>
          <cell r="AJ92">
            <v>153150.64514591437</v>
          </cell>
          <cell r="AK92">
            <v>51106.252606320479</v>
          </cell>
        </row>
        <row r="93">
          <cell r="B93">
            <v>2082</v>
          </cell>
          <cell r="C93">
            <v>0</v>
          </cell>
          <cell r="D93">
            <v>4038346.594379921</v>
          </cell>
          <cell r="E93">
            <v>6307587.492727452</v>
          </cell>
          <cell r="F93">
            <v>8729810.9235478491</v>
          </cell>
          <cell r="G93">
            <v>11457999.419313982</v>
          </cell>
          <cell r="H93">
            <v>14607870.536639953</v>
          </cell>
          <cell r="I93">
            <v>30935813.906340215</v>
          </cell>
          <cell r="J93">
            <v>30935813.906340215</v>
          </cell>
          <cell r="K93">
            <v>30935813.906340215</v>
          </cell>
          <cell r="L93">
            <v>30935813.906340215</v>
          </cell>
          <cell r="M93">
            <v>4485175224.1937761</v>
          </cell>
          <cell r="N93">
            <v>0</v>
          </cell>
          <cell r="O93">
            <v>726902.3869883857</v>
          </cell>
          <cell r="P93">
            <v>1316905.0205587437</v>
          </cell>
          <cell r="Q93">
            <v>2067794.2841130667</v>
          </cell>
          <cell r="R93">
            <v>3049942.1425888743</v>
          </cell>
          <cell r="S93">
            <v>4278391.8783460036</v>
          </cell>
          <cell r="T93">
            <v>10972848.65992311</v>
          </cell>
          <cell r="U93">
            <v>10972848.65992311</v>
          </cell>
          <cell r="V93">
            <v>10972848.65992311</v>
          </cell>
          <cell r="W93">
            <v>10972848.65992311</v>
          </cell>
          <cell r="X93">
            <v>0</v>
          </cell>
          <cell r="Y93">
            <v>0.18</v>
          </cell>
          <cell r="Z93">
            <v>0.26</v>
          </cell>
          <cell r="AA93">
            <v>0.31</v>
          </cell>
          <cell r="AB93">
            <v>0.36</v>
          </cell>
          <cell r="AC93">
            <v>0.39</v>
          </cell>
          <cell r="AD93">
            <v>0.41</v>
          </cell>
          <cell r="AE93">
            <v>0.45</v>
          </cell>
          <cell r="AF93">
            <v>0.45</v>
          </cell>
          <cell r="AG93">
            <v>0.45</v>
          </cell>
          <cell r="AH93">
            <v>0.45</v>
          </cell>
          <cell r="AI93">
            <v>293373.42573450657</v>
          </cell>
          <cell r="AJ93">
            <v>160808.17740321011</v>
          </cell>
          <cell r="AK93">
            <v>53661.565236636503</v>
          </cell>
        </row>
        <row r="94">
          <cell r="B94">
            <v>2083</v>
          </cell>
          <cell r="C94">
            <v>0</v>
          </cell>
          <cell r="D94">
            <v>4240263.9240989173</v>
          </cell>
          <cell r="E94">
            <v>6622966.8673638245</v>
          </cell>
          <cell r="F94">
            <v>9166301.4697252419</v>
          </cell>
          <cell r="G94">
            <v>12030899.390279682</v>
          </cell>
          <cell r="H94">
            <v>15338264.063471951</v>
          </cell>
          <cell r="I94">
            <v>32482604.601657227</v>
          </cell>
          <cell r="J94">
            <v>32482604.601657227</v>
          </cell>
          <cell r="K94">
            <v>32482604.601657227</v>
          </cell>
          <cell r="L94">
            <v>32482604.601657227</v>
          </cell>
          <cell r="M94">
            <v>4709433985.4034653</v>
          </cell>
          <cell r="N94">
            <v>0</v>
          </cell>
          <cell r="O94">
            <v>763247.50633780507</v>
          </cell>
          <cell r="P94">
            <v>1382750.271586681</v>
          </cell>
          <cell r="Q94">
            <v>2171183.9983187206</v>
          </cell>
          <cell r="R94">
            <v>3202439.2497183192</v>
          </cell>
          <cell r="S94">
            <v>4492311.4722633036</v>
          </cell>
          <cell r="T94">
            <v>11521491.092919268</v>
          </cell>
          <cell r="U94">
            <v>11521491.092919268</v>
          </cell>
          <cell r="V94">
            <v>11521491.092919268</v>
          </cell>
          <cell r="W94">
            <v>11521491.092919268</v>
          </cell>
          <cell r="X94">
            <v>0</v>
          </cell>
          <cell r="Y94">
            <v>0.18</v>
          </cell>
          <cell r="Z94">
            <v>0.26</v>
          </cell>
          <cell r="AA94">
            <v>0.31</v>
          </cell>
          <cell r="AB94">
            <v>0.36</v>
          </cell>
          <cell r="AC94">
            <v>0.39</v>
          </cell>
          <cell r="AD94">
            <v>0.41</v>
          </cell>
          <cell r="AE94">
            <v>0.45</v>
          </cell>
          <cell r="AF94">
            <v>0.45</v>
          </cell>
          <cell r="AG94">
            <v>0.45</v>
          </cell>
          <cell r="AH94">
            <v>0.45</v>
          </cell>
          <cell r="AI94">
            <v>308042.09702123189</v>
          </cell>
          <cell r="AJ94">
            <v>168848.58627337063</v>
          </cell>
          <cell r="AK94">
            <v>56344.643498468329</v>
          </cell>
        </row>
        <row r="95">
          <cell r="B95">
            <v>2084</v>
          </cell>
          <cell r="C95">
            <v>0</v>
          </cell>
          <cell r="D95">
            <v>4452277.1203038637</v>
          </cell>
          <cell r="E95">
            <v>6954115.2107320158</v>
          </cell>
          <cell r="F95">
            <v>9624616.5432115048</v>
          </cell>
          <cell r="G95">
            <v>12632444.359793667</v>
          </cell>
          <cell r="H95">
            <v>16105177.266645549</v>
          </cell>
          <cell r="I95">
            <v>34106734.831740089</v>
          </cell>
          <cell r="J95">
            <v>34106734.831740089</v>
          </cell>
          <cell r="K95">
            <v>34106734.831740089</v>
          </cell>
          <cell r="L95">
            <v>34106734.831740089</v>
          </cell>
          <cell r="M95">
            <v>4944905684.6736383</v>
          </cell>
          <cell r="N95">
            <v>0</v>
          </cell>
          <cell r="O95">
            <v>801409.88165469537</v>
          </cell>
          <cell r="P95">
            <v>1451887.7851660149</v>
          </cell>
          <cell r="Q95">
            <v>2279743.1982346564</v>
          </cell>
          <cell r="R95">
            <v>3362561.2122042347</v>
          </cell>
          <cell r="S95">
            <v>4716927.0458764685</v>
          </cell>
          <cell r="T95">
            <v>12097565.647565229</v>
          </cell>
          <cell r="U95">
            <v>12097565.647565229</v>
          </cell>
          <cell r="V95">
            <v>12097565.647565229</v>
          </cell>
          <cell r="W95">
            <v>12097565.647565229</v>
          </cell>
          <cell r="X95">
            <v>0</v>
          </cell>
          <cell r="Y95">
            <v>0.18</v>
          </cell>
          <cell r="Z95">
            <v>0.26</v>
          </cell>
          <cell r="AA95">
            <v>0.31</v>
          </cell>
          <cell r="AB95">
            <v>0.36</v>
          </cell>
          <cell r="AC95">
            <v>0.39</v>
          </cell>
          <cell r="AD95">
            <v>0.41</v>
          </cell>
          <cell r="AE95">
            <v>0.45</v>
          </cell>
          <cell r="AF95">
            <v>0.45</v>
          </cell>
          <cell r="AG95">
            <v>0.45</v>
          </cell>
          <cell r="AH95">
            <v>0.45</v>
          </cell>
          <cell r="AI95">
            <v>323444.20187229349</v>
          </cell>
          <cell r="AJ95">
            <v>177291.01558703918</v>
          </cell>
          <cell r="AK95">
            <v>59161.875673391747</v>
          </cell>
        </row>
        <row r="96">
          <cell r="B96">
            <v>2085</v>
          </cell>
          <cell r="C96">
            <v>0</v>
          </cell>
          <cell r="D96">
            <v>4674890.9763190569</v>
          </cell>
          <cell r="E96">
            <v>7301820.9712686166</v>
          </cell>
          <cell r="F96">
            <v>10105847.370372081</v>
          </cell>
          <cell r="G96">
            <v>13264066.57778335</v>
          </cell>
          <cell r="H96">
            <v>16910436.129977826</v>
          </cell>
          <cell r="I96">
            <v>35812071.573327094</v>
          </cell>
          <cell r="J96">
            <v>35812071.573327094</v>
          </cell>
          <cell r="K96">
            <v>35812071.573327094</v>
          </cell>
          <cell r="L96">
            <v>35812071.573327094</v>
          </cell>
          <cell r="M96">
            <v>5192150968.90732</v>
          </cell>
          <cell r="N96">
            <v>0</v>
          </cell>
          <cell r="O96">
            <v>841480.37573743018</v>
          </cell>
          <cell r="P96">
            <v>1524482.1744243158</v>
          </cell>
          <cell r="Q96">
            <v>2393730.3581463899</v>
          </cell>
          <cell r="R96">
            <v>3530689.2728144466</v>
          </cell>
          <cell r="S96">
            <v>4952773.3981702924</v>
          </cell>
          <cell r="T96">
            <v>12702443.929943491</v>
          </cell>
          <cell r="U96">
            <v>12702443.929943491</v>
          </cell>
          <cell r="V96">
            <v>12702443.929943491</v>
          </cell>
          <cell r="W96">
            <v>12702443.929943491</v>
          </cell>
          <cell r="X96">
            <v>0</v>
          </cell>
          <cell r="Y96">
            <v>0.18</v>
          </cell>
          <cell r="Z96">
            <v>0.26</v>
          </cell>
          <cell r="AA96">
            <v>0.31</v>
          </cell>
          <cell r="AB96">
            <v>0.36</v>
          </cell>
          <cell r="AC96">
            <v>0.39</v>
          </cell>
          <cell r="AD96">
            <v>0.41</v>
          </cell>
          <cell r="AE96">
            <v>0.45</v>
          </cell>
          <cell r="AF96">
            <v>0.45</v>
          </cell>
          <cell r="AG96">
            <v>0.45</v>
          </cell>
          <cell r="AH96">
            <v>0.45</v>
          </cell>
          <cell r="AI96">
            <v>339616.41196590819</v>
          </cell>
          <cell r="AJ96">
            <v>186155.56636639114</v>
          </cell>
          <cell r="AK96">
            <v>62119.969457061336</v>
          </cell>
        </row>
        <row r="97">
          <cell r="B97">
            <v>2086</v>
          </cell>
          <cell r="C97">
            <v>0</v>
          </cell>
          <cell r="D97">
            <v>4908635.5251350095</v>
          </cell>
          <cell r="E97">
            <v>7666912.0198320476</v>
          </cell>
          <cell r="F97">
            <v>10611139.738890685</v>
          </cell>
          <cell r="G97">
            <v>13927269.906672519</v>
          </cell>
          <cell r="H97">
            <v>17755957.936476719</v>
          </cell>
          <cell r="I97">
            <v>37602675.151993454</v>
          </cell>
          <cell r="J97">
            <v>37602675.151993454</v>
          </cell>
          <cell r="K97">
            <v>37602675.151993454</v>
          </cell>
          <cell r="L97">
            <v>37602675.151993454</v>
          </cell>
          <cell r="M97">
            <v>5451758517.3526859</v>
          </cell>
          <cell r="N97">
            <v>0</v>
          </cell>
          <cell r="O97">
            <v>883554.39452430164</v>
          </cell>
          <cell r="P97">
            <v>1600706.2831455315</v>
          </cell>
          <cell r="Q97">
            <v>2513416.8760537091</v>
          </cell>
          <cell r="R97">
            <v>3707223.736455169</v>
          </cell>
          <cell r="S97">
            <v>5200412.0680788066</v>
          </cell>
          <cell r="T97">
            <v>13337566.126440667</v>
          </cell>
          <cell r="U97">
            <v>13337566.126440667</v>
          </cell>
          <cell r="V97">
            <v>13337566.126440667</v>
          </cell>
          <cell r="W97">
            <v>13337566.126440667</v>
          </cell>
          <cell r="X97">
            <v>0</v>
          </cell>
          <cell r="Y97">
            <v>0.18</v>
          </cell>
          <cell r="Z97">
            <v>0.26</v>
          </cell>
          <cell r="AA97">
            <v>0.31</v>
          </cell>
          <cell r="AB97">
            <v>0.36</v>
          </cell>
          <cell r="AC97">
            <v>0.39</v>
          </cell>
          <cell r="AD97">
            <v>0.41</v>
          </cell>
          <cell r="AE97">
            <v>0.45</v>
          </cell>
          <cell r="AF97">
            <v>0.45</v>
          </cell>
          <cell r="AG97">
            <v>0.45</v>
          </cell>
          <cell r="AH97">
            <v>0.45</v>
          </cell>
          <cell r="AI97">
            <v>356597.23256420362</v>
          </cell>
          <cell r="AJ97">
            <v>195463.3446847107</v>
          </cell>
          <cell r="AK97">
            <v>65225.967929914405</v>
          </cell>
        </row>
        <row r="98">
          <cell r="B98">
            <v>2087</v>
          </cell>
          <cell r="C98">
            <v>0</v>
          </cell>
          <cell r="D98">
            <v>5154067.3013917599</v>
          </cell>
          <cell r="E98">
            <v>8050257.6208236506</v>
          </cell>
          <cell r="F98">
            <v>11141696.725835219</v>
          </cell>
          <cell r="G98">
            <v>14623633.402006146</v>
          </cell>
          <cell r="H98">
            <v>18643755.833300557</v>
          </cell>
          <cell r="I98">
            <v>39482808.909593128</v>
          </cell>
          <cell r="J98">
            <v>39482808.909593128</v>
          </cell>
          <cell r="K98">
            <v>39482808.909593128</v>
          </cell>
          <cell r="L98">
            <v>39482808.909593128</v>
          </cell>
          <cell r="M98">
            <v>5724346443.2203207</v>
          </cell>
          <cell r="N98">
            <v>0</v>
          </cell>
          <cell r="O98">
            <v>927732.11425051675</v>
          </cell>
          <cell r="P98">
            <v>1680741.5973028084</v>
          </cell>
          <cell r="Q98">
            <v>2639087.7198563945</v>
          </cell>
          <cell r="R98">
            <v>3892584.923277928</v>
          </cell>
          <cell r="S98">
            <v>5460432.6714827484</v>
          </cell>
          <cell r="T98">
            <v>14004444.432762701</v>
          </cell>
          <cell r="U98">
            <v>14004444.432762701</v>
          </cell>
          <cell r="V98">
            <v>14004444.432762701</v>
          </cell>
          <cell r="W98">
            <v>14004444.432762701</v>
          </cell>
          <cell r="X98">
            <v>0</v>
          </cell>
          <cell r="Y98">
            <v>0.18</v>
          </cell>
          <cell r="Z98">
            <v>0.26</v>
          </cell>
          <cell r="AA98">
            <v>0.31</v>
          </cell>
          <cell r="AB98">
            <v>0.36</v>
          </cell>
          <cell r="AC98">
            <v>0.39</v>
          </cell>
          <cell r="AD98">
            <v>0.41</v>
          </cell>
          <cell r="AE98">
            <v>0.45</v>
          </cell>
          <cell r="AF98">
            <v>0.45</v>
          </cell>
          <cell r="AG98">
            <v>0.45</v>
          </cell>
          <cell r="AH98">
            <v>0.45</v>
          </cell>
          <cell r="AI98">
            <v>374427.09419241379</v>
          </cell>
          <cell r="AJ98">
            <v>205236.51191894623</v>
          </cell>
          <cell r="AK98">
            <v>68487.266326410128</v>
          </cell>
        </row>
        <row r="99">
          <cell r="B99">
            <v>2088</v>
          </cell>
          <cell r="C99">
            <v>0</v>
          </cell>
          <cell r="D99">
            <v>5411770.6664613485</v>
          </cell>
          <cell r="E99">
            <v>8452770.5018648338</v>
          </cell>
          <cell r="F99">
            <v>11698781.562126981</v>
          </cell>
          <cell r="G99">
            <v>15354815.072106453</v>
          </cell>
          <cell r="H99">
            <v>19575943.624965586</v>
          </cell>
          <cell r="I99">
            <v>41456949.355072789</v>
          </cell>
          <cell r="J99">
            <v>41456949.355072789</v>
          </cell>
          <cell r="K99">
            <v>41456949.355072789</v>
          </cell>
          <cell r="L99">
            <v>41456949.355072789</v>
          </cell>
          <cell r="M99">
            <v>6010563765.3813372</v>
          </cell>
          <cell r="N99">
            <v>0</v>
          </cell>
          <cell r="O99">
            <v>974118.71996304265</v>
          </cell>
          <cell r="P99">
            <v>1764778.6771679488</v>
          </cell>
          <cell r="Q99">
            <v>2771042.1058492144</v>
          </cell>
          <cell r="R99">
            <v>4087214.1694418238</v>
          </cell>
          <cell r="S99">
            <v>5733454.3050568858</v>
          </cell>
          <cell r="T99">
            <v>14704666.65440084</v>
          </cell>
          <cell r="U99">
            <v>14704666.65440084</v>
          </cell>
          <cell r="V99">
            <v>14704666.65440084</v>
          </cell>
          <cell r="W99">
            <v>14704666.65440084</v>
          </cell>
          <cell r="X99">
            <v>0</v>
          </cell>
          <cell r="Y99">
            <v>0.18</v>
          </cell>
          <cell r="Z99">
            <v>0.26</v>
          </cell>
          <cell r="AA99">
            <v>0.31</v>
          </cell>
          <cell r="AB99">
            <v>0.36</v>
          </cell>
          <cell r="AC99">
            <v>0.39</v>
          </cell>
          <cell r="AD99">
            <v>0.41</v>
          </cell>
          <cell r="AE99">
            <v>0.45</v>
          </cell>
          <cell r="AF99">
            <v>0.45</v>
          </cell>
          <cell r="AG99">
            <v>0.45</v>
          </cell>
          <cell r="AH99">
            <v>0.45</v>
          </cell>
          <cell r="AI99">
            <v>393148.44890203449</v>
          </cell>
          <cell r="AJ99">
            <v>215498.33751489356</v>
          </cell>
          <cell r="AK99">
            <v>71911.629642730637</v>
          </cell>
        </row>
        <row r="100">
          <cell r="B100">
            <v>2089</v>
          </cell>
          <cell r="C100">
            <v>0</v>
          </cell>
          <cell r="D100">
            <v>5682359.1997844158</v>
          </cell>
          <cell r="E100">
            <v>8875409.0269580763</v>
          </cell>
          <cell r="F100">
            <v>12283720.64023333</v>
          </cell>
          <cell r="G100">
            <v>16122555.825711776</v>
          </cell>
          <cell r="H100">
            <v>20554740.806213867</v>
          </cell>
          <cell r="I100">
            <v>43529796.82282643</v>
          </cell>
          <cell r="J100">
            <v>43529796.82282643</v>
          </cell>
          <cell r="K100">
            <v>43529796.82282643</v>
          </cell>
          <cell r="L100">
            <v>43529796.82282643</v>
          </cell>
          <cell r="M100">
            <v>6311091953.650404</v>
          </cell>
          <cell r="N100">
            <v>0</v>
          </cell>
          <cell r="O100">
            <v>1022824.6559611948</v>
          </cell>
          <cell r="P100">
            <v>1853017.6110263467</v>
          </cell>
          <cell r="Q100">
            <v>2909594.2111416757</v>
          </cell>
          <cell r="R100">
            <v>4291574.8779139165</v>
          </cell>
          <cell r="S100">
            <v>6020127.0203097323</v>
          </cell>
          <cell r="T100">
            <v>15439899.987120882</v>
          </cell>
          <cell r="U100">
            <v>15439899.987120882</v>
          </cell>
          <cell r="V100">
            <v>15439899.987120882</v>
          </cell>
          <cell r="W100">
            <v>15439899.987120882</v>
          </cell>
          <cell r="X100">
            <v>0</v>
          </cell>
          <cell r="Y100">
            <v>0.18</v>
          </cell>
          <cell r="Z100">
            <v>0.26</v>
          </cell>
          <cell r="AA100">
            <v>0.31</v>
          </cell>
          <cell r="AB100">
            <v>0.36</v>
          </cell>
          <cell r="AC100">
            <v>0.39</v>
          </cell>
          <cell r="AD100">
            <v>0.41</v>
          </cell>
          <cell r="AE100">
            <v>0.45</v>
          </cell>
          <cell r="AF100">
            <v>0.45</v>
          </cell>
          <cell r="AG100">
            <v>0.45</v>
          </cell>
          <cell r="AH100">
            <v>0.45</v>
          </cell>
          <cell r="AI100">
            <v>412805.87134713621</v>
          </cell>
          <cell r="AJ100">
            <v>226273.25439063823</v>
          </cell>
          <cell r="AK100">
            <v>75507.211124867172</v>
          </cell>
        </row>
        <row r="101">
          <cell r="B101">
            <v>2090</v>
          </cell>
          <cell r="C101">
            <v>0</v>
          </cell>
          <cell r="D101">
            <v>5966477.1597736366</v>
          </cell>
          <cell r="E101">
            <v>9319179.4783059806</v>
          </cell>
          <cell r="F101">
            <v>12897906.672244998</v>
          </cell>
          <cell r="G101">
            <v>16928683.616997365</v>
          </cell>
          <cell r="H101">
            <v>21582477.846524563</v>
          </cell>
          <cell r="I101">
            <v>45706286.663967751</v>
          </cell>
          <cell r="J101">
            <v>45706286.663967751</v>
          </cell>
          <cell r="K101">
            <v>45706286.663967751</v>
          </cell>
          <cell r="L101">
            <v>45706286.663967751</v>
          </cell>
          <cell r="M101">
            <v>6626646551.3329248</v>
          </cell>
          <cell r="N101">
            <v>0</v>
          </cell>
          <cell r="O101">
            <v>1073965.8887592545</v>
          </cell>
          <cell r="P101">
            <v>1945668.4915776639</v>
          </cell>
          <cell r="Q101">
            <v>3055073.9216987593</v>
          </cell>
          <cell r="R101">
            <v>4506153.6218096111</v>
          </cell>
          <cell r="S101">
            <v>6321133.3713252181</v>
          </cell>
          <cell r="T101">
            <v>16211894.986476924</v>
          </cell>
          <cell r="U101">
            <v>16211894.986476924</v>
          </cell>
          <cell r="V101">
            <v>16211894.986476924</v>
          </cell>
          <cell r="W101">
            <v>16211894.986476924</v>
          </cell>
          <cell r="X101">
            <v>0</v>
          </cell>
          <cell r="Y101">
            <v>0.18</v>
          </cell>
          <cell r="Z101">
            <v>0.26</v>
          </cell>
          <cell r="AA101">
            <v>0.31</v>
          </cell>
          <cell r="AB101">
            <v>0.36</v>
          </cell>
          <cell r="AC101">
            <v>0.39</v>
          </cell>
          <cell r="AD101">
            <v>0.41</v>
          </cell>
          <cell r="AE101">
            <v>0.45</v>
          </cell>
          <cell r="AF101">
            <v>0.45</v>
          </cell>
          <cell r="AG101">
            <v>0.45</v>
          </cell>
          <cell r="AH101">
            <v>0.45</v>
          </cell>
          <cell r="AI101">
            <v>433446.16491449304</v>
          </cell>
          <cell r="AJ101">
            <v>237586.91711017015</v>
          </cell>
          <cell r="AK101">
            <v>79282.571681110538</v>
          </cell>
        </row>
        <row r="102">
          <cell r="B102">
            <v>2091</v>
          </cell>
          <cell r="C102">
            <v>0</v>
          </cell>
          <cell r="D102">
            <v>6264801.0177623183</v>
          </cell>
          <cell r="E102">
            <v>9785138.45222128</v>
          </cell>
          <cell r="F102">
            <v>13542802.005857248</v>
          </cell>
          <cell r="G102">
            <v>17775117.797847234</v>
          </cell>
          <cell r="H102">
            <v>22661601.738850791</v>
          </cell>
          <cell r="I102">
            <v>47991600.997166142</v>
          </cell>
          <cell r="J102">
            <v>47991600.997166142</v>
          </cell>
          <cell r="K102">
            <v>47991600.997166142</v>
          </cell>
          <cell r="L102">
            <v>47991600.997166142</v>
          </cell>
          <cell r="M102">
            <v>6957978878.8995714</v>
          </cell>
          <cell r="N102">
            <v>0</v>
          </cell>
          <cell r="O102">
            <v>1127664.1831972173</v>
          </cell>
          <cell r="P102">
            <v>2042951.9161565474</v>
          </cell>
          <cell r="Q102">
            <v>3207827.6177836973</v>
          </cell>
          <cell r="R102">
            <v>4731461.3029000927</v>
          </cell>
          <cell r="S102">
            <v>6637190.0398914795</v>
          </cell>
          <cell r="T102">
            <v>17022489.735800773</v>
          </cell>
          <cell r="U102">
            <v>17022489.735800773</v>
          </cell>
          <cell r="V102">
            <v>17022489.735800773</v>
          </cell>
          <cell r="W102">
            <v>17022489.735800773</v>
          </cell>
          <cell r="X102">
            <v>0</v>
          </cell>
          <cell r="Y102">
            <v>0.18</v>
          </cell>
          <cell r="Z102">
            <v>0.26</v>
          </cell>
          <cell r="AA102">
            <v>0.31</v>
          </cell>
          <cell r="AB102">
            <v>0.36</v>
          </cell>
          <cell r="AC102">
            <v>0.39</v>
          </cell>
          <cell r="AD102">
            <v>0.41</v>
          </cell>
          <cell r="AE102">
            <v>0.45</v>
          </cell>
          <cell r="AF102">
            <v>0.45</v>
          </cell>
          <cell r="AG102">
            <v>0.45</v>
          </cell>
          <cell r="AH102">
            <v>0.45</v>
          </cell>
          <cell r="AI102">
            <v>455118.47316021769</v>
          </cell>
          <cell r="AJ102">
            <v>249466.26296567867</v>
          </cell>
          <cell r="AK102">
            <v>83246.700265166073</v>
          </cell>
        </row>
        <row r="103">
          <cell r="B103">
            <v>2092</v>
          </cell>
          <cell r="C103">
            <v>0</v>
          </cell>
          <cell r="D103">
            <v>6578041.0686504347</v>
          </cell>
          <cell r="E103">
            <v>10274395.374832345</v>
          </cell>
          <cell r="F103">
            <v>14219942.106150111</v>
          </cell>
          <cell r="G103">
            <v>18663873.687739596</v>
          </cell>
          <cell r="H103">
            <v>23794681.825793333</v>
          </cell>
          <cell r="I103">
            <v>50391181.047024451</v>
          </cell>
          <cell r="J103">
            <v>50391181.047024451</v>
          </cell>
          <cell r="K103">
            <v>50391181.047024451</v>
          </cell>
          <cell r="L103">
            <v>50391181.047024451</v>
          </cell>
          <cell r="M103">
            <v>7305877822.8445501</v>
          </cell>
          <cell r="N103">
            <v>0</v>
          </cell>
          <cell r="O103">
            <v>1184047.3923570781</v>
          </cell>
          <cell r="P103">
            <v>2145099.5119643752</v>
          </cell>
          <cell r="Q103">
            <v>3368218.9986728826</v>
          </cell>
          <cell r="R103">
            <v>4968034.3680450972</v>
          </cell>
          <cell r="S103">
            <v>6969049.5418860549</v>
          </cell>
          <cell r="T103">
            <v>17873614.222590812</v>
          </cell>
          <cell r="U103">
            <v>17873614.222590812</v>
          </cell>
          <cell r="V103">
            <v>17873614.222590812</v>
          </cell>
          <cell r="W103">
            <v>17873614.222590812</v>
          </cell>
          <cell r="X103">
            <v>0</v>
          </cell>
          <cell r="Y103">
            <v>0.18</v>
          </cell>
          <cell r="Z103">
            <v>0.26</v>
          </cell>
          <cell r="AA103">
            <v>0.31</v>
          </cell>
          <cell r="AB103">
            <v>0.36</v>
          </cell>
          <cell r="AC103">
            <v>0.39</v>
          </cell>
          <cell r="AD103">
            <v>0.41</v>
          </cell>
          <cell r="AE103">
            <v>0.45</v>
          </cell>
          <cell r="AF103">
            <v>0.45</v>
          </cell>
          <cell r="AG103">
            <v>0.45</v>
          </cell>
          <cell r="AH103">
            <v>0.45</v>
          </cell>
          <cell r="AI103">
            <v>477874.39681822859</v>
          </cell>
          <cell r="AJ103">
            <v>261939.57611396263</v>
          </cell>
          <cell r="AK103">
            <v>87409.035278424388</v>
          </cell>
        </row>
        <row r="104">
          <cell r="B104">
            <v>2093</v>
          </cell>
          <cell r="C104">
            <v>0</v>
          </cell>
          <cell r="D104">
            <v>6906943.1220829571</v>
          </cell>
          <cell r="E104">
            <v>10788115.143573962</v>
          </cell>
          <cell r="F104">
            <v>14930939.211457618</v>
          </cell>
          <cell r="G104">
            <v>19597067.372126576</v>
          </cell>
          <cell r="H104">
            <v>24984415.917083003</v>
          </cell>
          <cell r="I104">
            <v>52910740.099375673</v>
          </cell>
          <cell r="J104">
            <v>52910740.099375673</v>
          </cell>
          <cell r="K104">
            <v>52910740.099375673</v>
          </cell>
          <cell r="L104">
            <v>52910740.099375673</v>
          </cell>
          <cell r="M104">
            <v>7671171713.9867783</v>
          </cell>
          <cell r="N104">
            <v>0</v>
          </cell>
          <cell r="O104">
            <v>1243249.7619749322</v>
          </cell>
          <cell r="P104">
            <v>2252354.4875625935</v>
          </cell>
          <cell r="Q104">
            <v>3536629.9486065265</v>
          </cell>
          <cell r="R104">
            <v>5216436.0864473516</v>
          </cell>
          <cell r="S104">
            <v>7317502.0189803578</v>
          </cell>
          <cell r="T104">
            <v>18767294.93372035</v>
          </cell>
          <cell r="U104">
            <v>18767294.93372035</v>
          </cell>
          <cell r="V104">
            <v>18767294.93372035</v>
          </cell>
          <cell r="W104">
            <v>18767294.93372035</v>
          </cell>
          <cell r="X104">
            <v>0</v>
          </cell>
          <cell r="Y104">
            <v>0.18</v>
          </cell>
          <cell r="Z104">
            <v>0.26</v>
          </cell>
          <cell r="AA104">
            <v>0.31</v>
          </cell>
          <cell r="AB104">
            <v>0.36</v>
          </cell>
          <cell r="AC104">
            <v>0.39</v>
          </cell>
          <cell r="AD104">
            <v>0.41</v>
          </cell>
          <cell r="AE104">
            <v>0.45</v>
          </cell>
          <cell r="AF104">
            <v>0.45</v>
          </cell>
          <cell r="AG104">
            <v>0.45</v>
          </cell>
          <cell r="AH104">
            <v>0.45</v>
          </cell>
          <cell r="AI104">
            <v>501768.11665914004</v>
          </cell>
          <cell r="AJ104">
            <v>275036.55491966079</v>
          </cell>
          <cell r="AK104">
            <v>91779.487042345616</v>
          </cell>
        </row>
        <row r="105">
          <cell r="B105">
            <v>2094</v>
          </cell>
          <cell r="C105">
            <v>0</v>
          </cell>
          <cell r="D105">
            <v>7252290.2781871054</v>
          </cell>
          <cell r="E105">
            <v>11327520.90075266</v>
          </cell>
          <cell r="F105">
            <v>15677486.172030499</v>
          </cell>
          <cell r="G105">
            <v>20576920.740732905</v>
          </cell>
          <cell r="H105">
            <v>26233636.712937154</v>
          </cell>
          <cell r="I105">
            <v>55556277.104344457</v>
          </cell>
          <cell r="J105">
            <v>55556277.104344457</v>
          </cell>
          <cell r="K105">
            <v>55556277.104344457</v>
          </cell>
          <cell r="L105">
            <v>55556277.104344457</v>
          </cell>
          <cell r="M105">
            <v>8054730299.6861172</v>
          </cell>
          <cell r="N105">
            <v>0</v>
          </cell>
          <cell r="O105">
            <v>1305412.250073679</v>
          </cell>
          <cell r="P105">
            <v>2364972.2119407235</v>
          </cell>
          <cell r="Q105">
            <v>3713461.4460368538</v>
          </cell>
          <cell r="R105">
            <v>5477257.8907697201</v>
          </cell>
          <cell r="S105">
            <v>7683377.119929377</v>
          </cell>
          <cell r="T105">
            <v>19705659.680406369</v>
          </cell>
          <cell r="U105">
            <v>19705659.680406369</v>
          </cell>
          <cell r="V105">
            <v>19705659.680406369</v>
          </cell>
          <cell r="W105">
            <v>19705659.680406369</v>
          </cell>
          <cell r="X105">
            <v>0</v>
          </cell>
          <cell r="Y105">
            <v>0.18</v>
          </cell>
          <cell r="Z105">
            <v>0.26</v>
          </cell>
          <cell r="AA105">
            <v>0.31</v>
          </cell>
          <cell r="AB105">
            <v>0.36</v>
          </cell>
          <cell r="AC105">
            <v>0.39</v>
          </cell>
          <cell r="AD105">
            <v>0.41</v>
          </cell>
          <cell r="AE105">
            <v>0.45</v>
          </cell>
          <cell r="AF105">
            <v>0.45</v>
          </cell>
          <cell r="AG105">
            <v>0.45</v>
          </cell>
          <cell r="AH105">
            <v>0.45</v>
          </cell>
          <cell r="AI105">
            <v>526856.52249209711</v>
          </cell>
          <cell r="AJ105">
            <v>288788.38266564382</v>
          </cell>
          <cell r="AK105">
            <v>96368.461394462895</v>
          </cell>
        </row>
        <row r="106">
          <cell r="B106">
            <v>2095</v>
          </cell>
          <cell r="C106">
            <v>0</v>
          </cell>
          <cell r="D106">
            <v>7614904.7920964612</v>
          </cell>
          <cell r="E106">
            <v>11893896.945790293</v>
          </cell>
          <cell r="F106">
            <v>16461360.480632026</v>
          </cell>
          <cell r="G106">
            <v>21605766.777769551</v>
          </cell>
          <cell r="H106">
            <v>27545318.548584014</v>
          </cell>
          <cell r="I106">
            <v>58334090.959561683</v>
          </cell>
          <cell r="J106">
            <v>58334090.959561683</v>
          </cell>
          <cell r="K106">
            <v>58334090.959561683</v>
          </cell>
          <cell r="L106">
            <v>58334090.959561683</v>
          </cell>
          <cell r="M106">
            <v>8457466814.6704235</v>
          </cell>
          <cell r="N106">
            <v>0</v>
          </cell>
          <cell r="O106">
            <v>1370682.8625773629</v>
          </cell>
          <cell r="P106">
            <v>2483220.8225377593</v>
          </cell>
          <cell r="Q106">
            <v>3899134.5183386966</v>
          </cell>
          <cell r="R106">
            <v>5751120.7853082055</v>
          </cell>
          <cell r="S106">
            <v>8067545.975925846</v>
          </cell>
          <cell r="T106">
            <v>20690942.664426692</v>
          </cell>
          <cell r="U106">
            <v>20690942.664426692</v>
          </cell>
          <cell r="V106">
            <v>20690942.664426692</v>
          </cell>
          <cell r="W106">
            <v>20690942.664426692</v>
          </cell>
          <cell r="X106">
            <v>0</v>
          </cell>
          <cell r="Y106">
            <v>0.18</v>
          </cell>
          <cell r="Z106">
            <v>0.26</v>
          </cell>
          <cell r="AA106">
            <v>0.31</v>
          </cell>
          <cell r="AB106">
            <v>0.36</v>
          </cell>
          <cell r="AC106">
            <v>0.39</v>
          </cell>
          <cell r="AD106">
            <v>0.41</v>
          </cell>
          <cell r="AE106">
            <v>0.45</v>
          </cell>
          <cell r="AF106">
            <v>0.45</v>
          </cell>
          <cell r="AG106">
            <v>0.45</v>
          </cell>
          <cell r="AH106">
            <v>0.45</v>
          </cell>
          <cell r="AI106">
            <v>553199.34861670202</v>
          </cell>
          <cell r="AJ106">
            <v>303227.80179892603</v>
          </cell>
          <cell r="AK106">
            <v>101186.88446418605</v>
          </cell>
        </row>
        <row r="107">
          <cell r="B107">
            <v>2096</v>
          </cell>
          <cell r="C107">
            <v>0</v>
          </cell>
          <cell r="D107">
            <v>7995650.0317012845</v>
          </cell>
          <cell r="E107">
            <v>12488591.793079808</v>
          </cell>
          <cell r="F107">
            <v>17284428.504663628</v>
          </cell>
          <cell r="G107">
            <v>22686055.116658028</v>
          </cell>
          <cell r="H107">
            <v>28922584.476013217</v>
          </cell>
          <cell r="I107">
            <v>61250795.507539771</v>
          </cell>
          <cell r="J107">
            <v>61250795.507539771</v>
          </cell>
          <cell r="K107">
            <v>61250795.507539771</v>
          </cell>
          <cell r="L107">
            <v>61250795.507539771</v>
          </cell>
          <cell r="M107">
            <v>8880340155.4039459</v>
          </cell>
          <cell r="N107">
            <v>0</v>
          </cell>
          <cell r="O107">
            <v>1439217.0057062311</v>
          </cell>
          <cell r="P107">
            <v>2607381.8636646476</v>
          </cell>
          <cell r="Q107">
            <v>4094091.2442556312</v>
          </cell>
          <cell r="R107">
            <v>6038676.8245736156</v>
          </cell>
          <cell r="S107">
            <v>8470923.2747221403</v>
          </cell>
          <cell r="T107">
            <v>21725489.797648028</v>
          </cell>
          <cell r="U107">
            <v>21725489.797648028</v>
          </cell>
          <cell r="V107">
            <v>21725489.797648028</v>
          </cell>
          <cell r="W107">
            <v>21725489.797648028</v>
          </cell>
          <cell r="X107">
            <v>0</v>
          </cell>
          <cell r="Y107">
            <v>0.18</v>
          </cell>
          <cell r="Z107">
            <v>0.26</v>
          </cell>
          <cell r="AA107">
            <v>0.31</v>
          </cell>
          <cell r="AB107">
            <v>0.36</v>
          </cell>
          <cell r="AC107">
            <v>0.39</v>
          </cell>
          <cell r="AD107">
            <v>0.41</v>
          </cell>
          <cell r="AE107">
            <v>0.45</v>
          </cell>
          <cell r="AF107">
            <v>0.45</v>
          </cell>
          <cell r="AG107">
            <v>0.45</v>
          </cell>
          <cell r="AH107">
            <v>0.45</v>
          </cell>
          <cell r="AI107">
            <v>580859.31604753714</v>
          </cell>
          <cell r="AJ107">
            <v>318389.19188887236</v>
          </cell>
          <cell r="AK107">
            <v>106246.22868739536</v>
          </cell>
        </row>
        <row r="108">
          <cell r="B108">
            <v>2097</v>
          </cell>
          <cell r="C108">
            <v>0</v>
          </cell>
          <cell r="D108">
            <v>8395432.5332863498</v>
          </cell>
          <cell r="E108">
            <v>13113021.3827338</v>
          </cell>
          <cell r="F108">
            <v>18148649.929896809</v>
          </cell>
          <cell r="G108">
            <v>23820357.872490931</v>
          </cell>
          <cell r="H108">
            <v>30368713.69981388</v>
          </cell>
          <cell r="I108">
            <v>64313335.282916762</v>
          </cell>
          <cell r="J108">
            <v>64313335.282916762</v>
          </cell>
          <cell r="K108">
            <v>64313335.282916762</v>
          </cell>
          <cell r="L108">
            <v>64313335.282916762</v>
          </cell>
          <cell r="M108">
            <v>9324357163.1741428</v>
          </cell>
          <cell r="N108">
            <v>0</v>
          </cell>
          <cell r="O108">
            <v>1511177.8559915428</v>
          </cell>
          <cell r="P108">
            <v>2737750.95684788</v>
          </cell>
          <cell r="Q108">
            <v>4298795.8064684132</v>
          </cell>
          <cell r="R108">
            <v>6340610.6658022972</v>
          </cell>
          <cell r="S108">
            <v>8894469.4384582471</v>
          </cell>
          <cell r="T108">
            <v>22811764.28753043</v>
          </cell>
          <cell r="U108">
            <v>22811764.28753043</v>
          </cell>
          <cell r="V108">
            <v>22811764.28753043</v>
          </cell>
          <cell r="W108">
            <v>22811764.28753043</v>
          </cell>
          <cell r="X108">
            <v>0</v>
          </cell>
          <cell r="Y108">
            <v>0.18</v>
          </cell>
          <cell r="Z108">
            <v>0.26</v>
          </cell>
          <cell r="AA108">
            <v>0.31</v>
          </cell>
          <cell r="AB108">
            <v>0.36</v>
          </cell>
          <cell r="AC108">
            <v>0.39</v>
          </cell>
          <cell r="AD108">
            <v>0.41</v>
          </cell>
          <cell r="AE108">
            <v>0.45</v>
          </cell>
          <cell r="AF108">
            <v>0.45</v>
          </cell>
          <cell r="AG108">
            <v>0.45</v>
          </cell>
          <cell r="AH108">
            <v>0.45</v>
          </cell>
          <cell r="AI108">
            <v>609902.281849914</v>
          </cell>
          <cell r="AJ108">
            <v>334308.65148331597</v>
          </cell>
          <cell r="AK108">
            <v>111558.54012176512</v>
          </cell>
        </row>
        <row r="109">
          <cell r="B109">
            <v>2098</v>
          </cell>
          <cell r="C109">
            <v>0</v>
          </cell>
          <cell r="D109">
            <v>8815204.159950668</v>
          </cell>
          <cell r="E109">
            <v>13768672.45187049</v>
          </cell>
          <cell r="F109">
            <v>19056082.42639165</v>
          </cell>
          <cell r="G109">
            <v>25011375.766115479</v>
          </cell>
          <cell r="H109">
            <v>31887149.384804577</v>
          </cell>
          <cell r="I109">
            <v>67529002.047062606</v>
          </cell>
          <cell r="J109">
            <v>67529002.047062606</v>
          </cell>
          <cell r="K109">
            <v>67529002.047062606</v>
          </cell>
          <cell r="L109">
            <v>67529002.047062606</v>
          </cell>
          <cell r="M109">
            <v>9790575021.3328495</v>
          </cell>
          <cell r="N109">
            <v>0</v>
          </cell>
          <cell r="O109">
            <v>1586736.7487911202</v>
          </cell>
          <cell r="P109">
            <v>2874638.5046902737</v>
          </cell>
          <cell r="Q109">
            <v>4513735.5967918336</v>
          </cell>
          <cell r="R109">
            <v>6657641.1990924124</v>
          </cell>
          <cell r="S109">
            <v>9339192.9103811607</v>
          </cell>
          <cell r="T109">
            <v>23952352.501906954</v>
          </cell>
          <cell r="U109">
            <v>23952352.501906954</v>
          </cell>
          <cell r="V109">
            <v>23952352.501906954</v>
          </cell>
          <cell r="W109">
            <v>23952352.501906954</v>
          </cell>
          <cell r="X109">
            <v>0</v>
          </cell>
          <cell r="Y109">
            <v>0.18</v>
          </cell>
          <cell r="Z109">
            <v>0.26</v>
          </cell>
          <cell r="AA109">
            <v>0.31</v>
          </cell>
          <cell r="AB109">
            <v>0.36</v>
          </cell>
          <cell r="AC109">
            <v>0.39</v>
          </cell>
          <cell r="AD109">
            <v>0.41</v>
          </cell>
          <cell r="AE109">
            <v>0.45</v>
          </cell>
          <cell r="AF109">
            <v>0.45</v>
          </cell>
          <cell r="AG109">
            <v>0.45</v>
          </cell>
          <cell r="AH109">
            <v>0.45</v>
          </cell>
          <cell r="AI109">
            <v>640397.39594240976</v>
          </cell>
          <cell r="AJ109">
            <v>351024.08405748178</v>
          </cell>
          <cell r="AK109">
            <v>117136.46712785338</v>
          </cell>
        </row>
        <row r="110">
          <cell r="B110">
            <v>2099</v>
          </cell>
          <cell r="C110">
            <v>0</v>
          </cell>
          <cell r="D110">
            <v>9255964.3679482024</v>
          </cell>
          <cell r="E110">
            <v>14457106.074464016</v>
          </cell>
          <cell r="F110">
            <v>20008886.547711235</v>
          </cell>
          <cell r="G110">
            <v>26261944.554421254</v>
          </cell>
          <cell r="H110">
            <v>33481506.854044806</v>
          </cell>
          <cell r="I110">
            <v>70905452.149415746</v>
          </cell>
          <cell r="J110">
            <v>70905452.149415746</v>
          </cell>
          <cell r="K110">
            <v>70905452.149415746</v>
          </cell>
          <cell r="L110">
            <v>70905452.149415746</v>
          </cell>
          <cell r="M110">
            <v>10280103772.399492</v>
          </cell>
          <cell r="N110">
            <v>0</v>
          </cell>
          <cell r="O110">
            <v>1666073.5862306764</v>
          </cell>
          <cell r="P110">
            <v>3018370.429924788</v>
          </cell>
          <cell r="Q110">
            <v>4739422.3766314257</v>
          </cell>
          <cell r="R110">
            <v>6990523.2590470323</v>
          </cell>
          <cell r="S110">
            <v>9806152.555900218</v>
          </cell>
          <cell r="T110">
            <v>25149970.127002299</v>
          </cell>
          <cell r="U110">
            <v>25149970.127002299</v>
          </cell>
          <cell r="V110">
            <v>25149970.127002299</v>
          </cell>
          <cell r="W110">
            <v>25149970.127002299</v>
          </cell>
          <cell r="X110">
            <v>0</v>
          </cell>
          <cell r="Y110">
            <v>0.18</v>
          </cell>
          <cell r="Z110">
            <v>0.26</v>
          </cell>
          <cell r="AA110">
            <v>0.31</v>
          </cell>
          <cell r="AB110">
            <v>0.36</v>
          </cell>
          <cell r="AC110">
            <v>0.39</v>
          </cell>
          <cell r="AD110">
            <v>0.41</v>
          </cell>
          <cell r="AE110">
            <v>0.45</v>
          </cell>
          <cell r="AF110">
            <v>0.45</v>
          </cell>
          <cell r="AG110">
            <v>0.45</v>
          </cell>
          <cell r="AH110">
            <v>0.45</v>
          </cell>
          <cell r="AI110">
            <v>672417.26573953032</v>
          </cell>
          <cell r="AJ110">
            <v>368575.28826035588</v>
          </cell>
          <cell r="AK110">
            <v>122993.29048424606</v>
          </cell>
        </row>
        <row r="111">
          <cell r="B111">
            <v>2100</v>
          </cell>
          <cell r="C111">
            <v>0</v>
          </cell>
          <cell r="D111">
            <v>9718762.586345613</v>
          </cell>
          <cell r="E111">
            <v>15179961.378187217</v>
          </cell>
          <cell r="F111">
            <v>21009330.875096798</v>
          </cell>
          <cell r="G111">
            <v>27575041.782142319</v>
          </cell>
          <cell r="H111">
            <v>35155582.19674705</v>
          </cell>
          <cell r="I111">
            <v>74450724.756886542</v>
          </cell>
          <cell r="J111">
            <v>74450724.756886542</v>
          </cell>
          <cell r="K111">
            <v>74450724.756886542</v>
          </cell>
          <cell r="L111">
            <v>74450724.756886542</v>
          </cell>
          <cell r="M111">
            <v>10794108961.019466</v>
          </cell>
          <cell r="N111">
            <v>0</v>
          </cell>
          <cell r="O111">
            <v>1749377.2655422103</v>
          </cell>
          <cell r="P111">
            <v>3169288.9514210271</v>
          </cell>
          <cell r="Q111">
            <v>4976393.4954629969</v>
          </cell>
          <cell r="R111">
            <v>7340049.4219993837</v>
          </cell>
          <cell r="S111">
            <v>10296460.183695229</v>
          </cell>
          <cell r="T111">
            <v>26407468.633352421</v>
          </cell>
          <cell r="U111">
            <v>26407468.633352421</v>
          </cell>
          <cell r="V111">
            <v>26407468.633352421</v>
          </cell>
          <cell r="W111">
            <v>26407468.633352421</v>
          </cell>
          <cell r="X111">
            <v>0</v>
          </cell>
          <cell r="Y111">
            <v>0.18</v>
          </cell>
          <cell r="Z111">
            <v>0.26</v>
          </cell>
          <cell r="AA111">
            <v>0.31</v>
          </cell>
          <cell r="AB111">
            <v>0.36</v>
          </cell>
          <cell r="AC111">
            <v>0.39</v>
          </cell>
          <cell r="AD111">
            <v>0.41</v>
          </cell>
          <cell r="AE111">
            <v>0.45</v>
          </cell>
          <cell r="AF111">
            <v>0.45</v>
          </cell>
          <cell r="AG111">
            <v>0.45</v>
          </cell>
          <cell r="AH111">
            <v>0.45</v>
          </cell>
          <cell r="AI111">
            <v>706038.12902650691</v>
          </cell>
          <cell r="AJ111">
            <v>387004.05267337372</v>
          </cell>
          <cell r="AK111">
            <v>129142.95500845836</v>
          </cell>
        </row>
        <row r="112">
          <cell r="B112">
            <v>2101</v>
          </cell>
          <cell r="C112">
            <v>0</v>
          </cell>
          <cell r="D112">
            <v>10204700.715662895</v>
          </cell>
          <cell r="E112">
            <v>15938959.447096579</v>
          </cell>
          <cell r="F112">
            <v>22059797.41885164</v>
          </cell>
          <cell r="G112">
            <v>28953793.871249437</v>
          </cell>
          <cell r="H112">
            <v>36913361.306584403</v>
          </cell>
          <cell r="I112">
            <v>78173260.994730875</v>
          </cell>
          <cell r="J112">
            <v>78173260.994730875</v>
          </cell>
          <cell r="K112">
            <v>78173260.994730875</v>
          </cell>
          <cell r="L112">
            <v>78173260.994730875</v>
          </cell>
          <cell r="M112">
            <v>11333814409.07044</v>
          </cell>
          <cell r="N112">
            <v>0</v>
          </cell>
          <cell r="O112">
            <v>1836846.128819321</v>
          </cell>
          <cell r="P112">
            <v>3327753.3989920788</v>
          </cell>
          <cell r="Q112">
            <v>5225213.1702361479</v>
          </cell>
          <cell r="R112">
            <v>7707051.8930993546</v>
          </cell>
          <cell r="S112">
            <v>10811283.192879992</v>
          </cell>
          <cell r="T112">
            <v>27727842.065020047</v>
          </cell>
          <cell r="U112">
            <v>27727842.065020047</v>
          </cell>
          <cell r="V112">
            <v>27727842.065020047</v>
          </cell>
          <cell r="W112">
            <v>27727842.065020047</v>
          </cell>
          <cell r="X112">
            <v>0</v>
          </cell>
          <cell r="Y112">
            <v>0.18</v>
          </cell>
          <cell r="Z112">
            <v>0.26</v>
          </cell>
          <cell r="AA112">
            <v>0.31</v>
          </cell>
          <cell r="AB112">
            <v>0.36</v>
          </cell>
          <cell r="AC112">
            <v>0.39</v>
          </cell>
          <cell r="AD112">
            <v>0.41</v>
          </cell>
          <cell r="AE112">
            <v>0.45</v>
          </cell>
          <cell r="AF112">
            <v>0.45</v>
          </cell>
          <cell r="AG112">
            <v>0.45</v>
          </cell>
          <cell r="AH112">
            <v>0.45</v>
          </cell>
          <cell r="AI112">
            <v>741340.03547783231</v>
          </cell>
          <cell r="AJ112">
            <v>406354.25530704245</v>
          </cell>
          <cell r="AK112">
            <v>135600.10275888129</v>
          </cell>
        </row>
        <row r="113">
          <cell r="B113">
            <v>2102</v>
          </cell>
          <cell r="C113">
            <v>0</v>
          </cell>
          <cell r="D113">
            <v>10714935.75144604</v>
          </cell>
          <cell r="E113">
            <v>16735907.419451408</v>
          </cell>
          <cell r="F113">
            <v>23162787.289794222</v>
          </cell>
          <cell r="G113">
            <v>30401483.564811911</v>
          </cell>
          <cell r="H113">
            <v>38759029.371913627</v>
          </cell>
          <cell r="I113">
            <v>82081924.044467419</v>
          </cell>
          <cell r="J113">
            <v>82081924.044467419</v>
          </cell>
          <cell r="K113">
            <v>82081924.044467419</v>
          </cell>
          <cell r="L113">
            <v>82081924.044467419</v>
          </cell>
          <cell r="M113">
            <v>11900505129.523962</v>
          </cell>
          <cell r="N113">
            <v>0</v>
          </cell>
          <cell r="O113">
            <v>1928688.4352602873</v>
          </cell>
          <cell r="P113">
            <v>3494141.0689416826</v>
          </cell>
          <cell r="Q113">
            <v>5486473.8287479542</v>
          </cell>
          <cell r="R113">
            <v>8092404.4877543226</v>
          </cell>
          <cell r="S113">
            <v>11351847.352523992</v>
          </cell>
          <cell r="T113">
            <v>29114234.168271042</v>
          </cell>
          <cell r="U113">
            <v>29114234.168271042</v>
          </cell>
          <cell r="V113">
            <v>29114234.168271042</v>
          </cell>
          <cell r="W113">
            <v>29114234.168271042</v>
          </cell>
          <cell r="X113">
            <v>0</v>
          </cell>
          <cell r="Y113">
            <v>0.18</v>
          </cell>
          <cell r="Z113">
            <v>0.26</v>
          </cell>
          <cell r="AA113">
            <v>0.31</v>
          </cell>
          <cell r="AB113">
            <v>0.36</v>
          </cell>
          <cell r="AC113">
            <v>0.39</v>
          </cell>
          <cell r="AD113">
            <v>0.41</v>
          </cell>
          <cell r="AE113">
            <v>0.45</v>
          </cell>
          <cell r="AF113">
            <v>0.45</v>
          </cell>
          <cell r="AG113">
            <v>0.45</v>
          </cell>
          <cell r="AH113">
            <v>0.45</v>
          </cell>
          <cell r="AI113">
            <v>778407.03725172393</v>
          </cell>
          <cell r="AJ113">
            <v>426671.96807239461</v>
          </cell>
          <cell r="AK113">
            <v>142380.10789682536</v>
          </cell>
        </row>
        <row r="114">
          <cell r="B114">
            <v>2103</v>
          </cell>
          <cell r="C114">
            <v>0</v>
          </cell>
          <cell r="D114">
            <v>11250682.539018342</v>
          </cell>
          <cell r="E114">
            <v>17572702.790423978</v>
          </cell>
          <cell r="F114">
            <v>24320926.654283933</v>
          </cell>
          <cell r="G114">
            <v>31921557.743052509</v>
          </cell>
          <cell r="H114">
            <v>40696980.84050931</v>
          </cell>
          <cell r="I114">
            <v>86186020.246690795</v>
          </cell>
          <cell r="J114">
            <v>86186020.246690795</v>
          </cell>
          <cell r="K114">
            <v>86186020.246690795</v>
          </cell>
          <cell r="L114">
            <v>86186020.246690795</v>
          </cell>
          <cell r="M114">
            <v>12495530386.00016</v>
          </cell>
          <cell r="N114">
            <v>0</v>
          </cell>
          <cell r="O114">
            <v>2025122.8570233015</v>
          </cell>
          <cell r="P114">
            <v>3668848.1223887671</v>
          </cell>
          <cell r="Q114">
            <v>5760797.5201853532</v>
          </cell>
          <cell r="R114">
            <v>8497024.712142041</v>
          </cell>
          <cell r="S114">
            <v>11919439.720150193</v>
          </cell>
          <cell r="T114">
            <v>30569945.876684599</v>
          </cell>
          <cell r="U114">
            <v>30569945.876684599</v>
          </cell>
          <cell r="V114">
            <v>30569945.876684599</v>
          </cell>
          <cell r="W114">
            <v>30569945.876684599</v>
          </cell>
          <cell r="X114">
            <v>0</v>
          </cell>
          <cell r="Y114">
            <v>0.18</v>
          </cell>
          <cell r="Z114">
            <v>0.26</v>
          </cell>
          <cell r="AA114">
            <v>0.31</v>
          </cell>
          <cell r="AB114">
            <v>0.36</v>
          </cell>
          <cell r="AC114">
            <v>0.39</v>
          </cell>
          <cell r="AD114">
            <v>0.41</v>
          </cell>
          <cell r="AE114">
            <v>0.45</v>
          </cell>
          <cell r="AF114">
            <v>0.45</v>
          </cell>
          <cell r="AG114">
            <v>0.45</v>
          </cell>
          <cell r="AH114">
            <v>0.45</v>
          </cell>
          <cell r="AI114">
            <v>817327.38911431015</v>
          </cell>
          <cell r="AJ114">
            <v>448005.56647601438</v>
          </cell>
          <cell r="AK114">
            <v>149499.11329166664</v>
          </cell>
        </row>
        <row r="115">
          <cell r="B115">
            <v>2104</v>
          </cell>
          <cell r="C115">
            <v>0</v>
          </cell>
          <cell r="D115">
            <v>11813216.66596926</v>
          </cell>
          <cell r="E115">
            <v>18451337.929945178</v>
          </cell>
          <cell r="F115">
            <v>25536972.98699813</v>
          </cell>
          <cell r="G115">
            <v>33517635.630205136</v>
          </cell>
          <cell r="H115">
            <v>42731829.88253478</v>
          </cell>
          <cell r="I115">
            <v>90495321.259025335</v>
          </cell>
          <cell r="J115">
            <v>90495321.259025335</v>
          </cell>
          <cell r="K115">
            <v>90495321.259025335</v>
          </cell>
          <cell r="L115">
            <v>90495321.259025335</v>
          </cell>
          <cell r="M115">
            <v>13120306905.300169</v>
          </cell>
          <cell r="N115">
            <v>0</v>
          </cell>
          <cell r="O115">
            <v>2126378.9998744666</v>
          </cell>
          <cell r="P115">
            <v>3852290.5285082054</v>
          </cell>
          <cell r="Q115">
            <v>6048837.3961946201</v>
          </cell>
          <cell r="R115">
            <v>8921875.9477491416</v>
          </cell>
          <cell r="S115">
            <v>12515411.706157703</v>
          </cell>
          <cell r="T115">
            <v>32098443.17051883</v>
          </cell>
          <cell r="U115">
            <v>32098443.17051883</v>
          </cell>
          <cell r="V115">
            <v>32098443.17051883</v>
          </cell>
          <cell r="W115">
            <v>32098443.17051883</v>
          </cell>
          <cell r="X115">
            <v>0</v>
          </cell>
          <cell r="Y115">
            <v>0.18</v>
          </cell>
          <cell r="Z115">
            <v>0.26</v>
          </cell>
          <cell r="AA115">
            <v>0.31</v>
          </cell>
          <cell r="AB115">
            <v>0.36</v>
          </cell>
          <cell r="AC115">
            <v>0.39</v>
          </cell>
          <cell r="AD115">
            <v>0.41</v>
          </cell>
          <cell r="AE115">
            <v>0.45</v>
          </cell>
          <cell r="AF115">
            <v>0.45</v>
          </cell>
          <cell r="AG115">
            <v>0.45</v>
          </cell>
          <cell r="AH115">
            <v>0.45</v>
          </cell>
          <cell r="AI115">
            <v>858193.75857002567</v>
          </cell>
          <cell r="AJ115">
            <v>470405.8447998151</v>
          </cell>
          <cell r="AK115">
            <v>156974.06895624998</v>
          </cell>
        </row>
        <row r="116">
          <cell r="B116">
            <v>2105</v>
          </cell>
          <cell r="C116">
            <v>0</v>
          </cell>
          <cell r="D116">
            <v>12403877.499267723</v>
          </cell>
          <cell r="E116">
            <v>19373904.826442439</v>
          </cell>
          <cell r="F116">
            <v>26813821.636348039</v>
          </cell>
          <cell r="G116">
            <v>35193517.411715396</v>
          </cell>
          <cell r="H116">
            <v>44868421.376661524</v>
          </cell>
          <cell r="I116">
            <v>95020087.321976602</v>
          </cell>
          <cell r="J116">
            <v>95020087.321976602</v>
          </cell>
          <cell r="K116">
            <v>95020087.321976602</v>
          </cell>
          <cell r="L116">
            <v>95020087.321976602</v>
          </cell>
          <cell r="M116">
            <v>13776322250.565178</v>
          </cell>
          <cell r="N116">
            <v>0</v>
          </cell>
          <cell r="O116">
            <v>2232697.9498681901</v>
          </cell>
          <cell r="P116">
            <v>4044905.054933616</v>
          </cell>
          <cell r="Q116">
            <v>6351279.2660043519</v>
          </cell>
          <cell r="R116">
            <v>9367969.7451366</v>
          </cell>
          <cell r="S116">
            <v>13141182.29146559</v>
          </cell>
          <cell r="T116">
            <v>33703365.329044774</v>
          </cell>
          <cell r="U116">
            <v>33703365.329044774</v>
          </cell>
          <cell r="V116">
            <v>33703365.329044774</v>
          </cell>
          <cell r="W116">
            <v>33703365.329044774</v>
          </cell>
          <cell r="X116">
            <v>0</v>
          </cell>
          <cell r="Y116">
            <v>0.18</v>
          </cell>
          <cell r="Z116">
            <v>0.26</v>
          </cell>
          <cell r="AA116">
            <v>0.31</v>
          </cell>
          <cell r="AB116">
            <v>0.36</v>
          </cell>
          <cell r="AC116">
            <v>0.39</v>
          </cell>
          <cell r="AD116">
            <v>0.41</v>
          </cell>
          <cell r="AE116">
            <v>0.45</v>
          </cell>
          <cell r="AF116">
            <v>0.45</v>
          </cell>
          <cell r="AG116">
            <v>0.45</v>
          </cell>
          <cell r="AH116">
            <v>0.45</v>
          </cell>
          <cell r="AI116">
            <v>901103.44649852696</v>
          </cell>
          <cell r="AJ116">
            <v>493926.13703980588</v>
          </cell>
          <cell r="AK116">
            <v>164822.77240406247</v>
          </cell>
        </row>
        <row r="117">
          <cell r="B117">
            <v>2106</v>
          </cell>
          <cell r="C117">
            <v>0</v>
          </cell>
          <cell r="D117">
            <v>13024071.374231109</v>
          </cell>
          <cell r="E117">
            <v>20342600.067764562</v>
          </cell>
          <cell r="F117">
            <v>28154512.718165442</v>
          </cell>
          <cell r="G117">
            <v>36953193.282301165</v>
          </cell>
          <cell r="H117">
            <v>47111842.4454946</v>
          </cell>
          <cell r="I117">
            <v>99771091.688075438</v>
          </cell>
          <cell r="J117">
            <v>99771091.688075438</v>
          </cell>
          <cell r="K117">
            <v>99771091.688075438</v>
          </cell>
          <cell r="L117">
            <v>99771091.688075438</v>
          </cell>
          <cell r="M117">
            <v>14465138363.093437</v>
          </cell>
          <cell r="N117">
            <v>0</v>
          </cell>
          <cell r="O117">
            <v>2344332.8473615996</v>
          </cell>
          <cell r="P117">
            <v>4247150.3076802976</v>
          </cell>
          <cell r="Q117">
            <v>6668843.2293045707</v>
          </cell>
          <cell r="R117">
            <v>9836368.2323934305</v>
          </cell>
          <cell r="S117">
            <v>13798241.406038869</v>
          </cell>
          <cell r="T117">
            <v>35388533.595497012</v>
          </cell>
          <cell r="U117">
            <v>35388533.595497012</v>
          </cell>
          <cell r="V117">
            <v>35388533.595497012</v>
          </cell>
          <cell r="W117">
            <v>35388533.595497012</v>
          </cell>
          <cell r="X117">
            <v>0</v>
          </cell>
          <cell r="Y117">
            <v>0.18</v>
          </cell>
          <cell r="Z117">
            <v>0.26</v>
          </cell>
          <cell r="AA117">
            <v>0.31</v>
          </cell>
          <cell r="AB117">
            <v>0.36</v>
          </cell>
          <cell r="AC117">
            <v>0.39</v>
          </cell>
          <cell r="AD117">
            <v>0.41</v>
          </cell>
          <cell r="AE117">
            <v>0.45</v>
          </cell>
          <cell r="AF117">
            <v>0.45</v>
          </cell>
          <cell r="AG117">
            <v>0.45</v>
          </cell>
          <cell r="AH117">
            <v>0.45</v>
          </cell>
          <cell r="AI117">
            <v>946158.61882345332</v>
          </cell>
          <cell r="AJ117">
            <v>518622.44389179617</v>
          </cell>
          <cell r="AK117">
            <v>173063.9110242656</v>
          </cell>
        </row>
        <row r="118">
          <cell r="B118">
            <v>2107</v>
          </cell>
          <cell r="C118">
            <v>0</v>
          </cell>
          <cell r="D118">
            <v>13675274.942942666</v>
          </cell>
          <cell r="E118">
            <v>21359730.071152791</v>
          </cell>
          <cell r="F118">
            <v>29562238.354073714</v>
          </cell>
          <cell r="G118">
            <v>38800852.946416222</v>
          </cell>
          <cell r="H118">
            <v>49467434.567769334</v>
          </cell>
          <cell r="I118">
            <v>104759646.27247922</v>
          </cell>
          <cell r="J118">
            <v>104759646.27247922</v>
          </cell>
          <cell r="K118">
            <v>104759646.27247922</v>
          </cell>
          <cell r="L118">
            <v>104759646.27247922</v>
          </cell>
          <cell r="M118">
            <v>15188395281.24811</v>
          </cell>
          <cell r="N118">
            <v>0</v>
          </cell>
          <cell r="O118">
            <v>2461549.4897296797</v>
          </cell>
          <cell r="P118">
            <v>4459507.8230643123</v>
          </cell>
          <cell r="Q118">
            <v>7002285.3907697983</v>
          </cell>
          <cell r="R118">
            <v>10328186.644013101</v>
          </cell>
          <cell r="S118">
            <v>14488153.476340815</v>
          </cell>
          <cell r="T118">
            <v>37157960.275271863</v>
          </cell>
          <cell r="U118">
            <v>37157960.275271863</v>
          </cell>
          <cell r="V118">
            <v>37157960.275271863</v>
          </cell>
          <cell r="W118">
            <v>37157960.275271863</v>
          </cell>
          <cell r="X118">
            <v>0</v>
          </cell>
          <cell r="Y118">
            <v>0.18</v>
          </cell>
          <cell r="Z118">
            <v>0.26</v>
          </cell>
          <cell r="AA118">
            <v>0.31</v>
          </cell>
          <cell r="AB118">
            <v>0.36</v>
          </cell>
          <cell r="AC118">
            <v>0.39</v>
          </cell>
          <cell r="AD118">
            <v>0.41</v>
          </cell>
          <cell r="AE118">
            <v>0.45</v>
          </cell>
          <cell r="AF118">
            <v>0.45</v>
          </cell>
          <cell r="AG118">
            <v>0.45</v>
          </cell>
          <cell r="AH118">
            <v>0.45</v>
          </cell>
          <cell r="AI118">
            <v>993466.54976462608</v>
          </cell>
          <cell r="AJ118">
            <v>544553.56608638598</v>
          </cell>
          <cell r="AK118">
            <v>181717.10657547889</v>
          </cell>
        </row>
        <row r="119">
          <cell r="B119">
            <v>2108</v>
          </cell>
          <cell r="C119">
            <v>0</v>
          </cell>
          <cell r="D119">
            <v>14359038.690089799</v>
          </cell>
          <cell r="E119">
            <v>22427716.574710432</v>
          </cell>
          <cell r="F119">
            <v>31040350.271777403</v>
          </cell>
          <cell r="G119">
            <v>40740895.593737036</v>
          </cell>
          <cell r="H119">
            <v>51940806.2961578</v>
          </cell>
          <cell r="I119">
            <v>109997628.58610319</v>
          </cell>
          <cell r="J119">
            <v>109997628.58610319</v>
          </cell>
          <cell r="K119">
            <v>109997628.58610319</v>
          </cell>
          <cell r="L119">
            <v>109997628.58610319</v>
          </cell>
          <cell r="M119">
            <v>15947815045.310516</v>
          </cell>
          <cell r="N119">
            <v>0</v>
          </cell>
          <cell r="O119">
            <v>2584626.9642161638</v>
          </cell>
          <cell r="P119">
            <v>4682483.2142175287</v>
          </cell>
          <cell r="Q119">
            <v>7352399.6603082893</v>
          </cell>
          <cell r="R119">
            <v>10844595.976213757</v>
          </cell>
          <cell r="S119">
            <v>15212561.150157854</v>
          </cell>
          <cell r="T119">
            <v>39015858.289035462</v>
          </cell>
          <cell r="U119">
            <v>39015858.289035462</v>
          </cell>
          <cell r="V119">
            <v>39015858.289035462</v>
          </cell>
          <cell r="W119">
            <v>39015858.289035462</v>
          </cell>
          <cell r="X119">
            <v>0</v>
          </cell>
          <cell r="Y119">
            <v>0.18</v>
          </cell>
          <cell r="Z119">
            <v>0.26</v>
          </cell>
          <cell r="AA119">
            <v>0.31</v>
          </cell>
          <cell r="AB119">
            <v>0.36</v>
          </cell>
          <cell r="AC119">
            <v>0.39</v>
          </cell>
          <cell r="AD119">
            <v>0.41</v>
          </cell>
          <cell r="AE119">
            <v>0.45</v>
          </cell>
          <cell r="AF119">
            <v>0.45</v>
          </cell>
          <cell r="AG119">
            <v>0.45</v>
          </cell>
          <cell r="AH119">
            <v>0.45</v>
          </cell>
          <cell r="AI119">
            <v>1043139.8772528574</v>
          </cell>
          <cell r="AJ119">
            <v>571781.24439070525</v>
          </cell>
          <cell r="AK119">
            <v>190802.96190425285</v>
          </cell>
        </row>
        <row r="120">
          <cell r="B120">
            <v>2109</v>
          </cell>
          <cell r="C120">
            <v>0</v>
          </cell>
          <cell r="D120">
            <v>15076990.62459429</v>
          </cell>
          <cell r="E120">
            <v>23549102.403445955</v>
          </cell>
          <cell r="F120">
            <v>32592367.785366274</v>
          </cell>
          <cell r="G120">
            <v>42777940.373423889</v>
          </cell>
          <cell r="H120">
            <v>54537846.610965692</v>
          </cell>
          <cell r="I120">
            <v>115497510.01540835</v>
          </cell>
          <cell r="J120">
            <v>115497510.01540835</v>
          </cell>
          <cell r="K120">
            <v>115497510.01540835</v>
          </cell>
          <cell r="L120">
            <v>115497510.01540835</v>
          </cell>
          <cell r="M120">
            <v>16745205797.576042</v>
          </cell>
          <cell r="N120">
            <v>0</v>
          </cell>
          <cell r="O120">
            <v>2713858.3124269722</v>
          </cell>
          <cell r="P120">
            <v>4916607.3749284055</v>
          </cell>
          <cell r="Q120">
            <v>7720019.6433237046</v>
          </cell>
          <cell r="R120">
            <v>11386825.775024446</v>
          </cell>
          <cell r="S120">
            <v>15973189.207665749</v>
          </cell>
          <cell r="T120">
            <v>40966651.20348724</v>
          </cell>
          <cell r="U120">
            <v>40966651.20348724</v>
          </cell>
          <cell r="V120">
            <v>40966651.20348724</v>
          </cell>
          <cell r="W120">
            <v>40966651.20348724</v>
          </cell>
          <cell r="X120">
            <v>0</v>
          </cell>
          <cell r="Y120">
            <v>0.18</v>
          </cell>
          <cell r="Z120">
            <v>0.26</v>
          </cell>
          <cell r="AA120">
            <v>0.31</v>
          </cell>
          <cell r="AB120">
            <v>0.36</v>
          </cell>
          <cell r="AC120">
            <v>0.39</v>
          </cell>
          <cell r="AD120">
            <v>0.41</v>
          </cell>
          <cell r="AE120">
            <v>0.45</v>
          </cell>
          <cell r="AF120">
            <v>0.45</v>
          </cell>
          <cell r="AG120">
            <v>0.45</v>
          </cell>
          <cell r="AH120">
            <v>0.45</v>
          </cell>
          <cell r="AI120">
            <v>1095296.8711155003</v>
          </cell>
          <cell r="AJ120">
            <v>600370.30661024048</v>
          </cell>
          <cell r="AK120">
            <v>200343.10999946549</v>
          </cell>
        </row>
        <row r="121">
          <cell r="B121">
            <v>2110</v>
          </cell>
          <cell r="C121">
            <v>0</v>
          </cell>
          <cell r="D121">
            <v>15830840.155824006</v>
          </cell>
          <cell r="E121">
            <v>24726557.523618255</v>
          </cell>
          <cell r="F121">
            <v>34221986.174634591</v>
          </cell>
          <cell r="G121">
            <v>44916837.392095089</v>
          </cell>
          <cell r="H121">
            <v>57264738.941513978</v>
          </cell>
          <cell r="I121">
            <v>121272385.51617877</v>
          </cell>
          <cell r="J121">
            <v>121272385.51617877</v>
          </cell>
          <cell r="K121">
            <v>121272385.51617877</v>
          </cell>
          <cell r="L121">
            <v>121272385.51617877</v>
          </cell>
          <cell r="M121">
            <v>17582466087.454845</v>
          </cell>
          <cell r="N121">
            <v>0</v>
          </cell>
          <cell r="O121">
            <v>2849551.2280483209</v>
          </cell>
          <cell r="P121">
            <v>5162437.7436748259</v>
          </cell>
          <cell r="Q121">
            <v>8106020.6254898906</v>
          </cell>
          <cell r="R121">
            <v>11956167.06377567</v>
          </cell>
          <cell r="S121">
            <v>16771848.668049037</v>
          </cell>
          <cell r="T121">
            <v>43014983.763661601</v>
          </cell>
          <cell r="U121">
            <v>43014983.763661601</v>
          </cell>
          <cell r="V121">
            <v>43014983.763661601</v>
          </cell>
          <cell r="W121">
            <v>43014983.763661601</v>
          </cell>
          <cell r="X121">
            <v>0</v>
          </cell>
          <cell r="Y121">
            <v>0.18</v>
          </cell>
          <cell r="Z121">
            <v>0.26</v>
          </cell>
          <cell r="AA121">
            <v>0.31</v>
          </cell>
          <cell r="AB121">
            <v>0.36</v>
          </cell>
          <cell r="AC121">
            <v>0.39</v>
          </cell>
          <cell r="AD121">
            <v>0.41</v>
          </cell>
          <cell r="AE121">
            <v>0.45</v>
          </cell>
          <cell r="AF121">
            <v>0.45</v>
          </cell>
          <cell r="AG121">
            <v>0.45</v>
          </cell>
          <cell r="AH121">
            <v>0.45</v>
          </cell>
          <cell r="AI121">
            <v>1150061.7146712753</v>
          </cell>
          <cell r="AJ121">
            <v>630388.82194075256</v>
          </cell>
          <cell r="AK121">
            <v>210360.26549943877</v>
          </cell>
        </row>
        <row r="122">
          <cell r="B122">
            <v>2111</v>
          </cell>
          <cell r="C122">
            <v>0</v>
          </cell>
          <cell r="D122">
            <v>16622382.163615206</v>
          </cell>
          <cell r="E122">
            <v>25962885.399799168</v>
          </cell>
          <cell r="F122">
            <v>35933085.483366325</v>
          </cell>
          <cell r="G122">
            <v>47162679.261699848</v>
          </cell>
          <cell r="H122">
            <v>60127975.88858968</v>
          </cell>
          <cell r="I122">
            <v>127336004.79198772</v>
          </cell>
          <cell r="J122">
            <v>127336004.79198772</v>
          </cell>
          <cell r="K122">
            <v>127336004.79198772</v>
          </cell>
          <cell r="L122">
            <v>127336004.79198772</v>
          </cell>
          <cell r="M122">
            <v>18461589391.827587</v>
          </cell>
          <cell r="N122">
            <v>0</v>
          </cell>
          <cell r="O122">
            <v>2992028.7894507372</v>
          </cell>
          <cell r="P122">
            <v>5420559.6308585675</v>
          </cell>
          <cell r="Q122">
            <v>8511321.6567643862</v>
          </cell>
          <cell r="R122">
            <v>12553975.416964455</v>
          </cell>
          <cell r="S122">
            <v>17610441.10145149</v>
          </cell>
          <cell r="T122">
            <v>45165732.951844685</v>
          </cell>
          <cell r="U122">
            <v>45165732.951844685</v>
          </cell>
          <cell r="V122">
            <v>45165732.951844685</v>
          </cell>
          <cell r="W122">
            <v>45165732.951844685</v>
          </cell>
          <cell r="X122">
            <v>0</v>
          </cell>
          <cell r="Y122">
            <v>0.18</v>
          </cell>
          <cell r="Z122">
            <v>0.26</v>
          </cell>
          <cell r="AA122">
            <v>0.31</v>
          </cell>
          <cell r="AB122">
            <v>0.36</v>
          </cell>
          <cell r="AC122">
            <v>0.39</v>
          </cell>
          <cell r="AD122">
            <v>0.41</v>
          </cell>
          <cell r="AE122">
            <v>0.45</v>
          </cell>
          <cell r="AF122">
            <v>0.45</v>
          </cell>
          <cell r="AG122">
            <v>0.45</v>
          </cell>
          <cell r="AH122">
            <v>0.45</v>
          </cell>
          <cell r="AI122">
            <v>1207564.8004048392</v>
          </cell>
          <cell r="AJ122">
            <v>661908.2630377902</v>
          </cell>
          <cell r="AK122">
            <v>220878.27877441072</v>
          </cell>
        </row>
        <row r="123">
          <cell r="B123">
            <v>2112</v>
          </cell>
          <cell r="C123">
            <v>0</v>
          </cell>
          <cell r="D123">
            <v>17453501.271795966</v>
          </cell>
          <cell r="E123">
            <v>27261029.669789128</v>
          </cell>
          <cell r="F123">
            <v>37729739.757534645</v>
          </cell>
          <cell r="G123">
            <v>49520813.224784844</v>
          </cell>
          <cell r="H123">
            <v>63134374.683019169</v>
          </cell>
          <cell r="I123">
            <v>133702805.03158711</v>
          </cell>
          <cell r="J123">
            <v>133702805.03158711</v>
          </cell>
          <cell r="K123">
            <v>133702805.03158711</v>
          </cell>
          <cell r="L123">
            <v>133702805.03158711</v>
          </cell>
          <cell r="M123">
            <v>19384668861.418968</v>
          </cell>
          <cell r="N123">
            <v>0</v>
          </cell>
          <cell r="O123">
            <v>3141630.2289232737</v>
          </cell>
          <cell r="P123">
            <v>5691587.6124014966</v>
          </cell>
          <cell r="Q123">
            <v>8936887.7396026067</v>
          </cell>
          <cell r="R123">
            <v>13181674.187812679</v>
          </cell>
          <cell r="S123">
            <v>18490963.156524066</v>
          </cell>
          <cell r="T123">
            <v>47424019.599436916</v>
          </cell>
          <cell r="U123">
            <v>47424019.599436916</v>
          </cell>
          <cell r="V123">
            <v>47424019.599436916</v>
          </cell>
          <cell r="W123">
            <v>47424019.599436916</v>
          </cell>
          <cell r="X123">
            <v>0</v>
          </cell>
          <cell r="Y123">
            <v>0.18</v>
          </cell>
          <cell r="Z123">
            <v>0.26</v>
          </cell>
          <cell r="AA123">
            <v>0.31</v>
          </cell>
          <cell r="AB123">
            <v>0.36</v>
          </cell>
          <cell r="AC123">
            <v>0.39</v>
          </cell>
          <cell r="AD123">
            <v>0.41</v>
          </cell>
          <cell r="AE123">
            <v>0.45</v>
          </cell>
          <cell r="AF123">
            <v>0.45</v>
          </cell>
          <cell r="AG123">
            <v>0.45</v>
          </cell>
          <cell r="AH123">
            <v>0.45</v>
          </cell>
          <cell r="AI123">
            <v>1267943.0404250813</v>
          </cell>
          <cell r="AJ123">
            <v>695003.67618967977</v>
          </cell>
          <cell r="AK123">
            <v>231922.19271313126</v>
          </cell>
        </row>
        <row r="124">
          <cell r="B124">
            <v>2113</v>
          </cell>
          <cell r="C124">
            <v>0</v>
          </cell>
          <cell r="D124">
            <v>18326176.335385766</v>
          </cell>
          <cell r="E124">
            <v>28624081.153278586</v>
          </cell>
          <cell r="F124">
            <v>39616226.745411381</v>
          </cell>
          <cell r="G124">
            <v>51996853.886024088</v>
          </cell>
          <cell r="H124">
            <v>66291093.41717013</v>
          </cell>
          <cell r="I124">
            <v>140387945.28316647</v>
          </cell>
          <cell r="J124">
            <v>140387945.28316647</v>
          </cell>
          <cell r="K124">
            <v>140387945.28316647</v>
          </cell>
          <cell r="L124">
            <v>140387945.28316647</v>
          </cell>
          <cell r="M124">
            <v>20353902304.489918</v>
          </cell>
          <cell r="N124">
            <v>0</v>
          </cell>
          <cell r="O124">
            <v>3298711.7403694377</v>
          </cell>
          <cell r="P124">
            <v>5976166.9930215711</v>
          </cell>
          <cell r="Q124">
            <v>9383732.126582738</v>
          </cell>
          <cell r="R124">
            <v>13840757.897203311</v>
          </cell>
          <cell r="S124">
            <v>19415511.31435027</v>
          </cell>
          <cell r="T124">
            <v>49795220.579408765</v>
          </cell>
          <cell r="U124">
            <v>49795220.579408765</v>
          </cell>
          <cell r="V124">
            <v>49795220.579408765</v>
          </cell>
          <cell r="W124">
            <v>49795220.579408765</v>
          </cell>
          <cell r="X124">
            <v>0</v>
          </cell>
          <cell r="Y124">
            <v>0.18</v>
          </cell>
          <cell r="Z124">
            <v>0.26</v>
          </cell>
          <cell r="AA124">
            <v>0.31</v>
          </cell>
          <cell r="AB124">
            <v>0.36</v>
          </cell>
          <cell r="AC124">
            <v>0.39</v>
          </cell>
          <cell r="AD124">
            <v>0.41</v>
          </cell>
          <cell r="AE124">
            <v>0.45</v>
          </cell>
          <cell r="AF124">
            <v>0.45</v>
          </cell>
          <cell r="AG124">
            <v>0.45</v>
          </cell>
          <cell r="AH124">
            <v>0.45</v>
          </cell>
          <cell r="AI124">
            <v>1331340.1924463355</v>
          </cell>
          <cell r="AJ124">
            <v>729753.85999916377</v>
          </cell>
          <cell r="AK124">
            <v>243518.30234878784</v>
          </cell>
        </row>
        <row r="125">
          <cell r="B125">
            <v>2114</v>
          </cell>
          <cell r="C125">
            <v>0</v>
          </cell>
          <cell r="D125">
            <v>19242485.152155057</v>
          </cell>
          <cell r="E125">
            <v>30055285.210942514</v>
          </cell>
          <cell r="F125">
            <v>41597038.082681954</v>
          </cell>
          <cell r="G125">
            <v>54596696.580325298</v>
          </cell>
          <cell r="H125">
            <v>69605648.08802864</v>
          </cell>
          <cell r="I125">
            <v>147407342.54732481</v>
          </cell>
          <cell r="J125">
            <v>147407342.54732481</v>
          </cell>
          <cell r="K125">
            <v>147407342.54732481</v>
          </cell>
          <cell r="L125">
            <v>147407342.54732481</v>
          </cell>
          <cell r="M125">
            <v>21371597419.714413</v>
          </cell>
          <cell r="N125">
            <v>0</v>
          </cell>
          <cell r="O125">
            <v>3463647.3273879099</v>
          </cell>
          <cell r="P125">
            <v>6274975.3426726488</v>
          </cell>
          <cell r="Q125">
            <v>9852918.7329118755</v>
          </cell>
          <cell r="R125">
            <v>14532795.792063478</v>
          </cell>
          <cell r="S125">
            <v>20386286.880067781</v>
          </cell>
          <cell r="T125">
            <v>52284981.608379208</v>
          </cell>
          <cell r="U125">
            <v>52284981.608379208</v>
          </cell>
          <cell r="V125">
            <v>52284981.608379208</v>
          </cell>
          <cell r="W125">
            <v>52284981.608379208</v>
          </cell>
          <cell r="X125">
            <v>0</v>
          </cell>
          <cell r="Y125">
            <v>0.18</v>
          </cell>
          <cell r="Z125">
            <v>0.26</v>
          </cell>
          <cell r="AA125">
            <v>0.31</v>
          </cell>
          <cell r="AB125">
            <v>0.36</v>
          </cell>
          <cell r="AC125">
            <v>0.39</v>
          </cell>
          <cell r="AD125">
            <v>0.41</v>
          </cell>
          <cell r="AE125">
            <v>0.45</v>
          </cell>
          <cell r="AF125">
            <v>0.45</v>
          </cell>
          <cell r="AG125">
            <v>0.45</v>
          </cell>
          <cell r="AH125">
            <v>0.45</v>
          </cell>
          <cell r="AI125">
            <v>1397907.2020686523</v>
          </cell>
          <cell r="AJ125">
            <v>766241.55299912195</v>
          </cell>
          <cell r="AK125">
            <v>255694.21746622724</v>
          </cell>
        </row>
        <row r="126">
          <cell r="B126">
            <v>2115</v>
          </cell>
          <cell r="C126">
            <v>0</v>
          </cell>
          <cell r="D126">
            <v>20204609.409762811</v>
          </cell>
          <cell r="E126">
            <v>31558049.471489642</v>
          </cell>
          <cell r="F126">
            <v>43676889.986816056</v>
          </cell>
          <cell r="G126">
            <v>57326531.409341566</v>
          </cell>
          <cell r="H126">
            <v>73085930.492430076</v>
          </cell>
          <cell r="I126">
            <v>154777709.67469105</v>
          </cell>
          <cell r="J126">
            <v>154777709.67469105</v>
          </cell>
          <cell r="K126">
            <v>154777709.67469105</v>
          </cell>
          <cell r="L126">
            <v>154777709.67469105</v>
          </cell>
          <cell r="M126">
            <v>22440177290.700134</v>
          </cell>
          <cell r="N126">
            <v>0</v>
          </cell>
          <cell r="O126">
            <v>3636829.6937573059</v>
          </cell>
          <cell r="P126">
            <v>6588724.1098062824</v>
          </cell>
          <cell r="Q126">
            <v>10345564.669557471</v>
          </cell>
          <cell r="R126">
            <v>15259435.581666654</v>
          </cell>
          <cell r="S126">
            <v>21405601.224071175</v>
          </cell>
          <cell r="T126">
            <v>54899230.688798174</v>
          </cell>
          <cell r="U126">
            <v>54899230.688798174</v>
          </cell>
          <cell r="V126">
            <v>54899230.688798174</v>
          </cell>
          <cell r="W126">
            <v>54899230.688798174</v>
          </cell>
          <cell r="X126">
            <v>0</v>
          </cell>
          <cell r="Y126">
            <v>0.18</v>
          </cell>
          <cell r="Z126">
            <v>0.26</v>
          </cell>
          <cell r="AA126">
            <v>0.31</v>
          </cell>
          <cell r="AB126">
            <v>0.36</v>
          </cell>
          <cell r="AC126">
            <v>0.39</v>
          </cell>
          <cell r="AD126">
            <v>0.41</v>
          </cell>
          <cell r="AE126">
            <v>0.45</v>
          </cell>
          <cell r="AF126">
            <v>0.45</v>
          </cell>
          <cell r="AG126">
            <v>0.45</v>
          </cell>
          <cell r="AH126">
            <v>0.45</v>
          </cell>
          <cell r="AI126">
            <v>1467802.562172085</v>
          </cell>
          <cell r="AJ126">
            <v>804553.63064907806</v>
          </cell>
          <cell r="AK126">
            <v>268478.92833953863</v>
          </cell>
        </row>
        <row r="127">
          <cell r="B127">
            <v>2116</v>
          </cell>
          <cell r="C127">
            <v>0</v>
          </cell>
          <cell r="D127">
            <v>21214839.880250953</v>
          </cell>
          <cell r="E127">
            <v>33135951.945064124</v>
          </cell>
          <cell r="F127">
            <v>45860734.486156859</v>
          </cell>
          <cell r="G127">
            <v>60192857.979808643</v>
          </cell>
          <cell r="H127">
            <v>76740227.017051578</v>
          </cell>
          <cell r="I127">
            <v>162516595.1584256</v>
          </cell>
          <cell r="J127">
            <v>162516595.1584256</v>
          </cell>
          <cell r="K127">
            <v>162516595.1584256</v>
          </cell>
          <cell r="L127">
            <v>162516595.1584256</v>
          </cell>
          <cell r="M127">
            <v>23562186155.235142</v>
          </cell>
          <cell r="N127">
            <v>0</v>
          </cell>
          <cell r="O127">
            <v>3818671.1784451716</v>
          </cell>
          <cell r="P127">
            <v>6918160.3152965959</v>
          </cell>
          <cell r="Q127">
            <v>10862842.903035343</v>
          </cell>
          <cell r="R127">
            <v>16022407.360749986</v>
          </cell>
          <cell r="S127">
            <v>22475881.285274729</v>
          </cell>
          <cell r="T127">
            <v>57644192.223238073</v>
          </cell>
          <cell r="U127">
            <v>57644192.223238073</v>
          </cell>
          <cell r="V127">
            <v>57644192.223238073</v>
          </cell>
          <cell r="W127">
            <v>57644192.223238073</v>
          </cell>
          <cell r="X127">
            <v>0</v>
          </cell>
          <cell r="Y127">
            <v>0.18</v>
          </cell>
          <cell r="Z127">
            <v>0.26</v>
          </cell>
          <cell r="AA127">
            <v>0.31</v>
          </cell>
          <cell r="AB127">
            <v>0.36</v>
          </cell>
          <cell r="AC127">
            <v>0.39</v>
          </cell>
          <cell r="AD127">
            <v>0.41</v>
          </cell>
          <cell r="AE127">
            <v>0.45</v>
          </cell>
          <cell r="AF127">
            <v>0.45</v>
          </cell>
          <cell r="AG127">
            <v>0.45</v>
          </cell>
          <cell r="AH127">
            <v>0.45</v>
          </cell>
          <cell r="AI127">
            <v>1541192.6902806894</v>
          </cell>
          <cell r="AJ127">
            <v>844781.31218153203</v>
          </cell>
          <cell r="AK127">
            <v>281902.87475651555</v>
          </cell>
        </row>
        <row r="128">
          <cell r="B128">
            <v>2117</v>
          </cell>
          <cell r="C128">
            <v>0</v>
          </cell>
          <cell r="D128">
            <v>22275581.874263503</v>
          </cell>
          <cell r="E128">
            <v>34792749.542317331</v>
          </cell>
          <cell r="F128">
            <v>48153771.210464701</v>
          </cell>
          <cell r="G128">
            <v>63202500.878799081</v>
          </cell>
          <cell r="H128">
            <v>80577238.367904156</v>
          </cell>
          <cell r="I128">
            <v>170642424.91634688</v>
          </cell>
          <cell r="J128">
            <v>170642424.91634688</v>
          </cell>
          <cell r="K128">
            <v>170642424.91634688</v>
          </cell>
          <cell r="L128">
            <v>170642424.91634688</v>
          </cell>
          <cell r="M128">
            <v>24740295462.996899</v>
          </cell>
          <cell r="N128">
            <v>0</v>
          </cell>
          <cell r="O128">
            <v>4009604.7373674302</v>
          </cell>
          <cell r="P128">
            <v>7264068.3310614256</v>
          </cell>
          <cell r="Q128">
            <v>11405985.048187111</v>
          </cell>
          <cell r="R128">
            <v>16823527.728787489</v>
          </cell>
          <cell r="S128">
            <v>23599675.349538468</v>
          </cell>
          <cell r="T128">
            <v>60526401.834399983</v>
          </cell>
          <cell r="U128">
            <v>60526401.834399983</v>
          </cell>
          <cell r="V128">
            <v>60526401.834399983</v>
          </cell>
          <cell r="W128">
            <v>60526401.834399983</v>
          </cell>
          <cell r="X128">
            <v>0</v>
          </cell>
          <cell r="Y128">
            <v>0.18</v>
          </cell>
          <cell r="Z128">
            <v>0.26</v>
          </cell>
          <cell r="AA128">
            <v>0.31</v>
          </cell>
          <cell r="AB128">
            <v>0.36</v>
          </cell>
          <cell r="AC128">
            <v>0.39</v>
          </cell>
          <cell r="AD128">
            <v>0.41</v>
          </cell>
          <cell r="AE128">
            <v>0.45</v>
          </cell>
          <cell r="AF128">
            <v>0.45</v>
          </cell>
          <cell r="AG128">
            <v>0.45</v>
          </cell>
          <cell r="AH128">
            <v>0.45</v>
          </cell>
          <cell r="AI128">
            <v>1618252.3247947239</v>
          </cell>
          <cell r="AJ128">
            <v>887020.37779060868</v>
          </cell>
          <cell r="AK128">
            <v>295998.01849434135</v>
          </cell>
        </row>
        <row r="129">
          <cell r="B129">
            <v>2118</v>
          </cell>
          <cell r="C129">
            <v>0</v>
          </cell>
          <cell r="D129">
            <v>23389360.967976678</v>
          </cell>
          <cell r="E129">
            <v>36532387.0194332</v>
          </cell>
          <cell r="F129">
            <v>50561459.770987935</v>
          </cell>
          <cell r="G129">
            <v>66362625.922739036</v>
          </cell>
          <cell r="H129">
            <v>84606100.286299363</v>
          </cell>
          <cell r="I129">
            <v>179174546.16216424</v>
          </cell>
          <cell r="J129">
            <v>179174546.16216424</v>
          </cell>
          <cell r="K129">
            <v>179174546.16216424</v>
          </cell>
          <cell r="L129">
            <v>179174546.16216424</v>
          </cell>
          <cell r="M129">
            <v>25977310236.146744</v>
          </cell>
          <cell r="N129">
            <v>0</v>
          </cell>
          <cell r="O129">
            <v>4210084.974235802</v>
          </cell>
          <cell r="P129">
            <v>7627271.7476144973</v>
          </cell>
          <cell r="Q129">
            <v>11976284.300596464</v>
          </cell>
          <cell r="R129">
            <v>17664704.115226861</v>
          </cell>
          <cell r="S129">
            <v>24779659.117015388</v>
          </cell>
          <cell r="T129">
            <v>63552721.926119983</v>
          </cell>
          <cell r="U129">
            <v>63552721.926119983</v>
          </cell>
          <cell r="V129">
            <v>63552721.926119983</v>
          </cell>
          <cell r="W129">
            <v>63552721.926119983</v>
          </cell>
          <cell r="X129">
            <v>0</v>
          </cell>
          <cell r="Y129">
            <v>0.18</v>
          </cell>
          <cell r="Z129">
            <v>0.26</v>
          </cell>
          <cell r="AA129">
            <v>0.31</v>
          </cell>
          <cell r="AB129">
            <v>0.36</v>
          </cell>
          <cell r="AC129">
            <v>0.39</v>
          </cell>
          <cell r="AD129">
            <v>0.41</v>
          </cell>
          <cell r="AE129">
            <v>0.45</v>
          </cell>
          <cell r="AF129">
            <v>0.45</v>
          </cell>
          <cell r="AG129">
            <v>0.45</v>
          </cell>
          <cell r="AH129">
            <v>0.45</v>
          </cell>
          <cell r="AI129">
            <v>1699164.9410344602</v>
          </cell>
          <cell r="AJ129">
            <v>931371.39668013912</v>
          </cell>
          <cell r="AK129">
            <v>310797.91941905842</v>
          </cell>
        </row>
        <row r="130">
          <cell r="B130">
            <v>2119</v>
          </cell>
          <cell r="C130">
            <v>0</v>
          </cell>
          <cell r="D130">
            <v>24558829.016375512</v>
          </cell>
          <cell r="E130">
            <v>38359006.370404862</v>
          </cell>
          <cell r="F130">
            <v>53089532.759537332</v>
          </cell>
          <cell r="G130">
            <v>69680757.218875989</v>
          </cell>
          <cell r="H130">
            <v>88836405.300614342</v>
          </cell>
          <cell r="I130">
            <v>188133273.47027245</v>
          </cell>
          <cell r="J130">
            <v>188133273.47027245</v>
          </cell>
          <cell r="K130">
            <v>188133273.47027245</v>
          </cell>
          <cell r="L130">
            <v>188133273.47027245</v>
          </cell>
          <cell r="M130">
            <v>27276175747.954082</v>
          </cell>
          <cell r="N130">
            <v>0</v>
          </cell>
          <cell r="O130">
            <v>4420589.2229475919</v>
          </cell>
          <cell r="P130">
            <v>8008635.3349952232</v>
          </cell>
          <cell r="Q130">
            <v>12575098.515626289</v>
          </cell>
          <cell r="R130">
            <v>18547939.320988204</v>
          </cell>
          <cell r="S130">
            <v>26018642.072866164</v>
          </cell>
          <cell r="T130">
            <v>66730358.022425987</v>
          </cell>
          <cell r="U130">
            <v>66730358.022425987</v>
          </cell>
          <cell r="V130">
            <v>66730358.022425987</v>
          </cell>
          <cell r="W130">
            <v>66730358.022425987</v>
          </cell>
          <cell r="X130">
            <v>0</v>
          </cell>
          <cell r="Y130">
            <v>0.18</v>
          </cell>
          <cell r="Z130">
            <v>0.26</v>
          </cell>
          <cell r="AA130">
            <v>0.31</v>
          </cell>
          <cell r="AB130">
            <v>0.36</v>
          </cell>
          <cell r="AC130">
            <v>0.39</v>
          </cell>
          <cell r="AD130">
            <v>0.41</v>
          </cell>
          <cell r="AE130">
            <v>0.45</v>
          </cell>
          <cell r="AF130">
            <v>0.45</v>
          </cell>
          <cell r="AG130">
            <v>0.45</v>
          </cell>
          <cell r="AH130">
            <v>0.45</v>
          </cell>
          <cell r="AI130">
            <v>1784123.1880861833</v>
          </cell>
          <cell r="AJ130">
            <v>977939.96651414607</v>
          </cell>
          <cell r="AK130">
            <v>326337.81539001135</v>
          </cell>
        </row>
        <row r="131">
          <cell r="B131">
            <v>2120</v>
          </cell>
          <cell r="C131">
            <v>0</v>
          </cell>
          <cell r="D131">
            <v>25786770.467194289</v>
          </cell>
          <cell r="E131">
            <v>40276956.68892511</v>
          </cell>
          <cell r="F131">
            <v>55744009.397514202</v>
          </cell>
          <cell r="G131">
            <v>73164795.079819798</v>
          </cell>
          <cell r="H131">
            <v>93278225.565645069</v>
          </cell>
          <cell r="I131">
            <v>197539937.14378607</v>
          </cell>
          <cell r="J131">
            <v>197539937.14378607</v>
          </cell>
          <cell r="K131">
            <v>197539937.14378607</v>
          </cell>
          <cell r="L131">
            <v>197539937.14378607</v>
          </cell>
          <cell r="M131">
            <v>28639984535.351788</v>
          </cell>
          <cell r="N131">
            <v>0</v>
          </cell>
          <cell r="O131">
            <v>4641618.684094972</v>
          </cell>
          <cell r="P131">
            <v>8409067.1017449852</v>
          </cell>
          <cell r="Q131">
            <v>13203853.441407602</v>
          </cell>
          <cell r="R131">
            <v>19475336.287037618</v>
          </cell>
          <cell r="S131">
            <v>27319574.176509473</v>
          </cell>
          <cell r="T131">
            <v>70066875.923547283</v>
          </cell>
          <cell r="U131">
            <v>70066875.923547283</v>
          </cell>
          <cell r="V131">
            <v>70066875.923547283</v>
          </cell>
          <cell r="W131">
            <v>70066875.923547283</v>
          </cell>
          <cell r="X131">
            <v>0</v>
          </cell>
          <cell r="Y131">
            <v>0.18</v>
          </cell>
          <cell r="Z131">
            <v>0.26</v>
          </cell>
          <cell r="AA131">
            <v>0.31</v>
          </cell>
          <cell r="AB131">
            <v>0.36</v>
          </cell>
          <cell r="AC131">
            <v>0.39</v>
          </cell>
          <cell r="AD131">
            <v>0.41</v>
          </cell>
          <cell r="AE131">
            <v>0.45</v>
          </cell>
          <cell r="AF131">
            <v>0.45</v>
          </cell>
          <cell r="AG131">
            <v>0.45</v>
          </cell>
          <cell r="AH131">
            <v>0.45</v>
          </cell>
          <cell r="AI131">
            <v>1873329.3474904925</v>
          </cell>
          <cell r="AJ131">
            <v>1026836.9648398535</v>
          </cell>
          <cell r="AK131">
            <v>342654.70615951193</v>
          </cell>
        </row>
        <row r="132">
          <cell r="B132">
            <v>2121</v>
          </cell>
          <cell r="C132">
            <v>0</v>
          </cell>
          <cell r="D132">
            <v>27076108.990554005</v>
          </cell>
          <cell r="E132">
            <v>42290804.523371369</v>
          </cell>
          <cell r="F132">
            <v>58531209.867389917</v>
          </cell>
          <cell r="G132">
            <v>76823034.833810791</v>
          </cell>
          <cell r="H132">
            <v>97942136.843927324</v>
          </cell>
          <cell r="I132">
            <v>207416934.00097537</v>
          </cell>
          <cell r="J132">
            <v>207416934.00097537</v>
          </cell>
          <cell r="K132">
            <v>207416934.00097537</v>
          </cell>
          <cell r="L132">
            <v>207416934.00097537</v>
          </cell>
          <cell r="M132">
            <v>30071983762.119377</v>
          </cell>
          <cell r="N132">
            <v>0</v>
          </cell>
          <cell r="O132">
            <v>4873699.6182997208</v>
          </cell>
          <cell r="P132">
            <v>8829520.4568322357</v>
          </cell>
          <cell r="Q132">
            <v>13864046.113477986</v>
          </cell>
          <cell r="R132">
            <v>20449103.101389501</v>
          </cell>
          <cell r="S132">
            <v>28685552.88533495</v>
          </cell>
          <cell r="T132">
            <v>73570219.71972464</v>
          </cell>
          <cell r="U132">
            <v>73570219.71972464</v>
          </cell>
          <cell r="V132">
            <v>73570219.71972464</v>
          </cell>
          <cell r="W132">
            <v>73570219.71972464</v>
          </cell>
          <cell r="X132">
            <v>0</v>
          </cell>
          <cell r="Y132">
            <v>0.18</v>
          </cell>
          <cell r="Z132">
            <v>0.26</v>
          </cell>
          <cell r="AA132">
            <v>0.31</v>
          </cell>
          <cell r="AB132">
            <v>0.36</v>
          </cell>
          <cell r="AC132">
            <v>0.39</v>
          </cell>
          <cell r="AD132">
            <v>0.41</v>
          </cell>
          <cell r="AE132">
            <v>0.45</v>
          </cell>
          <cell r="AF132">
            <v>0.45</v>
          </cell>
          <cell r="AG132">
            <v>0.45</v>
          </cell>
          <cell r="AH132">
            <v>0.45</v>
          </cell>
          <cell r="AI132">
            <v>1966995.8148650173</v>
          </cell>
          <cell r="AJ132">
            <v>1078178.8130818461</v>
          </cell>
          <cell r="AK132">
            <v>359787.44146748754</v>
          </cell>
        </row>
        <row r="133">
          <cell r="B133">
            <v>2122</v>
          </cell>
          <cell r="C133">
            <v>0</v>
          </cell>
          <cell r="D133">
            <v>28429914.440081708</v>
          </cell>
          <cell r="E133">
            <v>44405344.749539942</v>
          </cell>
          <cell r="F133">
            <v>61457770.360759415</v>
          </cell>
          <cell r="G133">
            <v>80664186.575501338</v>
          </cell>
          <cell r="H133">
            <v>102839243.6861237</v>
          </cell>
          <cell r="I133">
            <v>217787780.70102414</v>
          </cell>
          <cell r="J133">
            <v>217787780.70102414</v>
          </cell>
          <cell r="K133">
            <v>217787780.70102414</v>
          </cell>
          <cell r="L133">
            <v>217787780.70102414</v>
          </cell>
          <cell r="M133">
            <v>31575582950.225346</v>
          </cell>
          <cell r="N133">
            <v>0</v>
          </cell>
          <cell r="O133">
            <v>5117384.5992147075</v>
          </cell>
          <cell r="P133">
            <v>9270996.4796738476</v>
          </cell>
          <cell r="Q133">
            <v>14557248.419151884</v>
          </cell>
          <cell r="R133">
            <v>21471558.256458975</v>
          </cell>
          <cell r="S133">
            <v>30119830.529601697</v>
          </cell>
          <cell r="T133">
            <v>77248730.705710873</v>
          </cell>
          <cell r="U133">
            <v>77248730.705710873</v>
          </cell>
          <cell r="V133">
            <v>77248730.705710873</v>
          </cell>
          <cell r="W133">
            <v>77248730.705710873</v>
          </cell>
          <cell r="X133">
            <v>0</v>
          </cell>
          <cell r="Y133">
            <v>0.18</v>
          </cell>
          <cell r="Z133">
            <v>0.26</v>
          </cell>
          <cell r="AA133">
            <v>0.31</v>
          </cell>
          <cell r="AB133">
            <v>0.36</v>
          </cell>
          <cell r="AC133">
            <v>0.39</v>
          </cell>
          <cell r="AD133">
            <v>0.41</v>
          </cell>
          <cell r="AE133">
            <v>0.45</v>
          </cell>
          <cell r="AF133">
            <v>0.45</v>
          </cell>
          <cell r="AG133">
            <v>0.45</v>
          </cell>
          <cell r="AH133">
            <v>0.45</v>
          </cell>
          <cell r="AI133">
            <v>2065345.6056082682</v>
          </cell>
          <cell r="AJ133">
            <v>1132087.7537359386</v>
          </cell>
          <cell r="AK133">
            <v>377776.81354086194</v>
          </cell>
        </row>
        <row r="134">
          <cell r="B134">
            <v>2123</v>
          </cell>
          <cell r="C134">
            <v>0</v>
          </cell>
          <cell r="D134">
            <v>29851410.162085794</v>
          </cell>
          <cell r="E134">
            <v>46625611.987016939</v>
          </cell>
          <cell r="F134">
            <v>64530658.87879739</v>
          </cell>
          <cell r="G134">
            <v>84697395.904276401</v>
          </cell>
          <cell r="H134">
            <v>107981205.87042989</v>
          </cell>
          <cell r="I134">
            <v>228677169.73607537</v>
          </cell>
          <cell r="J134">
            <v>228677169.73607537</v>
          </cell>
          <cell r="K134">
            <v>228677169.73607537</v>
          </cell>
          <cell r="L134">
            <v>228677169.73607537</v>
          </cell>
          <cell r="M134">
            <v>33154362097.736614</v>
          </cell>
          <cell r="N134">
            <v>0</v>
          </cell>
          <cell r="O134">
            <v>5373253.8291754425</v>
          </cell>
          <cell r="P134">
            <v>9734546.3036575392</v>
          </cell>
          <cell r="Q134">
            <v>15285110.840109479</v>
          </cell>
          <cell r="R134">
            <v>22545136.169281922</v>
          </cell>
          <cell r="S134">
            <v>31625822.056081783</v>
          </cell>
          <cell r="T134">
            <v>81111167.240996435</v>
          </cell>
          <cell r="U134">
            <v>81111167.240996435</v>
          </cell>
          <cell r="V134">
            <v>81111167.240996435</v>
          </cell>
          <cell r="W134">
            <v>81111167.240996435</v>
          </cell>
          <cell r="X134">
            <v>0</v>
          </cell>
          <cell r="Y134">
            <v>0.18</v>
          </cell>
          <cell r="Z134">
            <v>0.26</v>
          </cell>
          <cell r="AA134">
            <v>0.31</v>
          </cell>
          <cell r="AB134">
            <v>0.36</v>
          </cell>
          <cell r="AC134">
            <v>0.39</v>
          </cell>
          <cell r="AD134">
            <v>0.41</v>
          </cell>
          <cell r="AE134">
            <v>0.45</v>
          </cell>
          <cell r="AF134">
            <v>0.45</v>
          </cell>
          <cell r="AG134">
            <v>0.45</v>
          </cell>
          <cell r="AH134">
            <v>0.45</v>
          </cell>
          <cell r="AI134">
            <v>2168612.8858886817</v>
          </cell>
          <cell r="AJ134">
            <v>1188692.1414227355</v>
          </cell>
          <cell r="AK134">
            <v>396665.65421790507</v>
          </cell>
        </row>
        <row r="135">
          <cell r="B135">
            <v>2124</v>
          </cell>
          <cell r="C135">
            <v>0</v>
          </cell>
          <cell r="D135">
            <v>31343980.670190085</v>
          </cell>
          <cell r="E135">
            <v>48956892.586367786</v>
          </cell>
          <cell r="F135">
            <v>67757191.822737262</v>
          </cell>
          <cell r="G135">
            <v>88932265.699490219</v>
          </cell>
          <cell r="H135">
            <v>113380266.16395138</v>
          </cell>
          <cell r="I135">
            <v>240111028.22287914</v>
          </cell>
          <cell r="J135">
            <v>240111028.22287914</v>
          </cell>
          <cell r="K135">
            <v>240111028.22287914</v>
          </cell>
          <cell r="L135">
            <v>240111028.22287914</v>
          </cell>
          <cell r="M135">
            <v>34812080202.623444</v>
          </cell>
          <cell r="N135">
            <v>0</v>
          </cell>
          <cell r="O135">
            <v>5641916.5206342153</v>
          </cell>
          <cell r="P135">
            <v>10221273.618840419</v>
          </cell>
          <cell r="Q135">
            <v>16049366.382114956</v>
          </cell>
          <cell r="R135">
            <v>23672392.977746021</v>
          </cell>
          <cell r="S135">
            <v>33207113.158885874</v>
          </cell>
          <cell r="T135">
            <v>85166725.603046253</v>
          </cell>
          <cell r="U135">
            <v>85166725.603046253</v>
          </cell>
          <cell r="V135">
            <v>85166725.603046253</v>
          </cell>
          <cell r="W135">
            <v>85166725.603046253</v>
          </cell>
          <cell r="X135">
            <v>0</v>
          </cell>
          <cell r="Y135">
            <v>0.18</v>
          </cell>
          <cell r="Z135">
            <v>0.26</v>
          </cell>
          <cell r="AA135">
            <v>0.31</v>
          </cell>
          <cell r="AB135">
            <v>0.36</v>
          </cell>
          <cell r="AC135">
            <v>0.39</v>
          </cell>
          <cell r="AD135">
            <v>0.41</v>
          </cell>
          <cell r="AE135">
            <v>0.45</v>
          </cell>
          <cell r="AF135">
            <v>0.45</v>
          </cell>
          <cell r="AG135">
            <v>0.45</v>
          </cell>
          <cell r="AH135">
            <v>0.45</v>
          </cell>
          <cell r="AI135">
            <v>2277043.530183116</v>
          </cell>
          <cell r="AJ135">
            <v>1248126.7484938724</v>
          </cell>
          <cell r="AK135">
            <v>416498.93692880037</v>
          </cell>
        </row>
        <row r="136">
          <cell r="B136">
            <v>2125</v>
          </cell>
          <cell r="C136">
            <v>0</v>
          </cell>
          <cell r="D136">
            <v>32911179.703699589</v>
          </cell>
          <cell r="E136">
            <v>51404737.21568618</v>
          </cell>
          <cell r="F136">
            <v>71145051.413874134</v>
          </cell>
          <cell r="G136">
            <v>93378878.984464735</v>
          </cell>
          <cell r="H136">
            <v>119049279.47214895</v>
          </cell>
          <cell r="I136">
            <v>252116579.6340231</v>
          </cell>
          <cell r="J136">
            <v>252116579.6340231</v>
          </cell>
          <cell r="K136">
            <v>252116579.6340231</v>
          </cell>
          <cell r="L136">
            <v>252116579.6340231</v>
          </cell>
          <cell r="M136">
            <v>36552684212.754616</v>
          </cell>
          <cell r="N136">
            <v>0</v>
          </cell>
          <cell r="O136">
            <v>5924012.3466659253</v>
          </cell>
          <cell r="P136">
            <v>10732337.29978244</v>
          </cell>
          <cell r="Q136">
            <v>16851834.701220706</v>
          </cell>
          <cell r="R136">
            <v>24856012.626633324</v>
          </cell>
          <cell r="S136">
            <v>34867468.816830173</v>
          </cell>
          <cell r="T136">
            <v>89425061.883198559</v>
          </cell>
          <cell r="U136">
            <v>89425061.883198559</v>
          </cell>
          <cell r="V136">
            <v>89425061.883198559</v>
          </cell>
          <cell r="W136">
            <v>89425061.883198559</v>
          </cell>
          <cell r="X136">
            <v>0</v>
          </cell>
          <cell r="Y136">
            <v>0.18</v>
          </cell>
          <cell r="Z136">
            <v>0.26</v>
          </cell>
          <cell r="AA136">
            <v>0.31</v>
          </cell>
          <cell r="AB136">
            <v>0.36</v>
          </cell>
          <cell r="AC136">
            <v>0.39</v>
          </cell>
          <cell r="AD136">
            <v>0.41</v>
          </cell>
          <cell r="AE136">
            <v>0.45</v>
          </cell>
          <cell r="AF136">
            <v>0.45</v>
          </cell>
          <cell r="AG136">
            <v>0.45</v>
          </cell>
          <cell r="AH136">
            <v>0.45</v>
          </cell>
          <cell r="AI136">
            <v>2390895.7066922719</v>
          </cell>
          <cell r="AJ136">
            <v>1310533.085918566</v>
          </cell>
          <cell r="AK136">
            <v>437323.88377524039</v>
          </cell>
        </row>
        <row r="137">
          <cell r="B137">
            <v>2126</v>
          </cell>
          <cell r="C137">
            <v>0</v>
          </cell>
          <cell r="D137">
            <v>34556738.688884571</v>
          </cell>
          <cell r="E137">
            <v>53974974.076470494</v>
          </cell>
          <cell r="F137">
            <v>74702303.984567851</v>
          </cell>
          <cell r="G137">
            <v>98047822.93368797</v>
          </cell>
          <cell r="H137">
            <v>125001743.44575641</v>
          </cell>
          <cell r="I137">
            <v>264722408.61572427</v>
          </cell>
          <cell r="J137">
            <v>264722408.61572427</v>
          </cell>
          <cell r="K137">
            <v>264722408.61572427</v>
          </cell>
          <cell r="L137">
            <v>264722408.61572427</v>
          </cell>
          <cell r="M137">
            <v>38380318423.392349</v>
          </cell>
          <cell r="N137">
            <v>0</v>
          </cell>
          <cell r="O137">
            <v>6220212.963999223</v>
          </cell>
          <cell r="P137">
            <v>11268954.164771564</v>
          </cell>
          <cell r="Q137">
            <v>17694426.436281744</v>
          </cell>
          <cell r="R137">
            <v>26098813.257964987</v>
          </cell>
          <cell r="S137">
            <v>36610842.257671677</v>
          </cell>
          <cell r="T137">
            <v>93896314.97735849</v>
          </cell>
          <cell r="U137">
            <v>93896314.97735849</v>
          </cell>
          <cell r="V137">
            <v>93896314.97735849</v>
          </cell>
          <cell r="W137">
            <v>93896314.97735849</v>
          </cell>
          <cell r="X137">
            <v>0</v>
          </cell>
          <cell r="Y137">
            <v>0.18</v>
          </cell>
          <cell r="Z137">
            <v>0.26</v>
          </cell>
          <cell r="AA137">
            <v>0.31</v>
          </cell>
          <cell r="AB137">
            <v>0.36</v>
          </cell>
          <cell r="AC137">
            <v>0.39</v>
          </cell>
          <cell r="AD137">
            <v>0.41</v>
          </cell>
          <cell r="AE137">
            <v>0.45</v>
          </cell>
          <cell r="AF137">
            <v>0.45</v>
          </cell>
          <cell r="AG137">
            <v>0.45</v>
          </cell>
          <cell r="AH137">
            <v>0.45</v>
          </cell>
          <cell r="AI137">
            <v>2510440.4920268855</v>
          </cell>
          <cell r="AJ137">
            <v>1376059.7402144943</v>
          </cell>
          <cell r="AK137">
            <v>459190.07796400244</v>
          </cell>
        </row>
        <row r="138">
          <cell r="B138">
            <v>2127</v>
          </cell>
          <cell r="C138">
            <v>0</v>
          </cell>
          <cell r="D138">
            <v>36284575.623328805</v>
          </cell>
          <cell r="E138">
            <v>56673722.780294023</v>
          </cell>
          <cell r="F138">
            <v>78437419.183796242</v>
          </cell>
          <cell r="G138">
            <v>102950214.08037238</v>
          </cell>
          <cell r="H138">
            <v>131251830.61804423</v>
          </cell>
          <cell r="I138">
            <v>277958529.04651052</v>
          </cell>
          <cell r="J138">
            <v>277958529.04651052</v>
          </cell>
          <cell r="K138">
            <v>277958529.04651052</v>
          </cell>
          <cell r="L138">
            <v>277958529.04651052</v>
          </cell>
          <cell r="M138">
            <v>40299334344.561966</v>
          </cell>
          <cell r="N138">
            <v>0</v>
          </cell>
          <cell r="O138">
            <v>6531223.6121991845</v>
          </cell>
          <cell r="P138">
            <v>11832401.873010142</v>
          </cell>
          <cell r="Q138">
            <v>18579147.758095831</v>
          </cell>
          <cell r="R138">
            <v>27403753.920863241</v>
          </cell>
          <cell r="S138">
            <v>38441384.370555267</v>
          </cell>
          <cell r="T138">
            <v>98591130.726226449</v>
          </cell>
          <cell r="U138">
            <v>98591130.726226449</v>
          </cell>
          <cell r="V138">
            <v>98591130.726226449</v>
          </cell>
          <cell r="W138">
            <v>98591130.726226449</v>
          </cell>
          <cell r="X138">
            <v>0</v>
          </cell>
          <cell r="Y138">
            <v>0.18</v>
          </cell>
          <cell r="Z138">
            <v>0.26</v>
          </cell>
          <cell r="AA138">
            <v>0.31</v>
          </cell>
          <cell r="AB138">
            <v>0.36</v>
          </cell>
          <cell r="AC138">
            <v>0.39</v>
          </cell>
          <cell r="AD138">
            <v>0.41</v>
          </cell>
          <cell r="AE138">
            <v>0.45</v>
          </cell>
          <cell r="AF138">
            <v>0.45</v>
          </cell>
          <cell r="AG138">
            <v>0.45</v>
          </cell>
          <cell r="AH138">
            <v>0.45</v>
          </cell>
          <cell r="AI138">
            <v>2635962.51662823</v>
          </cell>
          <cell r="AJ138">
            <v>1444862.7272252191</v>
          </cell>
          <cell r="AK138">
            <v>482149.58186220261</v>
          </cell>
        </row>
        <row r="139">
          <cell r="B139">
            <v>2128</v>
          </cell>
          <cell r="C139">
            <v>0</v>
          </cell>
          <cell r="D139">
            <v>38098804.404495247</v>
          </cell>
          <cell r="E139">
            <v>59507408.919308729</v>
          </cell>
          <cell r="F139">
            <v>82359290.142986059</v>
          </cell>
          <cell r="G139">
            <v>108097724.784391</v>
          </cell>
          <cell r="H139">
            <v>137814422.14894643</v>
          </cell>
          <cell r="I139">
            <v>291856455.49883604</v>
          </cell>
          <cell r="J139">
            <v>291856455.49883604</v>
          </cell>
          <cell r="K139">
            <v>291856455.49883604</v>
          </cell>
          <cell r="L139">
            <v>291856455.49883604</v>
          </cell>
          <cell r="M139">
            <v>42314301061.79007</v>
          </cell>
          <cell r="N139">
            <v>0</v>
          </cell>
          <cell r="O139">
            <v>6857784.7928091446</v>
          </cell>
          <cell r="P139">
            <v>12424021.96666065</v>
          </cell>
          <cell r="Q139">
            <v>19508105.146000624</v>
          </cell>
          <cell r="R139">
            <v>28773941.616906404</v>
          </cell>
          <cell r="S139">
            <v>40363453.589083023</v>
          </cell>
          <cell r="T139">
            <v>103520687.26253775</v>
          </cell>
          <cell r="U139">
            <v>103520687.26253775</v>
          </cell>
          <cell r="V139">
            <v>103520687.26253775</v>
          </cell>
          <cell r="W139">
            <v>103520687.26253775</v>
          </cell>
          <cell r="X139">
            <v>0</v>
          </cell>
          <cell r="Y139">
            <v>0.18</v>
          </cell>
          <cell r="Z139">
            <v>0.26</v>
          </cell>
          <cell r="AA139">
            <v>0.31</v>
          </cell>
          <cell r="AB139">
            <v>0.36</v>
          </cell>
          <cell r="AC139">
            <v>0.39</v>
          </cell>
          <cell r="AD139">
            <v>0.41</v>
          </cell>
          <cell r="AE139">
            <v>0.45</v>
          </cell>
          <cell r="AF139">
            <v>0.45</v>
          </cell>
          <cell r="AG139">
            <v>0.45</v>
          </cell>
          <cell r="AH139">
            <v>0.45</v>
          </cell>
          <cell r="AI139">
            <v>2767760.6424596417</v>
          </cell>
          <cell r="AJ139">
            <v>1517105.8635864803</v>
          </cell>
          <cell r="AK139">
            <v>506257.06095531274</v>
          </cell>
        </row>
        <row r="140">
          <cell r="B140">
            <v>2129</v>
          </cell>
          <cell r="C140">
            <v>0</v>
          </cell>
          <cell r="D140">
            <v>40003744.624720007</v>
          </cell>
          <cell r="E140">
            <v>62482779.365274169</v>
          </cell>
          <cell r="F140">
            <v>86477254.650135368</v>
          </cell>
          <cell r="G140">
            <v>113502611.02361056</v>
          </cell>
          <cell r="H140">
            <v>144705143.25639376</v>
          </cell>
          <cell r="I140">
            <v>306449278.27377784</v>
          </cell>
          <cell r="J140">
            <v>306449278.27377784</v>
          </cell>
          <cell r="K140">
            <v>306449278.27377784</v>
          </cell>
          <cell r="L140">
            <v>306449278.27377784</v>
          </cell>
          <cell r="M140">
            <v>44430016114.879578</v>
          </cell>
          <cell r="N140">
            <v>0</v>
          </cell>
          <cell r="O140">
            <v>7200674.0324496012</v>
          </cell>
          <cell r="P140">
            <v>13045223.064993683</v>
          </cell>
          <cell r="Q140">
            <v>20483510.403300654</v>
          </cell>
          <cell r="R140">
            <v>30212638.697751723</v>
          </cell>
          <cell r="S140">
            <v>42381626.268537171</v>
          </cell>
          <cell r="T140">
            <v>108696721.62566465</v>
          </cell>
          <cell r="U140">
            <v>108696721.62566465</v>
          </cell>
          <cell r="V140">
            <v>108696721.62566465</v>
          </cell>
          <cell r="W140">
            <v>108696721.62566465</v>
          </cell>
          <cell r="X140">
            <v>0</v>
          </cell>
          <cell r="Y140">
            <v>0.18</v>
          </cell>
          <cell r="Z140">
            <v>0.26</v>
          </cell>
          <cell r="AA140">
            <v>0.31</v>
          </cell>
          <cell r="AB140">
            <v>0.36</v>
          </cell>
          <cell r="AC140">
            <v>0.39</v>
          </cell>
          <cell r="AD140">
            <v>0.41</v>
          </cell>
          <cell r="AE140">
            <v>0.45</v>
          </cell>
          <cell r="AF140">
            <v>0.45</v>
          </cell>
          <cell r="AG140">
            <v>0.45</v>
          </cell>
          <cell r="AH140">
            <v>0.45</v>
          </cell>
          <cell r="AI140">
            <v>2906148.6745826239</v>
          </cell>
          <cell r="AJ140">
            <v>1592961.1567658044</v>
          </cell>
          <cell r="AK140">
            <v>531569.91400307836</v>
          </cell>
        </row>
        <row r="141">
          <cell r="B141">
            <v>2130</v>
          </cell>
          <cell r="C141">
            <v>0</v>
          </cell>
          <cell r="D141">
            <v>42003931.855956011</v>
          </cell>
          <cell r="E141">
            <v>65606918.333537877</v>
          </cell>
          <cell r="F141">
            <v>90801117.382642135</v>
          </cell>
          <cell r="G141">
            <v>119177741.57479109</v>
          </cell>
          <cell r="H141">
            <v>151940400.41921344</v>
          </cell>
          <cell r="I141">
            <v>321771742.18746674</v>
          </cell>
          <cell r="J141">
            <v>321771742.18746674</v>
          </cell>
          <cell r="K141">
            <v>321771742.18746674</v>
          </cell>
          <cell r="L141">
            <v>321771742.18746674</v>
          </cell>
          <cell r="M141">
            <v>46651516920.623558</v>
          </cell>
          <cell r="N141">
            <v>0</v>
          </cell>
          <cell r="O141">
            <v>7560707.7340720817</v>
          </cell>
          <cell r="P141">
            <v>13697484.218243368</v>
          </cell>
          <cell r="Q141">
            <v>21507685.923465688</v>
          </cell>
          <cell r="R141">
            <v>31723270.632639311</v>
          </cell>
          <cell r="S141">
            <v>44500707.581964031</v>
          </cell>
          <cell r="T141">
            <v>114131557.70694788</v>
          </cell>
          <cell r="U141">
            <v>114131557.70694788</v>
          </cell>
          <cell r="V141">
            <v>114131557.70694788</v>
          </cell>
          <cell r="W141">
            <v>114131557.70694788</v>
          </cell>
          <cell r="X141">
            <v>0</v>
          </cell>
          <cell r="Y141">
            <v>0.18</v>
          </cell>
          <cell r="Z141">
            <v>0.26</v>
          </cell>
          <cell r="AA141">
            <v>0.31</v>
          </cell>
          <cell r="AB141">
            <v>0.36</v>
          </cell>
          <cell r="AC141">
            <v>0.39</v>
          </cell>
          <cell r="AD141">
            <v>0.41</v>
          </cell>
          <cell r="AE141">
            <v>0.45</v>
          </cell>
          <cell r="AF141">
            <v>0.45</v>
          </cell>
          <cell r="AG141">
            <v>0.45</v>
          </cell>
          <cell r="AH141">
            <v>0.45</v>
          </cell>
          <cell r="AI141">
            <v>3051456.1083117551</v>
          </cell>
          <cell r="AJ141">
            <v>1672609.2146040946</v>
          </cell>
          <cell r="AK141">
            <v>558148.40970323235</v>
          </cell>
        </row>
        <row r="142">
          <cell r="B142">
            <v>2131</v>
          </cell>
          <cell r="C142">
            <v>0</v>
          </cell>
          <cell r="D142">
            <v>44104128.448753811</v>
          </cell>
          <cell r="E142">
            <v>68887264.25021477</v>
          </cell>
          <cell r="F142">
            <v>95341173.251774251</v>
          </cell>
          <cell r="G142">
            <v>125136628.65353064</v>
          </cell>
          <cell r="H142">
            <v>159537420.44017413</v>
          </cell>
          <cell r="I142">
            <v>337860329.29684007</v>
          </cell>
          <cell r="J142">
            <v>337860329.29684007</v>
          </cell>
          <cell r="K142">
            <v>337860329.29684007</v>
          </cell>
          <cell r="L142">
            <v>337860329.29684007</v>
          </cell>
          <cell r="M142">
            <v>48984092766.654739</v>
          </cell>
          <cell r="N142">
            <v>0</v>
          </cell>
          <cell r="O142">
            <v>7938743.1207756856</v>
          </cell>
          <cell r="P142">
            <v>14382358.429155536</v>
          </cell>
          <cell r="Q142">
            <v>22583070.219638973</v>
          </cell>
          <cell r="R142">
            <v>33309434.164271273</v>
          </cell>
          <cell r="S142">
            <v>46725742.961062238</v>
          </cell>
          <cell r="T142">
            <v>119838135.59229527</v>
          </cell>
          <cell r="U142">
            <v>119838135.59229527</v>
          </cell>
          <cell r="V142">
            <v>119838135.59229527</v>
          </cell>
          <cell r="W142">
            <v>119838135.59229527</v>
          </cell>
          <cell r="X142">
            <v>0</v>
          </cell>
          <cell r="Y142">
            <v>0.18</v>
          </cell>
          <cell r="Z142">
            <v>0.26</v>
          </cell>
          <cell r="AA142">
            <v>0.31</v>
          </cell>
          <cell r="AB142">
            <v>0.36</v>
          </cell>
          <cell r="AC142">
            <v>0.39</v>
          </cell>
          <cell r="AD142">
            <v>0.41</v>
          </cell>
          <cell r="AE142">
            <v>0.45</v>
          </cell>
          <cell r="AF142">
            <v>0.45</v>
          </cell>
          <cell r="AG142">
            <v>0.45</v>
          </cell>
          <cell r="AH142">
            <v>0.45</v>
          </cell>
          <cell r="AI142">
            <v>3204028.9137273431</v>
          </cell>
          <cell r="AJ142">
            <v>1756239.6753342994</v>
          </cell>
          <cell r="AK142">
            <v>586055.83018839394</v>
          </cell>
        </row>
        <row r="143">
          <cell r="B143">
            <v>2132</v>
          </cell>
          <cell r="C143">
            <v>0</v>
          </cell>
          <cell r="D143">
            <v>46309334.871191502</v>
          </cell>
          <cell r="E143">
            <v>72331627.462725505</v>
          </cell>
          <cell r="F143">
            <v>100108231.91436297</v>
          </cell>
          <cell r="G143">
            <v>131393460.08620718</v>
          </cell>
          <cell r="H143">
            <v>167514291.46218285</v>
          </cell>
          <cell r="I143">
            <v>354753345.76168209</v>
          </cell>
          <cell r="J143">
            <v>354753345.76168209</v>
          </cell>
          <cell r="K143">
            <v>354753345.76168209</v>
          </cell>
          <cell r="L143">
            <v>354753345.76168209</v>
          </cell>
          <cell r="M143">
            <v>51433297404.98748</v>
          </cell>
          <cell r="N143">
            <v>0</v>
          </cell>
          <cell r="O143">
            <v>8335680.2768144701</v>
          </cell>
          <cell r="P143">
            <v>15101476.350613311</v>
          </cell>
          <cell r="Q143">
            <v>23712223.730620924</v>
          </cell>
          <cell r="R143">
            <v>34974905.87248484</v>
          </cell>
          <cell r="S143">
            <v>49062030.109115347</v>
          </cell>
          <cell r="T143">
            <v>125830042.37191004</v>
          </cell>
          <cell r="U143">
            <v>125830042.37191004</v>
          </cell>
          <cell r="V143">
            <v>125830042.37191004</v>
          </cell>
          <cell r="W143">
            <v>125830042.37191004</v>
          </cell>
          <cell r="X143">
            <v>0</v>
          </cell>
          <cell r="Y143">
            <v>0.18</v>
          </cell>
          <cell r="Z143">
            <v>0.26</v>
          </cell>
          <cell r="AA143">
            <v>0.31</v>
          </cell>
          <cell r="AB143">
            <v>0.36</v>
          </cell>
          <cell r="AC143">
            <v>0.39</v>
          </cell>
          <cell r="AD143">
            <v>0.41</v>
          </cell>
          <cell r="AE143">
            <v>0.45</v>
          </cell>
          <cell r="AF143">
            <v>0.45</v>
          </cell>
          <cell r="AG143">
            <v>0.45</v>
          </cell>
          <cell r="AH143">
            <v>0.45</v>
          </cell>
          <cell r="AI143">
            <v>3364230.3594137104</v>
          </cell>
          <cell r="AJ143">
            <v>1844051.6591010145</v>
          </cell>
          <cell r="AK143">
            <v>615358.62169781362</v>
          </cell>
        </row>
        <row r="144">
          <cell r="B144">
            <v>2133</v>
          </cell>
          <cell r="C144">
            <v>0</v>
          </cell>
          <cell r="D144">
            <v>48624801.614751078</v>
          </cell>
          <cell r="E144">
            <v>75948208.835861787</v>
          </cell>
          <cell r="F144">
            <v>105113643.51008111</v>
          </cell>
          <cell r="G144">
            <v>137963133.09051755</v>
          </cell>
          <cell r="H144">
            <v>175890006.035292</v>
          </cell>
          <cell r="I144">
            <v>372491013.04976624</v>
          </cell>
          <cell r="J144">
            <v>372491013.04976624</v>
          </cell>
          <cell r="K144">
            <v>372491013.04976624</v>
          </cell>
          <cell r="L144">
            <v>372491013.04976624</v>
          </cell>
          <cell r="M144">
            <v>54004962275.236855</v>
          </cell>
          <cell r="N144">
            <v>0</v>
          </cell>
          <cell r="O144">
            <v>8752464.2906551939</v>
          </cell>
          <cell r="P144">
            <v>15856550.168143978</v>
          </cell>
          <cell r="Q144">
            <v>24897834.917151969</v>
          </cell>
          <cell r="R144">
            <v>36723651.166109085</v>
          </cell>
          <cell r="S144">
            <v>51515131.614571124</v>
          </cell>
          <cell r="T144">
            <v>132121544.49050556</v>
          </cell>
          <cell r="U144">
            <v>132121544.49050556</v>
          </cell>
          <cell r="V144">
            <v>132121544.49050556</v>
          </cell>
          <cell r="W144">
            <v>132121544.49050556</v>
          </cell>
          <cell r="X144">
            <v>0</v>
          </cell>
          <cell r="Y144">
            <v>0.18</v>
          </cell>
          <cell r="Z144">
            <v>0.26</v>
          </cell>
          <cell r="AA144">
            <v>0.31</v>
          </cell>
          <cell r="AB144">
            <v>0.36</v>
          </cell>
          <cell r="AC144">
            <v>0.39</v>
          </cell>
          <cell r="AD144">
            <v>0.41</v>
          </cell>
          <cell r="AE144">
            <v>0.45</v>
          </cell>
          <cell r="AF144">
            <v>0.45</v>
          </cell>
          <cell r="AG144">
            <v>0.45</v>
          </cell>
          <cell r="AH144">
            <v>0.45</v>
          </cell>
          <cell r="AI144">
            <v>3532441.8773843963</v>
          </cell>
          <cell r="AJ144">
            <v>1936254.2420560652</v>
          </cell>
          <cell r="AK144">
            <v>646126.55278270436</v>
          </cell>
        </row>
        <row r="145">
          <cell r="B145">
            <v>2134</v>
          </cell>
          <cell r="C145">
            <v>0</v>
          </cell>
          <cell r="D145">
            <v>51056041.695488632</v>
          </cell>
          <cell r="E145">
            <v>79745619.277654886</v>
          </cell>
          <cell r="F145">
            <v>110369325.68558517</v>
          </cell>
          <cell r="G145">
            <v>144861289.74504343</v>
          </cell>
          <cell r="H145">
            <v>184684506.33705661</v>
          </cell>
          <cell r="I145">
            <v>391115563.70225459</v>
          </cell>
          <cell r="J145">
            <v>391115563.70225459</v>
          </cell>
          <cell r="K145">
            <v>391115563.70225459</v>
          </cell>
          <cell r="L145">
            <v>391115563.70225459</v>
          </cell>
          <cell r="M145">
            <v>56705210388.998703</v>
          </cell>
          <cell r="N145">
            <v>0</v>
          </cell>
          <cell r="O145">
            <v>9190087.5051879529</v>
          </cell>
          <cell r="P145">
            <v>16649377.676551178</v>
          </cell>
          <cell r="Q145">
            <v>26142726.663009569</v>
          </cell>
          <cell r="R145">
            <v>38559833.724414542</v>
          </cell>
          <cell r="S145">
            <v>54090888.195299685</v>
          </cell>
          <cell r="T145">
            <v>138727621.71503085</v>
          </cell>
          <cell r="U145">
            <v>138727621.71503085</v>
          </cell>
          <cell r="V145">
            <v>138727621.71503085</v>
          </cell>
          <cell r="W145">
            <v>138727621.71503085</v>
          </cell>
          <cell r="X145">
            <v>0</v>
          </cell>
          <cell r="Y145">
            <v>0.18</v>
          </cell>
          <cell r="Z145">
            <v>0.26</v>
          </cell>
          <cell r="AA145">
            <v>0.31</v>
          </cell>
          <cell r="AB145">
            <v>0.36</v>
          </cell>
          <cell r="AC145">
            <v>0.39</v>
          </cell>
          <cell r="AD145">
            <v>0.41</v>
          </cell>
          <cell r="AE145">
            <v>0.45</v>
          </cell>
          <cell r="AF145">
            <v>0.45</v>
          </cell>
          <cell r="AG145">
            <v>0.45</v>
          </cell>
          <cell r="AH145">
            <v>0.45</v>
          </cell>
          <cell r="AI145">
            <v>3709063.9712536163</v>
          </cell>
          <cell r="AJ145">
            <v>2033066.9541588686</v>
          </cell>
          <cell r="AK145">
            <v>678432.88042183965</v>
          </cell>
        </row>
        <row r="146">
          <cell r="B146">
            <v>2135</v>
          </cell>
          <cell r="C146">
            <v>0</v>
          </cell>
          <cell r="D146">
            <v>53608843.780263066</v>
          </cell>
          <cell r="E146">
            <v>83732900.241537631</v>
          </cell>
          <cell r="F146">
            <v>115887791.96986443</v>
          </cell>
          <cell r="G146">
            <v>152104354.2322956</v>
          </cell>
          <cell r="H146">
            <v>193918731.65390944</v>
          </cell>
          <cell r="I146">
            <v>410671341.88736737</v>
          </cell>
          <cell r="J146">
            <v>410671341.88736737</v>
          </cell>
          <cell r="K146">
            <v>410671341.88736737</v>
          </cell>
          <cell r="L146">
            <v>410671341.88736737</v>
          </cell>
          <cell r="M146">
            <v>59540470908.448639</v>
          </cell>
          <cell r="N146">
            <v>0</v>
          </cell>
          <cell r="O146">
            <v>9649591.8804473523</v>
          </cell>
          <cell r="P146">
            <v>17481846.560378738</v>
          </cell>
          <cell r="Q146">
            <v>27449862.996160045</v>
          </cell>
          <cell r="R146">
            <v>40487825.41063527</v>
          </cell>
          <cell r="S146">
            <v>56795432.605064668</v>
          </cell>
          <cell r="T146">
            <v>145664002.80078241</v>
          </cell>
          <cell r="U146">
            <v>145664002.80078241</v>
          </cell>
          <cell r="V146">
            <v>145664002.80078241</v>
          </cell>
          <cell r="W146">
            <v>145664002.80078241</v>
          </cell>
          <cell r="X146">
            <v>0</v>
          </cell>
          <cell r="Y146">
            <v>0.18</v>
          </cell>
          <cell r="Z146">
            <v>0.26</v>
          </cell>
          <cell r="AA146">
            <v>0.31</v>
          </cell>
          <cell r="AB146">
            <v>0.36</v>
          </cell>
          <cell r="AC146">
            <v>0.39</v>
          </cell>
          <cell r="AD146">
            <v>0.41</v>
          </cell>
          <cell r="AE146">
            <v>0.45</v>
          </cell>
          <cell r="AF146">
            <v>0.45</v>
          </cell>
          <cell r="AG146">
            <v>0.45</v>
          </cell>
          <cell r="AH146">
            <v>0.45</v>
          </cell>
          <cell r="AI146">
            <v>3894517.1698162975</v>
          </cell>
          <cell r="AJ146">
            <v>2134720.3018668122</v>
          </cell>
          <cell r="AK146">
            <v>712354.52444293164</v>
          </cell>
        </row>
        <row r="147">
          <cell r="B147">
            <v>2136</v>
          </cell>
          <cell r="C147">
            <v>0</v>
          </cell>
          <cell r="D147">
            <v>56289285.96927622</v>
          </cell>
          <cell r="E147">
            <v>87919545.253614515</v>
          </cell>
          <cell r="F147">
            <v>121682181.56835766</v>
          </cell>
          <cell r="G147">
            <v>159709571.94391039</v>
          </cell>
          <cell r="H147">
            <v>203614668.23660493</v>
          </cell>
          <cell r="I147">
            <v>431204908.98173577</v>
          </cell>
          <cell r="J147">
            <v>431204908.98173577</v>
          </cell>
          <cell r="K147">
            <v>431204908.98173577</v>
          </cell>
          <cell r="L147">
            <v>431204908.98173577</v>
          </cell>
          <cell r="M147">
            <v>62517494453.871071</v>
          </cell>
          <cell r="N147">
            <v>0</v>
          </cell>
          <cell r="O147">
            <v>10132071.474469719</v>
          </cell>
          <cell r="P147">
            <v>18355938.888397679</v>
          </cell>
          <cell r="Q147">
            <v>28822356.145968053</v>
          </cell>
          <cell r="R147">
            <v>42512216.681167036</v>
          </cell>
          <cell r="S147">
            <v>59635204.235317908</v>
          </cell>
          <cell r="T147">
            <v>152947202.94082156</v>
          </cell>
          <cell r="U147">
            <v>152947202.94082156</v>
          </cell>
          <cell r="V147">
            <v>152947202.94082156</v>
          </cell>
          <cell r="W147">
            <v>152947202.94082156</v>
          </cell>
          <cell r="X147">
            <v>0</v>
          </cell>
          <cell r="Y147">
            <v>0.18</v>
          </cell>
          <cell r="Z147">
            <v>0.26</v>
          </cell>
          <cell r="AA147">
            <v>0.31</v>
          </cell>
          <cell r="AB147">
            <v>0.36</v>
          </cell>
          <cell r="AC147">
            <v>0.39</v>
          </cell>
          <cell r="AD147">
            <v>0.41</v>
          </cell>
          <cell r="AE147">
            <v>0.45</v>
          </cell>
          <cell r="AF147">
            <v>0.45</v>
          </cell>
          <cell r="AG147">
            <v>0.45</v>
          </cell>
          <cell r="AH147">
            <v>0.45</v>
          </cell>
          <cell r="AI147">
            <v>4089243.0283071124</v>
          </cell>
          <cell r="AJ147">
            <v>2241456.3169601527</v>
          </cell>
          <cell r="AK147">
            <v>747972.25066507829</v>
          </cell>
        </row>
        <row r="148">
          <cell r="B148">
            <v>2137</v>
          </cell>
          <cell r="C148">
            <v>0</v>
          </cell>
          <cell r="D148">
            <v>59103750.267740034</v>
          </cell>
          <cell r="E148">
            <v>92315522.516295239</v>
          </cell>
          <cell r="F148">
            <v>127766290.64677554</v>
          </cell>
          <cell r="G148">
            <v>167695050.54110593</v>
          </cell>
          <cell r="H148">
            <v>213795401.64843518</v>
          </cell>
          <cell r="I148">
            <v>452765154.43082255</v>
          </cell>
          <cell r="J148">
            <v>452765154.43082255</v>
          </cell>
          <cell r="K148">
            <v>452765154.43082255</v>
          </cell>
          <cell r="L148">
            <v>452765154.43082255</v>
          </cell>
          <cell r="M148">
            <v>65643369176.564629</v>
          </cell>
          <cell r="N148">
            <v>0</v>
          </cell>
          <cell r="O148">
            <v>10638675.048193205</v>
          </cell>
          <cell r="P148">
            <v>19273735.832817558</v>
          </cell>
          <cell r="Q148">
            <v>30263473.953266453</v>
          </cell>
          <cell r="R148">
            <v>44637827.515225388</v>
          </cell>
          <cell r="S148">
            <v>62616964.447083801</v>
          </cell>
          <cell r="T148">
            <v>160594563.08786261</v>
          </cell>
          <cell r="U148">
            <v>160594563.08786261</v>
          </cell>
          <cell r="V148">
            <v>160594563.08786261</v>
          </cell>
          <cell r="W148">
            <v>160594563.08786261</v>
          </cell>
          <cell r="X148">
            <v>0</v>
          </cell>
          <cell r="Y148">
            <v>0.18</v>
          </cell>
          <cell r="Z148">
            <v>0.26</v>
          </cell>
          <cell r="AA148">
            <v>0.31</v>
          </cell>
          <cell r="AB148">
            <v>0.36</v>
          </cell>
          <cell r="AC148">
            <v>0.39</v>
          </cell>
          <cell r="AD148">
            <v>0.41</v>
          </cell>
          <cell r="AE148">
            <v>0.45</v>
          </cell>
          <cell r="AF148">
            <v>0.45</v>
          </cell>
          <cell r="AG148">
            <v>0.45</v>
          </cell>
          <cell r="AH148">
            <v>0.45</v>
          </cell>
          <cell r="AI148">
            <v>4293705.1797224684</v>
          </cell>
          <cell r="AJ148">
            <v>2353529.1328081605</v>
          </cell>
          <cell r="AK148">
            <v>785370.86319833226</v>
          </cell>
        </row>
        <row r="149">
          <cell r="B149">
            <v>2138</v>
          </cell>
          <cell r="C149">
            <v>0</v>
          </cell>
          <cell r="D149">
            <v>62058937.781127036</v>
          </cell>
          <cell r="E149">
            <v>96931298.642110005</v>
          </cell>
          <cell r="F149">
            <v>134154605.17911433</v>
          </cell>
          <cell r="G149">
            <v>176079803.06816122</v>
          </cell>
          <cell r="H149">
            <v>224485171.73085696</v>
          </cell>
          <cell r="I149">
            <v>475403412.15236372</v>
          </cell>
          <cell r="J149">
            <v>475403412.15236372</v>
          </cell>
          <cell r="K149">
            <v>475403412.15236372</v>
          </cell>
          <cell r="L149">
            <v>475403412.15236372</v>
          </cell>
          <cell r="M149">
            <v>68925537635.392868</v>
          </cell>
          <cell r="N149">
            <v>0</v>
          </cell>
          <cell r="O149">
            <v>11170608.800602866</v>
          </cell>
          <cell r="P149">
            <v>20237422.62445844</v>
          </cell>
          <cell r="Q149">
            <v>31776647.650929779</v>
          </cell>
          <cell r="R149">
            <v>46869718.890986659</v>
          </cell>
          <cell r="S149">
            <v>65747812.669437997</v>
          </cell>
          <cell r="T149">
            <v>168624291.24225578</v>
          </cell>
          <cell r="U149">
            <v>168624291.24225578</v>
          </cell>
          <cell r="V149">
            <v>168624291.24225578</v>
          </cell>
          <cell r="W149">
            <v>168624291.24225578</v>
          </cell>
          <cell r="X149">
            <v>0</v>
          </cell>
          <cell r="Y149">
            <v>0.18</v>
          </cell>
          <cell r="Z149">
            <v>0.26</v>
          </cell>
          <cell r="AA149">
            <v>0.31</v>
          </cell>
          <cell r="AB149">
            <v>0.36</v>
          </cell>
          <cell r="AC149">
            <v>0.39</v>
          </cell>
          <cell r="AD149">
            <v>0.41</v>
          </cell>
          <cell r="AE149">
            <v>0.45</v>
          </cell>
          <cell r="AF149">
            <v>0.45</v>
          </cell>
          <cell r="AG149">
            <v>0.45</v>
          </cell>
          <cell r="AH149">
            <v>0.45</v>
          </cell>
          <cell r="AI149">
            <v>4508390.4387085922</v>
          </cell>
          <cell r="AJ149">
            <v>2471205.5894485684</v>
          </cell>
          <cell r="AK149">
            <v>824639.4063582489</v>
          </cell>
        </row>
        <row r="150">
          <cell r="B150">
            <v>2139</v>
          </cell>
          <cell r="C150">
            <v>0</v>
          </cell>
          <cell r="D150">
            <v>65161884.67018339</v>
          </cell>
          <cell r="E150">
            <v>101777863.57421552</v>
          </cell>
          <cell r="F150">
            <v>140862335.43807006</v>
          </cell>
          <cell r="G150">
            <v>184883793.2215693</v>
          </cell>
          <cell r="H150">
            <v>235709430.3173998</v>
          </cell>
          <cell r="I150">
            <v>499173582.75998193</v>
          </cell>
          <cell r="J150">
            <v>499173582.75998193</v>
          </cell>
          <cell r="K150">
            <v>499173582.75998193</v>
          </cell>
          <cell r="L150">
            <v>499173582.75998193</v>
          </cell>
          <cell r="M150">
            <v>72371814517.162521</v>
          </cell>
          <cell r="N150">
            <v>0</v>
          </cell>
          <cell r="O150">
            <v>11729139.240633009</v>
          </cell>
          <cell r="P150">
            <v>21249293.755681362</v>
          </cell>
          <cell r="Q150">
            <v>33365480.033476271</v>
          </cell>
          <cell r="R150">
            <v>49213204.835535996</v>
          </cell>
          <cell r="S150">
            <v>69035203.302909896</v>
          </cell>
          <cell r="T150">
            <v>177055505.80436856</v>
          </cell>
          <cell r="U150">
            <v>177055505.80436856</v>
          </cell>
          <cell r="V150">
            <v>177055505.80436856</v>
          </cell>
          <cell r="W150">
            <v>177055505.80436856</v>
          </cell>
          <cell r="X150">
            <v>0</v>
          </cell>
          <cell r="Y150">
            <v>0.18</v>
          </cell>
          <cell r="Z150">
            <v>0.26</v>
          </cell>
          <cell r="AA150">
            <v>0.31</v>
          </cell>
          <cell r="AB150">
            <v>0.36</v>
          </cell>
          <cell r="AC150">
            <v>0.39</v>
          </cell>
          <cell r="AD150">
            <v>0.41</v>
          </cell>
          <cell r="AE150">
            <v>0.45</v>
          </cell>
          <cell r="AF150">
            <v>0.45</v>
          </cell>
          <cell r="AG150">
            <v>0.45</v>
          </cell>
          <cell r="AH150">
            <v>0.45</v>
          </cell>
          <cell r="AI150">
            <v>4733809.9606440216</v>
          </cell>
          <cell r="AJ150">
            <v>2594765.8689209968</v>
          </cell>
          <cell r="AK150">
            <v>865871.37667616142</v>
          </cell>
        </row>
        <row r="151">
          <cell r="B151">
            <v>2140</v>
          </cell>
          <cell r="C151">
            <v>0</v>
          </cell>
          <cell r="D151">
            <v>68419978.903692558</v>
          </cell>
          <cell r="E151">
            <v>106866756.75292629</v>
          </cell>
          <cell r="F151">
            <v>147905452.20997357</v>
          </cell>
          <cell r="G151">
            <v>194127982.88264778</v>
          </cell>
          <cell r="H151">
            <v>247494901.8332698</v>
          </cell>
          <cell r="I151">
            <v>524132261.89798105</v>
          </cell>
          <cell r="J151">
            <v>524132261.89798105</v>
          </cell>
          <cell r="K151">
            <v>524132261.89798105</v>
          </cell>
          <cell r="L151">
            <v>524132261.89798105</v>
          </cell>
          <cell r="M151">
            <v>75990405243.020645</v>
          </cell>
          <cell r="N151">
            <v>0</v>
          </cell>
          <cell r="O151">
            <v>12315596.20266466</v>
          </cell>
          <cell r="P151">
            <v>22311758.44346543</v>
          </cell>
          <cell r="Q151">
            <v>35033754.035150088</v>
          </cell>
          <cell r="R151">
            <v>51673865.077312805</v>
          </cell>
          <cell r="S151">
            <v>72486963.468055397</v>
          </cell>
          <cell r="T151">
            <v>185908281.09458697</v>
          </cell>
          <cell r="U151">
            <v>185908281.09458697</v>
          </cell>
          <cell r="V151">
            <v>185908281.09458697</v>
          </cell>
          <cell r="W151">
            <v>185908281.09458697</v>
          </cell>
          <cell r="X151">
            <v>0</v>
          </cell>
          <cell r="Y151">
            <v>0.18</v>
          </cell>
          <cell r="Z151">
            <v>0.26</v>
          </cell>
          <cell r="AA151">
            <v>0.31</v>
          </cell>
          <cell r="AB151">
            <v>0.36</v>
          </cell>
          <cell r="AC151">
            <v>0.39</v>
          </cell>
          <cell r="AD151">
            <v>0.41</v>
          </cell>
          <cell r="AE151">
            <v>0.45</v>
          </cell>
          <cell r="AF151">
            <v>0.45</v>
          </cell>
          <cell r="AG151">
            <v>0.45</v>
          </cell>
          <cell r="AH151">
            <v>0.45</v>
          </cell>
          <cell r="AI151">
            <v>4970500.4586762227</v>
          </cell>
          <cell r="AJ151">
            <v>2724504.1623670468</v>
          </cell>
          <cell r="AK151">
            <v>909164.94550996949</v>
          </cell>
        </row>
        <row r="152">
          <cell r="B152">
            <v>2141</v>
          </cell>
          <cell r="C152">
            <v>0</v>
          </cell>
          <cell r="D152">
            <v>71840977.848877192</v>
          </cell>
          <cell r="E152">
            <v>112210094.59057261</v>
          </cell>
          <cell r="F152">
            <v>155300724.82047227</v>
          </cell>
          <cell r="G152">
            <v>203834382.02678019</v>
          </cell>
          <cell r="H152">
            <v>259869646.92493331</v>
          </cell>
          <cell r="I152">
            <v>550338874.99288011</v>
          </cell>
          <cell r="J152">
            <v>550338874.99288011</v>
          </cell>
          <cell r="K152">
            <v>550338874.99288011</v>
          </cell>
          <cell r="L152">
            <v>550338874.99288011</v>
          </cell>
          <cell r="M152">
            <v>79789925505.171677</v>
          </cell>
          <cell r="N152">
            <v>0</v>
          </cell>
          <cell r="O152">
            <v>12931376.012797894</v>
          </cell>
          <cell r="P152">
            <v>23427346.365638703</v>
          </cell>
          <cell r="Q152">
            <v>36785441.736907601</v>
          </cell>
          <cell r="R152">
            <v>54257558.331178457</v>
          </cell>
          <cell r="S152">
            <v>76111311.641458184</v>
          </cell>
          <cell r="T152">
            <v>195203695.14931637</v>
          </cell>
          <cell r="U152">
            <v>195203695.14931637</v>
          </cell>
          <cell r="V152">
            <v>195203695.14931637</v>
          </cell>
          <cell r="W152">
            <v>195203695.14931637</v>
          </cell>
          <cell r="X152">
            <v>0</v>
          </cell>
          <cell r="Y152">
            <v>0.18</v>
          </cell>
          <cell r="Z152">
            <v>0.26</v>
          </cell>
          <cell r="AA152">
            <v>0.31</v>
          </cell>
          <cell r="AB152">
            <v>0.36</v>
          </cell>
          <cell r="AC152">
            <v>0.39</v>
          </cell>
          <cell r="AD152">
            <v>0.41</v>
          </cell>
          <cell r="AE152">
            <v>0.45</v>
          </cell>
          <cell r="AF152">
            <v>0.45</v>
          </cell>
          <cell r="AG152">
            <v>0.45</v>
          </cell>
          <cell r="AH152">
            <v>0.45</v>
          </cell>
          <cell r="AI152">
            <v>5219025.4816100337</v>
          </cell>
          <cell r="AJ152">
            <v>2860729.3704853994</v>
          </cell>
          <cell r="AK152">
            <v>954623.19278546795</v>
          </cell>
        </row>
      </sheetData>
      <sheetData sheetId="1">
        <row r="13">
          <cell r="A13" t="str">
            <v>cpi</v>
          </cell>
        </row>
        <row r="14">
          <cell r="A14" t="str">
            <v>cpi+x</v>
          </cell>
        </row>
        <row r="15">
          <cell r="A15" t="str">
            <v>cpix</v>
          </cell>
        </row>
        <row r="16">
          <cell r="A16" t="str">
            <v>cpi+0.5%</v>
          </cell>
        </row>
        <row r="17">
          <cell r="A17" t="str">
            <v>cpi+1%</v>
          </cell>
        </row>
        <row r="18">
          <cell r="A18" t="str">
            <v>other</v>
          </cell>
        </row>
      </sheetData>
      <sheetData sheetId="2">
        <row r="12">
          <cell r="F12">
            <v>29221</v>
          </cell>
          <cell r="G12"/>
          <cell r="H12"/>
          <cell r="I12"/>
          <cell r="K12">
            <v>32051</v>
          </cell>
          <cell r="L12">
            <v>0.1</v>
          </cell>
          <cell r="M12">
            <v>407.00000000000006</v>
          </cell>
        </row>
        <row r="13">
          <cell r="F13">
            <v>34151</v>
          </cell>
          <cell r="G13"/>
          <cell r="H13">
            <v>370</v>
          </cell>
          <cell r="I13"/>
          <cell r="K13">
            <v>32568</v>
          </cell>
          <cell r="L13">
            <v>0.15</v>
          </cell>
          <cell r="M13">
            <v>468.05</v>
          </cell>
        </row>
        <row r="14">
          <cell r="F14">
            <v>34608</v>
          </cell>
          <cell r="G14"/>
          <cell r="H14">
            <v>390</v>
          </cell>
          <cell r="I14"/>
          <cell r="K14">
            <v>33298</v>
          </cell>
          <cell r="L14">
            <v>0.1</v>
          </cell>
          <cell r="M14">
            <v>514.85500000000002</v>
          </cell>
        </row>
        <row r="15">
          <cell r="F15">
            <v>34881</v>
          </cell>
          <cell r="G15"/>
          <cell r="H15">
            <v>410</v>
          </cell>
          <cell r="I15">
            <v>288</v>
          </cell>
          <cell r="K15">
            <v>33664</v>
          </cell>
          <cell r="L15">
            <v>0.06</v>
          </cell>
          <cell r="M15">
            <v>545.74630000000002</v>
          </cell>
        </row>
        <row r="16">
          <cell r="F16">
            <v>35247</v>
          </cell>
          <cell r="G16"/>
          <cell r="H16">
            <v>430</v>
          </cell>
          <cell r="I16">
            <v>305</v>
          </cell>
          <cell r="K16">
            <v>34029</v>
          </cell>
          <cell r="L16">
            <v>0.1</v>
          </cell>
          <cell r="M16">
            <v>600.32093000000009</v>
          </cell>
        </row>
        <row r="17">
          <cell r="F17">
            <v>35612</v>
          </cell>
          <cell r="G17"/>
          <cell r="H17">
            <v>470</v>
          </cell>
          <cell r="I17">
            <v>340</v>
          </cell>
          <cell r="K17">
            <v>34394</v>
          </cell>
          <cell r="L17">
            <v>7.0000000000000007E-2</v>
          </cell>
          <cell r="M17">
            <v>642.34339510000018</v>
          </cell>
        </row>
        <row r="18">
          <cell r="F18">
            <v>35886</v>
          </cell>
          <cell r="G18">
            <v>100</v>
          </cell>
          <cell r="H18">
            <v>470</v>
          </cell>
          <cell r="I18">
            <v>340</v>
          </cell>
          <cell r="K18">
            <v>34759</v>
          </cell>
          <cell r="L18">
            <v>0.06</v>
          </cell>
          <cell r="M18">
            <v>680.88399880600025</v>
          </cell>
        </row>
        <row r="19">
          <cell r="F19">
            <v>35977</v>
          </cell>
          <cell r="G19">
            <v>100</v>
          </cell>
          <cell r="H19">
            <v>490</v>
          </cell>
          <cell r="I19">
            <v>340</v>
          </cell>
          <cell r="K19">
            <v>35125</v>
          </cell>
          <cell r="L19">
            <v>7.0000000000000007E-2</v>
          </cell>
          <cell r="M19">
            <v>728.5458787224203</v>
          </cell>
        </row>
        <row r="20">
          <cell r="F20">
            <v>36342</v>
          </cell>
          <cell r="G20">
            <v>100</v>
          </cell>
          <cell r="H20">
            <v>520</v>
          </cell>
          <cell r="I20">
            <v>340</v>
          </cell>
          <cell r="K20">
            <v>35490</v>
          </cell>
          <cell r="L20">
            <v>7.0000000000000007E-2</v>
          </cell>
          <cell r="M20">
            <v>779.54409023298979</v>
          </cell>
        </row>
        <row r="21">
          <cell r="F21">
            <v>36708</v>
          </cell>
          <cell r="G21">
            <v>100</v>
          </cell>
          <cell r="H21">
            <v>540</v>
          </cell>
          <cell r="I21">
            <v>390</v>
          </cell>
          <cell r="K21">
            <v>35977</v>
          </cell>
          <cell r="L21">
            <v>7.0000000000000007E-2</v>
          </cell>
          <cell r="M21">
            <v>834.11217654929908</v>
          </cell>
        </row>
        <row r="22">
          <cell r="F22">
            <v>37073</v>
          </cell>
          <cell r="G22">
            <v>110</v>
          </cell>
          <cell r="H22">
            <v>570</v>
          </cell>
          <cell r="I22">
            <v>410</v>
          </cell>
          <cell r="K22">
            <v>36281</v>
          </cell>
          <cell r="L22">
            <v>0.08</v>
          </cell>
          <cell r="M22">
            <v>900.84115067324308</v>
          </cell>
        </row>
        <row r="23">
          <cell r="F23">
            <v>37347</v>
          </cell>
          <cell r="G23">
            <v>130</v>
          </cell>
          <cell r="H23">
            <v>620</v>
          </cell>
          <cell r="I23">
            <v>450</v>
          </cell>
          <cell r="K23">
            <v>36586</v>
          </cell>
          <cell r="L23">
            <v>0.08</v>
          </cell>
          <cell r="M23">
            <v>972.90844272710262</v>
          </cell>
        </row>
        <row r="24">
          <cell r="F24">
            <v>37530</v>
          </cell>
          <cell r="G24">
            <v>140</v>
          </cell>
          <cell r="H24">
            <v>640</v>
          </cell>
          <cell r="I24">
            <v>460</v>
          </cell>
          <cell r="K24">
            <v>36951</v>
          </cell>
          <cell r="L24">
            <v>0.06</v>
          </cell>
          <cell r="M24">
            <v>1031.2829492907288</v>
          </cell>
        </row>
        <row r="25">
          <cell r="F25">
            <v>37712</v>
          </cell>
          <cell r="G25">
            <v>160</v>
          </cell>
          <cell r="H25">
            <v>700</v>
          </cell>
          <cell r="I25">
            <v>500</v>
          </cell>
          <cell r="K25">
            <v>37316</v>
          </cell>
          <cell r="L25">
            <v>7.0000000000000007E-2</v>
          </cell>
          <cell r="M25">
            <v>1103.4727557410799</v>
          </cell>
        </row>
        <row r="26">
          <cell r="F26">
            <v>38078</v>
          </cell>
          <cell r="G26">
            <v>170</v>
          </cell>
          <cell r="H26">
            <v>740</v>
          </cell>
          <cell r="I26">
            <v>530</v>
          </cell>
          <cell r="K26">
            <v>37681</v>
          </cell>
          <cell r="L26">
            <v>6.0999999999999999E-2</v>
          </cell>
          <cell r="M26">
            <v>1170.7845938412856</v>
          </cell>
        </row>
        <row r="27">
          <cell r="F27">
            <v>38443</v>
          </cell>
          <cell r="G27">
            <v>180</v>
          </cell>
          <cell r="H27">
            <v>780</v>
          </cell>
          <cell r="I27">
            <v>560</v>
          </cell>
          <cell r="K27">
            <v>38078</v>
          </cell>
          <cell r="L27">
            <v>0.09</v>
          </cell>
          <cell r="M27">
            <v>1276.1552072870015</v>
          </cell>
        </row>
        <row r="28">
          <cell r="F28">
            <v>38808</v>
          </cell>
          <cell r="G28">
            <v>190</v>
          </cell>
          <cell r="H28">
            <v>820</v>
          </cell>
          <cell r="I28">
            <v>590</v>
          </cell>
          <cell r="K28">
            <v>38443</v>
          </cell>
          <cell r="L28">
            <v>4.8000000000000001E-2</v>
          </cell>
          <cell r="M28">
            <v>1337.4106572367778</v>
          </cell>
        </row>
        <row r="29">
          <cell r="F29">
            <v>39173</v>
          </cell>
          <cell r="G29">
            <v>200</v>
          </cell>
          <cell r="H29">
            <v>870</v>
          </cell>
          <cell r="I29">
            <v>620</v>
          </cell>
          <cell r="K29">
            <v>38808</v>
          </cell>
          <cell r="L29">
            <v>0</v>
          </cell>
          <cell r="M29">
            <v>1337.4106572367778</v>
          </cell>
        </row>
        <row r="30">
          <cell r="F30">
            <v>39539</v>
          </cell>
          <cell r="G30">
            <v>210</v>
          </cell>
          <cell r="H30">
            <v>940</v>
          </cell>
          <cell r="I30">
            <v>650</v>
          </cell>
          <cell r="K30">
            <v>39173</v>
          </cell>
          <cell r="L30">
            <v>0</v>
          </cell>
          <cell r="M30">
            <v>1337.4106572367778</v>
          </cell>
        </row>
        <row r="31">
          <cell r="F31">
            <v>39722</v>
          </cell>
          <cell r="G31">
            <v>230</v>
          </cell>
          <cell r="H31">
            <v>960</v>
          </cell>
          <cell r="I31">
            <v>650</v>
          </cell>
          <cell r="K31">
            <v>39539</v>
          </cell>
          <cell r="L31">
            <v>0</v>
          </cell>
          <cell r="M31">
            <v>1337.4106572367778</v>
          </cell>
        </row>
        <row r="32">
          <cell r="F32">
            <v>39904</v>
          </cell>
          <cell r="G32">
            <v>240</v>
          </cell>
          <cell r="H32">
            <v>1010</v>
          </cell>
          <cell r="I32">
            <v>680</v>
          </cell>
          <cell r="K32">
            <v>39904</v>
          </cell>
          <cell r="L32">
            <v>0</v>
          </cell>
          <cell r="M32">
            <v>1337.4106572367778</v>
          </cell>
        </row>
        <row r="33">
          <cell r="F33">
            <v>40269</v>
          </cell>
          <cell r="G33">
            <v>250</v>
          </cell>
          <cell r="H33">
            <v>1080</v>
          </cell>
          <cell r="I33">
            <v>710</v>
          </cell>
          <cell r="K33">
            <v>40269</v>
          </cell>
          <cell r="L33">
            <v>0</v>
          </cell>
          <cell r="M33">
            <v>1337.4106572367778</v>
          </cell>
        </row>
        <row r="34">
          <cell r="F34">
            <v>40634</v>
          </cell>
          <cell r="G34">
            <v>260</v>
          </cell>
          <cell r="H34">
            <v>1140</v>
          </cell>
          <cell r="I34">
            <v>740</v>
          </cell>
          <cell r="K34">
            <v>40634</v>
          </cell>
          <cell r="L34">
            <v>0</v>
          </cell>
          <cell r="M34">
            <v>1337.4106572367778</v>
          </cell>
        </row>
        <row r="35">
          <cell r="F35">
            <v>40817</v>
          </cell>
          <cell r="G35">
            <v>270</v>
          </cell>
          <cell r="H35">
            <v>1140</v>
          </cell>
          <cell r="I35">
            <v>740</v>
          </cell>
        </row>
        <row r="36">
          <cell r="F36">
            <v>41000</v>
          </cell>
          <cell r="G36">
            <v>280</v>
          </cell>
          <cell r="H36">
            <v>1200</v>
          </cell>
          <cell r="I36">
            <v>770</v>
          </cell>
        </row>
        <row r="37">
          <cell r="F37">
            <v>41365</v>
          </cell>
          <cell r="G37">
            <v>290</v>
          </cell>
          <cell r="H37">
            <v>1260</v>
          </cell>
          <cell r="I37">
            <v>800</v>
          </cell>
        </row>
        <row r="38">
          <cell r="F38">
            <v>41548</v>
          </cell>
          <cell r="G38">
            <v>300</v>
          </cell>
          <cell r="H38">
            <v>1270</v>
          </cell>
          <cell r="I38">
            <v>800</v>
          </cell>
        </row>
        <row r="39">
          <cell r="F39">
            <v>41730</v>
          </cell>
          <cell r="G39">
            <v>310</v>
          </cell>
          <cell r="H39">
            <v>1350</v>
          </cell>
          <cell r="I39">
            <v>830</v>
          </cell>
        </row>
        <row r="40">
          <cell r="F40">
            <v>41913</v>
          </cell>
          <cell r="G40">
            <v>320</v>
          </cell>
          <cell r="H40">
            <v>1350</v>
          </cell>
          <cell r="I40">
            <v>830</v>
          </cell>
        </row>
        <row r="41">
          <cell r="F41">
            <v>42095</v>
          </cell>
          <cell r="G41">
            <v>330</v>
          </cell>
          <cell r="H41">
            <v>1410</v>
          </cell>
          <cell r="I41">
            <v>860</v>
          </cell>
        </row>
        <row r="42">
          <cell r="F42">
            <v>42278</v>
          </cell>
          <cell r="G42">
            <v>330</v>
          </cell>
          <cell r="H42">
            <v>1420</v>
          </cell>
          <cell r="I42">
            <v>860</v>
          </cell>
        </row>
        <row r="43">
          <cell r="F43">
            <v>42461</v>
          </cell>
          <cell r="G43">
            <v>350</v>
          </cell>
          <cell r="H43">
            <v>1500</v>
          </cell>
          <cell r="I43">
            <v>890</v>
          </cell>
        </row>
        <row r="44">
          <cell r="F44">
            <v>42644</v>
          </cell>
          <cell r="G44">
            <v>350</v>
          </cell>
          <cell r="H44">
            <v>1510</v>
          </cell>
          <cell r="I44">
            <v>890</v>
          </cell>
        </row>
        <row r="45">
          <cell r="F45">
            <v>42826</v>
          </cell>
          <cell r="G45">
            <v>380</v>
          </cell>
          <cell r="H45">
            <v>1600</v>
          </cell>
          <cell r="I45">
            <v>920</v>
          </cell>
        </row>
        <row r="46">
          <cell r="F46">
            <v>43191</v>
          </cell>
          <cell r="G46">
            <v>400</v>
          </cell>
          <cell r="H46">
            <v>1690</v>
          </cell>
          <cell r="I46">
            <v>960</v>
          </cell>
        </row>
        <row r="47">
          <cell r="F47">
            <v>43374</v>
          </cell>
          <cell r="G47">
            <v>410</v>
          </cell>
          <cell r="H47">
            <v>1700</v>
          </cell>
          <cell r="I47">
            <v>960</v>
          </cell>
        </row>
        <row r="48">
          <cell r="F48">
            <v>43556</v>
          </cell>
          <cell r="G48">
            <v>420</v>
          </cell>
          <cell r="H48">
            <v>1780</v>
          </cell>
          <cell r="I48">
            <v>1000</v>
          </cell>
        </row>
        <row r="49">
          <cell r="F49">
            <v>43739</v>
          </cell>
          <cell r="G49">
            <v>430</v>
          </cell>
          <cell r="H49">
            <v>1780</v>
          </cell>
          <cell r="I49">
            <v>1000</v>
          </cell>
        </row>
        <row r="50">
          <cell r="F50">
            <v>43922</v>
          </cell>
          <cell r="G50">
            <v>445</v>
          </cell>
          <cell r="H50">
            <v>1860</v>
          </cell>
          <cell r="I50">
            <v>1040</v>
          </cell>
        </row>
        <row r="51">
          <cell r="F51">
            <v>44287</v>
          </cell>
          <cell r="G51">
            <v>467.25</v>
          </cell>
          <cell r="H51">
            <v>1953</v>
          </cell>
          <cell r="I51">
            <v>1092</v>
          </cell>
        </row>
        <row r="52">
          <cell r="F52">
            <v>44652</v>
          </cell>
          <cell r="G52">
            <v>467.25</v>
          </cell>
          <cell r="H52">
            <v>1953</v>
          </cell>
          <cell r="I52">
            <v>1092</v>
          </cell>
        </row>
        <row r="53">
          <cell r="F53">
            <v>45017</v>
          </cell>
          <cell r="G53">
            <v>467.25</v>
          </cell>
          <cell r="H53">
            <v>1953</v>
          </cell>
          <cell r="I53">
            <v>1092</v>
          </cell>
        </row>
      </sheetData>
      <sheetData sheetId="3"/>
      <sheetData sheetId="4"/>
      <sheetData sheetId="5">
        <row r="1">
          <cell r="C1"/>
        </row>
        <row r="3">
          <cell r="C3">
            <v>1</v>
          </cell>
        </row>
        <row r="4">
          <cell r="C4">
            <v>44197</v>
          </cell>
        </row>
        <row r="8">
          <cell r="N8" t="str">
            <v>Negative</v>
          </cell>
        </row>
        <row r="10">
          <cell r="N10" t="str">
            <v>No</v>
          </cell>
        </row>
        <row r="12">
          <cell r="D12"/>
        </row>
      </sheetData>
      <sheetData sheetId="6">
        <row r="28">
          <cell r="N28" t="str">
            <v>'Pre-M Income'!A35:A839</v>
          </cell>
        </row>
      </sheetData>
      <sheetData sheetId="7">
        <row r="28">
          <cell r="N28" t="str">
            <v>'Post-M Income'!A35:A839</v>
          </cell>
        </row>
      </sheetData>
      <sheetData sheetId="8">
        <row r="2">
          <cell r="N2" t="str">
            <v>'LOI CALC'!A13:A817</v>
          </cell>
        </row>
        <row r="11">
          <cell r="B11" t="e">
            <v>#DIV/0!</v>
          </cell>
          <cell r="C11">
            <v>1</v>
          </cell>
          <cell r="E11" t="e">
            <v>#N/A</v>
          </cell>
          <cell r="G11" t="e">
            <v>#N/A</v>
          </cell>
          <cell r="J11" t="e">
            <v>#DIV/0!</v>
          </cell>
          <cell r="K11">
            <v>1</v>
          </cell>
        </row>
        <row r="12">
          <cell r="B12" t="e">
            <v>#DIV/0!</v>
          </cell>
          <cell r="C12">
            <v>1</v>
          </cell>
          <cell r="E12" t="e">
            <v>#N/A</v>
          </cell>
          <cell r="G12" t="e">
            <v>#N/A</v>
          </cell>
          <cell r="J12" t="e">
            <v>#DIV/0!</v>
          </cell>
          <cell r="K12">
            <v>1</v>
          </cell>
        </row>
        <row r="13">
          <cell r="B13" t="e">
            <v>#DIV/0!</v>
          </cell>
          <cell r="C13">
            <v>1</v>
          </cell>
          <cell r="E13" t="e">
            <v>#N/A</v>
          </cell>
          <cell r="G13" t="e">
            <v>#N/A</v>
          </cell>
          <cell r="J13" t="e">
            <v>#DIV/0!</v>
          </cell>
          <cell r="K13">
            <v>1</v>
          </cell>
        </row>
        <row r="14">
          <cell r="B14" t="e">
            <v>#DIV/0!</v>
          </cell>
          <cell r="C14">
            <v>1</v>
          </cell>
          <cell r="E14" t="e">
            <v>#N/A</v>
          </cell>
          <cell r="G14" t="e">
            <v>#N/A</v>
          </cell>
          <cell r="J14" t="e">
            <v>#DIV/0!</v>
          </cell>
          <cell r="K14">
            <v>1</v>
          </cell>
        </row>
        <row r="15">
          <cell r="B15" t="e">
            <v>#DIV/0!</v>
          </cell>
          <cell r="C15">
            <v>1</v>
          </cell>
          <cell r="E15" t="e">
            <v>#N/A</v>
          </cell>
          <cell r="G15" t="e">
            <v>#N/A</v>
          </cell>
          <cell r="J15" t="e">
            <v>#DIV/0!</v>
          </cell>
          <cell r="K15">
            <v>1</v>
          </cell>
        </row>
        <row r="16">
          <cell r="B16" t="e">
            <v>#DIV/0!</v>
          </cell>
          <cell r="C16">
            <v>1</v>
          </cell>
          <cell r="E16" t="e">
            <v>#N/A</v>
          </cell>
          <cell r="G16" t="e">
            <v>#N/A</v>
          </cell>
          <cell r="J16" t="e">
            <v>#DIV/0!</v>
          </cell>
          <cell r="K16">
            <v>1</v>
          </cell>
        </row>
        <row r="17">
          <cell r="B17" t="e">
            <v>#DIV/0!</v>
          </cell>
          <cell r="C17">
            <v>1</v>
          </cell>
          <cell r="E17" t="e">
            <v>#N/A</v>
          </cell>
          <cell r="G17" t="e">
            <v>#N/A</v>
          </cell>
          <cell r="J17" t="e">
            <v>#DIV/0!</v>
          </cell>
          <cell r="K17">
            <v>1</v>
          </cell>
        </row>
        <row r="18">
          <cell r="B18" t="e">
            <v>#DIV/0!</v>
          </cell>
          <cell r="C18">
            <v>1</v>
          </cell>
          <cell r="E18" t="e">
            <v>#N/A</v>
          </cell>
          <cell r="G18" t="e">
            <v>#N/A</v>
          </cell>
          <cell r="J18" t="e">
            <v>#DIV/0!</v>
          </cell>
          <cell r="K18">
            <v>1</v>
          </cell>
        </row>
        <row r="19">
          <cell r="B19" t="e">
            <v>#DIV/0!</v>
          </cell>
          <cell r="C19">
            <v>1</v>
          </cell>
          <cell r="E19" t="e">
            <v>#N/A</v>
          </cell>
          <cell r="G19" t="e">
            <v>#N/A</v>
          </cell>
          <cell r="J19" t="e">
            <v>#DIV/0!</v>
          </cell>
          <cell r="K19">
            <v>1</v>
          </cell>
        </row>
        <row r="20">
          <cell r="B20" t="e">
            <v>#DIV/0!</v>
          </cell>
          <cell r="C20">
            <v>1</v>
          </cell>
          <cell r="E20" t="e">
            <v>#N/A</v>
          </cell>
          <cell r="G20" t="e">
            <v>#N/A</v>
          </cell>
          <cell r="J20" t="e">
            <v>#DIV/0!</v>
          </cell>
          <cell r="K20">
            <v>1</v>
          </cell>
        </row>
        <row r="21">
          <cell r="B21" t="e">
            <v>#DIV/0!</v>
          </cell>
          <cell r="C21">
            <v>1</v>
          </cell>
          <cell r="E21" t="e">
            <v>#N/A</v>
          </cell>
          <cell r="G21" t="e">
            <v>#N/A</v>
          </cell>
          <cell r="J21" t="e">
            <v>#DIV/0!</v>
          </cell>
          <cell r="K21">
            <v>1</v>
          </cell>
        </row>
        <row r="22">
          <cell r="B22" t="e">
            <v>#DIV/0!</v>
          </cell>
          <cell r="C22">
            <v>1</v>
          </cell>
          <cell r="E22" t="e">
            <v>#N/A</v>
          </cell>
          <cell r="G22" t="e">
            <v>#N/A</v>
          </cell>
          <cell r="J22" t="e">
            <v>#DIV/0!</v>
          </cell>
          <cell r="K22">
            <v>1</v>
          </cell>
        </row>
        <row r="23">
          <cell r="B23" t="e">
            <v>#DIV/0!</v>
          </cell>
          <cell r="C23">
            <v>1</v>
          </cell>
          <cell r="E23" t="e">
            <v>#N/A</v>
          </cell>
          <cell r="G23" t="e">
            <v>#N/A</v>
          </cell>
          <cell r="J23" t="e">
            <v>#DIV/0!</v>
          </cell>
          <cell r="K23">
            <v>1</v>
          </cell>
        </row>
        <row r="24">
          <cell r="B24" t="e">
            <v>#DIV/0!</v>
          </cell>
          <cell r="C24">
            <v>1</v>
          </cell>
          <cell r="E24" t="e">
            <v>#N/A</v>
          </cell>
          <cell r="G24" t="e">
            <v>#N/A</v>
          </cell>
          <cell r="J24" t="e">
            <v>#DIV/0!</v>
          </cell>
          <cell r="K24">
            <v>1</v>
          </cell>
        </row>
        <row r="25">
          <cell r="B25" t="e">
            <v>#DIV/0!</v>
          </cell>
          <cell r="C25">
            <v>1</v>
          </cell>
          <cell r="E25" t="e">
            <v>#N/A</v>
          </cell>
          <cell r="G25" t="e">
            <v>#N/A</v>
          </cell>
          <cell r="J25" t="e">
            <v>#DIV/0!</v>
          </cell>
          <cell r="K25">
            <v>1</v>
          </cell>
        </row>
        <row r="26">
          <cell r="B26" t="e">
            <v>#DIV/0!</v>
          </cell>
          <cell r="C26">
            <v>1</v>
          </cell>
          <cell r="E26" t="e">
            <v>#N/A</v>
          </cell>
          <cell r="G26" t="e">
            <v>#N/A</v>
          </cell>
          <cell r="J26" t="e">
            <v>#DIV/0!</v>
          </cell>
          <cell r="K26">
            <v>1</v>
          </cell>
        </row>
        <row r="27">
          <cell r="B27" t="e">
            <v>#DIV/0!</v>
          </cell>
          <cell r="C27">
            <v>1</v>
          </cell>
          <cell r="E27" t="e">
            <v>#N/A</v>
          </cell>
          <cell r="G27" t="e">
            <v>#N/A</v>
          </cell>
          <cell r="J27" t="e">
            <v>#DIV/0!</v>
          </cell>
          <cell r="K27">
            <v>1</v>
          </cell>
        </row>
        <row r="28">
          <cell r="B28" t="e">
            <v>#DIV/0!</v>
          </cell>
          <cell r="C28">
            <v>1</v>
          </cell>
          <cell r="E28" t="e">
            <v>#N/A</v>
          </cell>
          <cell r="G28" t="e">
            <v>#N/A</v>
          </cell>
          <cell r="J28" t="e">
            <v>#DIV/0!</v>
          </cell>
          <cell r="K28">
            <v>1</v>
          </cell>
        </row>
        <row r="29">
          <cell r="B29" t="e">
            <v>#DIV/0!</v>
          </cell>
          <cell r="C29">
            <v>1</v>
          </cell>
          <cell r="E29" t="e">
            <v>#N/A</v>
          </cell>
          <cell r="G29" t="e">
            <v>#N/A</v>
          </cell>
          <cell r="J29" t="e">
            <v>#DIV/0!</v>
          </cell>
          <cell r="K29">
            <v>1</v>
          </cell>
        </row>
        <row r="30">
          <cell r="B30" t="e">
            <v>#DIV/0!</v>
          </cell>
          <cell r="C30">
            <v>1</v>
          </cell>
          <cell r="E30" t="e">
            <v>#N/A</v>
          </cell>
          <cell r="G30" t="e">
            <v>#N/A</v>
          </cell>
          <cell r="J30" t="e">
            <v>#DIV/0!</v>
          </cell>
          <cell r="K30">
            <v>1</v>
          </cell>
        </row>
        <row r="31">
          <cell r="B31" t="e">
            <v>#DIV/0!</v>
          </cell>
          <cell r="C31">
            <v>1</v>
          </cell>
          <cell r="E31" t="e">
            <v>#N/A</v>
          </cell>
          <cell r="G31" t="e">
            <v>#N/A</v>
          </cell>
          <cell r="J31" t="e">
            <v>#DIV/0!</v>
          </cell>
          <cell r="K31">
            <v>1</v>
          </cell>
        </row>
        <row r="32">
          <cell r="B32" t="e">
            <v>#DIV/0!</v>
          </cell>
          <cell r="C32">
            <v>1</v>
          </cell>
          <cell r="E32" t="e">
            <v>#N/A</v>
          </cell>
          <cell r="G32" t="e">
            <v>#N/A</v>
          </cell>
          <cell r="J32" t="e">
            <v>#DIV/0!</v>
          </cell>
          <cell r="K32">
            <v>1</v>
          </cell>
        </row>
        <row r="33">
          <cell r="B33" t="e">
            <v>#DIV/0!</v>
          </cell>
          <cell r="C33">
            <v>1</v>
          </cell>
          <cell r="E33" t="e">
            <v>#N/A</v>
          </cell>
          <cell r="G33" t="e">
            <v>#N/A</v>
          </cell>
          <cell r="J33" t="e">
            <v>#DIV/0!</v>
          </cell>
          <cell r="K33">
            <v>1</v>
          </cell>
        </row>
        <row r="34">
          <cell r="B34" t="e">
            <v>#DIV/0!</v>
          </cell>
          <cell r="C34">
            <v>1</v>
          </cell>
          <cell r="E34" t="e">
            <v>#N/A</v>
          </cell>
          <cell r="G34" t="e">
            <v>#N/A</v>
          </cell>
          <cell r="J34" t="e">
            <v>#DIV/0!</v>
          </cell>
          <cell r="K34">
            <v>1</v>
          </cell>
        </row>
        <row r="35">
          <cell r="B35" t="e">
            <v>#DIV/0!</v>
          </cell>
          <cell r="C35">
            <v>1</v>
          </cell>
          <cell r="E35" t="e">
            <v>#N/A</v>
          </cell>
          <cell r="G35" t="e">
            <v>#N/A</v>
          </cell>
          <cell r="J35" t="e">
            <v>#DIV/0!</v>
          </cell>
          <cell r="K35">
            <v>1</v>
          </cell>
        </row>
        <row r="36">
          <cell r="B36" t="e">
            <v>#DIV/0!</v>
          </cell>
          <cell r="C36">
            <v>1</v>
          </cell>
          <cell r="E36" t="e">
            <v>#N/A</v>
          </cell>
          <cell r="G36" t="e">
            <v>#N/A</v>
          </cell>
          <cell r="J36" t="e">
            <v>#DIV/0!</v>
          </cell>
          <cell r="K36">
            <v>1</v>
          </cell>
        </row>
        <row r="37">
          <cell r="B37" t="e">
            <v>#DIV/0!</v>
          </cell>
          <cell r="C37">
            <v>1</v>
          </cell>
          <cell r="E37" t="e">
            <v>#N/A</v>
          </cell>
          <cell r="G37" t="e">
            <v>#N/A</v>
          </cell>
          <cell r="J37" t="e">
            <v>#DIV/0!</v>
          </cell>
          <cell r="K37">
            <v>1</v>
          </cell>
        </row>
        <row r="38">
          <cell r="B38" t="e">
            <v>#DIV/0!</v>
          </cell>
          <cell r="C38">
            <v>1</v>
          </cell>
          <cell r="E38" t="e">
            <v>#N/A</v>
          </cell>
          <cell r="G38" t="e">
            <v>#N/A</v>
          </cell>
          <cell r="J38" t="e">
            <v>#DIV/0!</v>
          </cell>
          <cell r="K38">
            <v>1</v>
          </cell>
        </row>
        <row r="39">
          <cell r="B39" t="e">
            <v>#DIV/0!</v>
          </cell>
          <cell r="C39">
            <v>1</v>
          </cell>
          <cell r="E39" t="e">
            <v>#N/A</v>
          </cell>
          <cell r="G39" t="e">
            <v>#N/A</v>
          </cell>
          <cell r="J39" t="e">
            <v>#DIV/0!</v>
          </cell>
          <cell r="K39">
            <v>1</v>
          </cell>
        </row>
        <row r="40">
          <cell r="B40" t="e">
            <v>#DIV/0!</v>
          </cell>
          <cell r="C40">
            <v>1</v>
          </cell>
          <cell r="E40" t="e">
            <v>#N/A</v>
          </cell>
          <cell r="G40" t="e">
            <v>#N/A</v>
          </cell>
          <cell r="J40" t="e">
            <v>#DIV/0!</v>
          </cell>
          <cell r="K40">
            <v>1</v>
          </cell>
        </row>
        <row r="41">
          <cell r="B41" t="e">
            <v>#DIV/0!</v>
          </cell>
          <cell r="C41">
            <v>1</v>
          </cell>
          <cell r="E41" t="e">
            <v>#N/A</v>
          </cell>
          <cell r="G41" t="e">
            <v>#N/A</v>
          </cell>
          <cell r="J41" t="e">
            <v>#DIV/0!</v>
          </cell>
          <cell r="K41">
            <v>1</v>
          </cell>
        </row>
        <row r="42">
          <cell r="B42" t="e">
            <v>#DIV/0!</v>
          </cell>
          <cell r="C42">
            <v>1</v>
          </cell>
          <cell r="E42" t="e">
            <v>#N/A</v>
          </cell>
          <cell r="G42" t="e">
            <v>#N/A</v>
          </cell>
          <cell r="J42" t="e">
            <v>#DIV/0!</v>
          </cell>
          <cell r="K42">
            <v>1</v>
          </cell>
        </row>
        <row r="43">
          <cell r="B43" t="e">
            <v>#DIV/0!</v>
          </cell>
          <cell r="C43">
            <v>1</v>
          </cell>
          <cell r="E43" t="e">
            <v>#N/A</v>
          </cell>
          <cell r="G43" t="e">
            <v>#N/A</v>
          </cell>
          <cell r="J43" t="e">
            <v>#DIV/0!</v>
          </cell>
          <cell r="K43">
            <v>1</v>
          </cell>
        </row>
        <row r="44">
          <cell r="B44" t="e">
            <v>#DIV/0!</v>
          </cell>
          <cell r="C44">
            <v>1</v>
          </cell>
          <cell r="E44" t="e">
            <v>#N/A</v>
          </cell>
          <cell r="G44" t="e">
            <v>#N/A</v>
          </cell>
          <cell r="J44" t="e">
            <v>#DIV/0!</v>
          </cell>
          <cell r="K44">
            <v>1</v>
          </cell>
        </row>
        <row r="45">
          <cell r="B45" t="e">
            <v>#DIV/0!</v>
          </cell>
          <cell r="C45">
            <v>1</v>
          </cell>
          <cell r="E45" t="e">
            <v>#N/A</v>
          </cell>
          <cell r="G45" t="e">
            <v>#N/A</v>
          </cell>
          <cell r="J45" t="e">
            <v>#DIV/0!</v>
          </cell>
          <cell r="K45">
            <v>1</v>
          </cell>
        </row>
        <row r="46">
          <cell r="B46" t="e">
            <v>#DIV/0!</v>
          </cell>
          <cell r="C46">
            <v>1</v>
          </cell>
          <cell r="E46" t="e">
            <v>#N/A</v>
          </cell>
          <cell r="G46" t="e">
            <v>#N/A</v>
          </cell>
          <cell r="J46" t="e">
            <v>#DIV/0!</v>
          </cell>
          <cell r="K46">
            <v>1</v>
          </cell>
        </row>
        <row r="47">
          <cell r="B47" t="e">
            <v>#DIV/0!</v>
          </cell>
          <cell r="C47">
            <v>1</v>
          </cell>
          <cell r="E47" t="e">
            <v>#N/A</v>
          </cell>
          <cell r="G47" t="e">
            <v>#N/A</v>
          </cell>
          <cell r="J47" t="e">
            <v>#DIV/0!</v>
          </cell>
          <cell r="K47">
            <v>1</v>
          </cell>
        </row>
        <row r="48">
          <cell r="B48" t="e">
            <v>#DIV/0!</v>
          </cell>
          <cell r="C48">
            <v>1</v>
          </cell>
          <cell r="E48" t="e">
            <v>#N/A</v>
          </cell>
          <cell r="G48" t="e">
            <v>#N/A</v>
          </cell>
          <cell r="J48" t="e">
            <v>#DIV/0!</v>
          </cell>
          <cell r="K48">
            <v>1</v>
          </cell>
        </row>
        <row r="49">
          <cell r="B49" t="e">
            <v>#DIV/0!</v>
          </cell>
          <cell r="C49">
            <v>1</v>
          </cell>
          <cell r="E49" t="e">
            <v>#N/A</v>
          </cell>
          <cell r="G49" t="e">
            <v>#N/A</v>
          </cell>
          <cell r="J49" t="e">
            <v>#DIV/0!</v>
          </cell>
          <cell r="K49">
            <v>1</v>
          </cell>
        </row>
        <row r="50">
          <cell r="B50" t="e">
            <v>#DIV/0!</v>
          </cell>
          <cell r="C50">
            <v>1</v>
          </cell>
          <cell r="E50" t="e">
            <v>#N/A</v>
          </cell>
          <cell r="G50" t="e">
            <v>#N/A</v>
          </cell>
          <cell r="J50" t="e">
            <v>#DIV/0!</v>
          </cell>
          <cell r="K50">
            <v>1</v>
          </cell>
        </row>
        <row r="51">
          <cell r="B51" t="e">
            <v>#DIV/0!</v>
          </cell>
          <cell r="C51">
            <v>1</v>
          </cell>
          <cell r="E51" t="e">
            <v>#N/A</v>
          </cell>
          <cell r="G51" t="e">
            <v>#N/A</v>
          </cell>
          <cell r="J51" t="e">
            <v>#DIV/0!</v>
          </cell>
          <cell r="K51">
            <v>1</v>
          </cell>
        </row>
        <row r="52">
          <cell r="B52" t="e">
            <v>#DIV/0!</v>
          </cell>
          <cell r="C52">
            <v>1</v>
          </cell>
          <cell r="E52" t="e">
            <v>#N/A</v>
          </cell>
          <cell r="G52" t="e">
            <v>#N/A</v>
          </cell>
          <cell r="J52" t="e">
            <v>#DIV/0!</v>
          </cell>
          <cell r="K52">
            <v>1</v>
          </cell>
        </row>
        <row r="53">
          <cell r="B53" t="e">
            <v>#DIV/0!</v>
          </cell>
          <cell r="C53">
            <v>1</v>
          </cell>
          <cell r="E53" t="e">
            <v>#N/A</v>
          </cell>
          <cell r="G53" t="e">
            <v>#N/A</v>
          </cell>
          <cell r="J53" t="e">
            <v>#DIV/0!</v>
          </cell>
          <cell r="K53">
            <v>1</v>
          </cell>
        </row>
        <row r="54">
          <cell r="B54" t="e">
            <v>#DIV/0!</v>
          </cell>
          <cell r="C54">
            <v>1</v>
          </cell>
          <cell r="E54" t="e">
            <v>#N/A</v>
          </cell>
          <cell r="G54" t="e">
            <v>#N/A</v>
          </cell>
          <cell r="J54" t="e">
            <v>#DIV/0!</v>
          </cell>
          <cell r="K54">
            <v>1</v>
          </cell>
        </row>
        <row r="55">
          <cell r="B55" t="e">
            <v>#DIV/0!</v>
          </cell>
          <cell r="C55">
            <v>1</v>
          </cell>
          <cell r="E55" t="e">
            <v>#N/A</v>
          </cell>
          <cell r="G55" t="e">
            <v>#N/A</v>
          </cell>
          <cell r="J55" t="e">
            <v>#DIV/0!</v>
          </cell>
          <cell r="K55">
            <v>1</v>
          </cell>
        </row>
        <row r="56">
          <cell r="B56" t="e">
            <v>#DIV/0!</v>
          </cell>
          <cell r="C56">
            <v>1</v>
          </cell>
          <cell r="E56" t="e">
            <v>#N/A</v>
          </cell>
          <cell r="G56" t="e">
            <v>#N/A</v>
          </cell>
          <cell r="J56" t="e">
            <v>#DIV/0!</v>
          </cell>
          <cell r="K56">
            <v>1</v>
          </cell>
        </row>
        <row r="57">
          <cell r="B57" t="e">
            <v>#DIV/0!</v>
          </cell>
          <cell r="C57">
            <v>1</v>
          </cell>
          <cell r="E57" t="e">
            <v>#N/A</v>
          </cell>
          <cell r="G57" t="e">
            <v>#N/A</v>
          </cell>
          <cell r="J57" t="e">
            <v>#DIV/0!</v>
          </cell>
          <cell r="K57">
            <v>1</v>
          </cell>
        </row>
        <row r="58">
          <cell r="B58" t="e">
            <v>#DIV/0!</v>
          </cell>
          <cell r="C58">
            <v>1</v>
          </cell>
          <cell r="E58" t="e">
            <v>#N/A</v>
          </cell>
          <cell r="G58" t="e">
            <v>#N/A</v>
          </cell>
          <cell r="J58" t="e">
            <v>#DIV/0!</v>
          </cell>
          <cell r="K58">
            <v>1</v>
          </cell>
        </row>
        <row r="59">
          <cell r="B59" t="e">
            <v>#DIV/0!</v>
          </cell>
          <cell r="C59">
            <v>1</v>
          </cell>
          <cell r="E59" t="e">
            <v>#N/A</v>
          </cell>
          <cell r="G59" t="e">
            <v>#N/A</v>
          </cell>
          <cell r="J59" t="e">
            <v>#DIV/0!</v>
          </cell>
          <cell r="K59">
            <v>1</v>
          </cell>
        </row>
        <row r="60">
          <cell r="B60" t="e">
            <v>#DIV/0!</v>
          </cell>
          <cell r="C60">
            <v>1</v>
          </cell>
          <cell r="E60" t="e">
            <v>#N/A</v>
          </cell>
          <cell r="G60" t="e">
            <v>#N/A</v>
          </cell>
          <cell r="J60" t="e">
            <v>#DIV/0!</v>
          </cell>
          <cell r="K60">
            <v>1</v>
          </cell>
        </row>
        <row r="61">
          <cell r="B61" t="e">
            <v>#DIV/0!</v>
          </cell>
          <cell r="C61">
            <v>1</v>
          </cell>
          <cell r="E61" t="e">
            <v>#N/A</v>
          </cell>
          <cell r="G61" t="e">
            <v>#N/A</v>
          </cell>
          <cell r="J61" t="e">
            <v>#DIV/0!</v>
          </cell>
          <cell r="K61">
            <v>1</v>
          </cell>
        </row>
        <row r="62">
          <cell r="B62" t="e">
            <v>#DIV/0!</v>
          </cell>
          <cell r="C62">
            <v>1</v>
          </cell>
          <cell r="E62" t="e">
            <v>#N/A</v>
          </cell>
          <cell r="G62" t="e">
            <v>#N/A</v>
          </cell>
          <cell r="J62" t="e">
            <v>#DIV/0!</v>
          </cell>
          <cell r="K62">
            <v>1</v>
          </cell>
        </row>
        <row r="63">
          <cell r="B63" t="e">
            <v>#DIV/0!</v>
          </cell>
          <cell r="C63">
            <v>1</v>
          </cell>
          <cell r="E63" t="e">
            <v>#N/A</v>
          </cell>
          <cell r="G63" t="e">
            <v>#N/A</v>
          </cell>
          <cell r="J63" t="e">
            <v>#DIV/0!</v>
          </cell>
          <cell r="K63">
            <v>1</v>
          </cell>
        </row>
        <row r="64">
          <cell r="B64" t="e">
            <v>#DIV/0!</v>
          </cell>
          <cell r="C64">
            <v>1</v>
          </cell>
          <cell r="E64" t="e">
            <v>#N/A</v>
          </cell>
          <cell r="G64" t="e">
            <v>#N/A</v>
          </cell>
          <cell r="J64" t="e">
            <v>#DIV/0!</v>
          </cell>
          <cell r="K64">
            <v>1</v>
          </cell>
        </row>
        <row r="65">
          <cell r="B65" t="e">
            <v>#DIV/0!</v>
          </cell>
          <cell r="C65">
            <v>1</v>
          </cell>
          <cell r="E65" t="e">
            <v>#N/A</v>
          </cell>
          <cell r="G65" t="e">
            <v>#N/A</v>
          </cell>
          <cell r="J65" t="e">
            <v>#DIV/0!</v>
          </cell>
          <cell r="K65">
            <v>1</v>
          </cell>
        </row>
        <row r="66">
          <cell r="B66" t="e">
            <v>#DIV/0!</v>
          </cell>
          <cell r="C66">
            <v>1</v>
          </cell>
          <cell r="E66" t="e">
            <v>#N/A</v>
          </cell>
          <cell r="G66" t="e">
            <v>#N/A</v>
          </cell>
          <cell r="J66" t="e">
            <v>#DIV/0!</v>
          </cell>
          <cell r="K66">
            <v>1</v>
          </cell>
        </row>
        <row r="67">
          <cell r="B67" t="e">
            <v>#DIV/0!</v>
          </cell>
          <cell r="C67">
            <v>1</v>
          </cell>
          <cell r="E67" t="e">
            <v>#N/A</v>
          </cell>
          <cell r="G67" t="e">
            <v>#N/A</v>
          </cell>
          <cell r="J67" t="e">
            <v>#DIV/0!</v>
          </cell>
          <cell r="K67">
            <v>1</v>
          </cell>
        </row>
        <row r="68">
          <cell r="B68" t="e">
            <v>#DIV/0!</v>
          </cell>
          <cell r="C68">
            <v>1</v>
          </cell>
          <cell r="E68" t="e">
            <v>#N/A</v>
          </cell>
          <cell r="G68" t="e">
            <v>#N/A</v>
          </cell>
          <cell r="J68" t="e">
            <v>#DIV/0!</v>
          </cell>
          <cell r="K68">
            <v>1</v>
          </cell>
        </row>
        <row r="69">
          <cell r="B69" t="e">
            <v>#DIV/0!</v>
          </cell>
          <cell r="C69">
            <v>1</v>
          </cell>
          <cell r="E69" t="e">
            <v>#N/A</v>
          </cell>
          <cell r="G69" t="e">
            <v>#N/A</v>
          </cell>
          <cell r="J69" t="e">
            <v>#DIV/0!</v>
          </cell>
          <cell r="K69">
            <v>1</v>
          </cell>
        </row>
        <row r="70">
          <cell r="B70" t="e">
            <v>#DIV/0!</v>
          </cell>
          <cell r="C70">
            <v>1</v>
          </cell>
          <cell r="E70" t="e">
            <v>#N/A</v>
          </cell>
          <cell r="G70" t="e">
            <v>#N/A</v>
          </cell>
          <cell r="J70" t="e">
            <v>#DIV/0!</v>
          </cell>
          <cell r="K70">
            <v>1</v>
          </cell>
        </row>
        <row r="71">
          <cell r="B71" t="e">
            <v>#DIV/0!</v>
          </cell>
          <cell r="C71">
            <v>1</v>
          </cell>
          <cell r="E71" t="e">
            <v>#N/A</v>
          </cell>
          <cell r="G71" t="e">
            <v>#N/A</v>
          </cell>
          <cell r="J71" t="e">
            <v>#DIV/0!</v>
          </cell>
          <cell r="K71">
            <v>1</v>
          </cell>
        </row>
        <row r="72">
          <cell r="B72" t="e">
            <v>#DIV/0!</v>
          </cell>
          <cell r="C72">
            <v>1</v>
          </cell>
          <cell r="E72" t="e">
            <v>#N/A</v>
          </cell>
          <cell r="G72" t="e">
            <v>#N/A</v>
          </cell>
          <cell r="J72" t="e">
            <v>#DIV/0!</v>
          </cell>
          <cell r="K72">
            <v>1</v>
          </cell>
        </row>
        <row r="73">
          <cell r="B73" t="e">
            <v>#DIV/0!</v>
          </cell>
          <cell r="C73">
            <v>1</v>
          </cell>
          <cell r="E73" t="e">
            <v>#N/A</v>
          </cell>
          <cell r="G73" t="e">
            <v>#N/A</v>
          </cell>
          <cell r="J73" t="e">
            <v>#DIV/0!</v>
          </cell>
          <cell r="K73">
            <v>1</v>
          </cell>
        </row>
        <row r="74">
          <cell r="B74" t="e">
            <v>#DIV/0!</v>
          </cell>
          <cell r="C74">
            <v>1</v>
          </cell>
          <cell r="E74" t="e">
            <v>#N/A</v>
          </cell>
          <cell r="G74" t="e">
            <v>#N/A</v>
          </cell>
          <cell r="J74" t="e">
            <v>#DIV/0!</v>
          </cell>
          <cell r="K74">
            <v>1</v>
          </cell>
        </row>
        <row r="75">
          <cell r="B75" t="e">
            <v>#DIV/0!</v>
          </cell>
          <cell r="C75">
            <v>1</v>
          </cell>
          <cell r="E75" t="e">
            <v>#N/A</v>
          </cell>
          <cell r="G75" t="e">
            <v>#N/A</v>
          </cell>
          <cell r="J75" t="e">
            <v>#DIV/0!</v>
          </cell>
          <cell r="K75">
            <v>1</v>
          </cell>
        </row>
        <row r="76">
          <cell r="B76" t="e">
            <v>#DIV/0!</v>
          </cell>
          <cell r="C76">
            <v>1</v>
          </cell>
          <cell r="E76" t="e">
            <v>#N/A</v>
          </cell>
          <cell r="G76" t="e">
            <v>#N/A</v>
          </cell>
          <cell r="J76" t="e">
            <v>#DIV/0!</v>
          </cell>
          <cell r="K76">
            <v>1</v>
          </cell>
        </row>
        <row r="77">
          <cell r="B77" t="e">
            <v>#DIV/0!</v>
          </cell>
          <cell r="C77">
            <v>1</v>
          </cell>
          <cell r="E77" t="e">
            <v>#N/A</v>
          </cell>
          <cell r="G77" t="e">
            <v>#N/A</v>
          </cell>
          <cell r="J77" t="e">
            <v>#DIV/0!</v>
          </cell>
          <cell r="K77">
            <v>1</v>
          </cell>
        </row>
        <row r="78">
          <cell r="B78" t="e">
            <v>#DIV/0!</v>
          </cell>
          <cell r="C78">
            <v>1</v>
          </cell>
          <cell r="E78" t="e">
            <v>#N/A</v>
          </cell>
          <cell r="G78" t="e">
            <v>#N/A</v>
          </cell>
          <cell r="J78" t="e">
            <v>#DIV/0!</v>
          </cell>
          <cell r="K78">
            <v>1</v>
          </cell>
        </row>
        <row r="79">
          <cell r="B79" t="e">
            <v>#DIV/0!</v>
          </cell>
          <cell r="C79">
            <v>1</v>
          </cell>
          <cell r="E79" t="e">
            <v>#N/A</v>
          </cell>
          <cell r="G79" t="e">
            <v>#N/A</v>
          </cell>
          <cell r="J79" t="e">
            <v>#DIV/0!</v>
          </cell>
          <cell r="K79">
            <v>1</v>
          </cell>
        </row>
        <row r="80">
          <cell r="B80" t="e">
            <v>#DIV/0!</v>
          </cell>
          <cell r="C80">
            <v>1</v>
          </cell>
          <cell r="E80" t="e">
            <v>#N/A</v>
          </cell>
          <cell r="G80" t="e">
            <v>#N/A</v>
          </cell>
          <cell r="J80" t="e">
            <v>#DIV/0!</v>
          </cell>
          <cell r="K80">
            <v>1</v>
          </cell>
        </row>
        <row r="81">
          <cell r="B81" t="e">
            <v>#DIV/0!</v>
          </cell>
          <cell r="C81">
            <v>1</v>
          </cell>
          <cell r="E81" t="e">
            <v>#N/A</v>
          </cell>
          <cell r="G81" t="e">
            <v>#N/A</v>
          </cell>
          <cell r="J81" t="e">
            <v>#DIV/0!</v>
          </cell>
          <cell r="K81">
            <v>1</v>
          </cell>
        </row>
        <row r="82">
          <cell r="B82" t="e">
            <v>#DIV/0!</v>
          </cell>
          <cell r="C82">
            <v>1</v>
          </cell>
          <cell r="E82" t="e">
            <v>#N/A</v>
          </cell>
          <cell r="G82" t="e">
            <v>#N/A</v>
          </cell>
          <cell r="J82" t="e">
            <v>#DIV/0!</v>
          </cell>
          <cell r="K82">
            <v>1</v>
          </cell>
        </row>
        <row r="83">
          <cell r="B83" t="e">
            <v>#DIV/0!</v>
          </cell>
          <cell r="C83">
            <v>1</v>
          </cell>
          <cell r="E83" t="e">
            <v>#N/A</v>
          </cell>
          <cell r="G83" t="e">
            <v>#N/A</v>
          </cell>
          <cell r="J83" t="e">
            <v>#DIV/0!</v>
          </cell>
          <cell r="K83">
            <v>1</v>
          </cell>
        </row>
        <row r="84">
          <cell r="B84" t="e">
            <v>#DIV/0!</v>
          </cell>
          <cell r="C84">
            <v>1</v>
          </cell>
          <cell r="E84" t="e">
            <v>#N/A</v>
          </cell>
          <cell r="G84" t="e">
            <v>#N/A</v>
          </cell>
          <cell r="J84" t="e">
            <v>#DIV/0!</v>
          </cell>
          <cell r="K84">
            <v>1</v>
          </cell>
        </row>
        <row r="85">
          <cell r="B85" t="e">
            <v>#DIV/0!</v>
          </cell>
          <cell r="C85">
            <v>1</v>
          </cell>
          <cell r="E85" t="e">
            <v>#N/A</v>
          </cell>
          <cell r="G85" t="e">
            <v>#N/A</v>
          </cell>
          <cell r="J85" t="e">
            <v>#DIV/0!</v>
          </cell>
          <cell r="K85">
            <v>1</v>
          </cell>
        </row>
        <row r="86">
          <cell r="B86" t="e">
            <v>#DIV/0!</v>
          </cell>
          <cell r="C86">
            <v>1</v>
          </cell>
          <cell r="E86" t="e">
            <v>#N/A</v>
          </cell>
          <cell r="G86" t="e">
            <v>#N/A</v>
          </cell>
          <cell r="J86" t="e">
            <v>#DIV/0!</v>
          </cell>
          <cell r="K86">
            <v>1</v>
          </cell>
        </row>
        <row r="87">
          <cell r="B87" t="e">
            <v>#DIV/0!</v>
          </cell>
          <cell r="C87">
            <v>1</v>
          </cell>
          <cell r="E87" t="e">
            <v>#N/A</v>
          </cell>
          <cell r="G87" t="e">
            <v>#N/A</v>
          </cell>
          <cell r="J87" t="e">
            <v>#DIV/0!</v>
          </cell>
          <cell r="K87">
            <v>1</v>
          </cell>
        </row>
        <row r="88">
          <cell r="B88" t="e">
            <v>#DIV/0!</v>
          </cell>
          <cell r="C88">
            <v>1</v>
          </cell>
          <cell r="E88" t="e">
            <v>#N/A</v>
          </cell>
          <cell r="G88" t="e">
            <v>#N/A</v>
          </cell>
          <cell r="J88" t="e">
            <v>#DIV/0!</v>
          </cell>
          <cell r="K88">
            <v>1</v>
          </cell>
        </row>
        <row r="89">
          <cell r="B89" t="e">
            <v>#DIV/0!</v>
          </cell>
          <cell r="C89">
            <v>1</v>
          </cell>
          <cell r="E89" t="e">
            <v>#N/A</v>
          </cell>
          <cell r="G89" t="e">
            <v>#N/A</v>
          </cell>
          <cell r="J89" t="e">
            <v>#DIV/0!</v>
          </cell>
          <cell r="K89">
            <v>1</v>
          </cell>
        </row>
        <row r="90">
          <cell r="B90" t="e">
            <v>#DIV/0!</v>
          </cell>
          <cell r="C90">
            <v>1</v>
          </cell>
          <cell r="E90" t="e">
            <v>#N/A</v>
          </cell>
          <cell r="G90" t="e">
            <v>#N/A</v>
          </cell>
          <cell r="J90" t="e">
            <v>#DIV/0!</v>
          </cell>
          <cell r="K90">
            <v>1</v>
          </cell>
        </row>
        <row r="91">
          <cell r="B91" t="e">
            <v>#DIV/0!</v>
          </cell>
          <cell r="C91">
            <v>1</v>
          </cell>
          <cell r="E91" t="e">
            <v>#N/A</v>
          </cell>
          <cell r="G91" t="e">
            <v>#N/A</v>
          </cell>
          <cell r="J91" t="e">
            <v>#DIV/0!</v>
          </cell>
          <cell r="K91">
            <v>1</v>
          </cell>
        </row>
        <row r="92">
          <cell r="B92" t="e">
            <v>#DIV/0!</v>
          </cell>
          <cell r="C92">
            <v>1</v>
          </cell>
          <cell r="E92" t="e">
            <v>#N/A</v>
          </cell>
          <cell r="G92" t="e">
            <v>#N/A</v>
          </cell>
          <cell r="J92" t="e">
            <v>#DIV/0!</v>
          </cell>
          <cell r="K92">
            <v>1</v>
          </cell>
        </row>
        <row r="93">
          <cell r="B93" t="e">
            <v>#DIV/0!</v>
          </cell>
          <cell r="C93">
            <v>1</v>
          </cell>
          <cell r="E93" t="e">
            <v>#N/A</v>
          </cell>
          <cell r="G93" t="e">
            <v>#N/A</v>
          </cell>
          <cell r="J93" t="e">
            <v>#DIV/0!</v>
          </cell>
          <cell r="K93">
            <v>1</v>
          </cell>
        </row>
        <row r="94">
          <cell r="B94" t="e">
            <v>#DIV/0!</v>
          </cell>
          <cell r="C94">
            <v>1</v>
          </cell>
          <cell r="E94" t="e">
            <v>#N/A</v>
          </cell>
          <cell r="G94" t="e">
            <v>#N/A</v>
          </cell>
          <cell r="J94" t="e">
            <v>#DIV/0!</v>
          </cell>
          <cell r="K94">
            <v>1</v>
          </cell>
        </row>
        <row r="95">
          <cell r="B95" t="e">
            <v>#DIV/0!</v>
          </cell>
          <cell r="C95">
            <v>1</v>
          </cell>
          <cell r="E95" t="e">
            <v>#N/A</v>
          </cell>
          <cell r="G95" t="e">
            <v>#N/A</v>
          </cell>
          <cell r="J95" t="e">
            <v>#DIV/0!</v>
          </cell>
          <cell r="K95">
            <v>1</v>
          </cell>
        </row>
        <row r="96">
          <cell r="B96" t="e">
            <v>#DIV/0!</v>
          </cell>
          <cell r="C96">
            <v>1</v>
          </cell>
          <cell r="E96" t="e">
            <v>#N/A</v>
          </cell>
          <cell r="G96" t="e">
            <v>#N/A</v>
          </cell>
          <cell r="J96" t="e">
            <v>#DIV/0!</v>
          </cell>
          <cell r="K96">
            <v>1</v>
          </cell>
        </row>
        <row r="97">
          <cell r="B97" t="e">
            <v>#DIV/0!</v>
          </cell>
          <cell r="C97">
            <v>1</v>
          </cell>
          <cell r="E97" t="e">
            <v>#N/A</v>
          </cell>
          <cell r="G97" t="e">
            <v>#N/A</v>
          </cell>
          <cell r="J97" t="e">
            <v>#DIV/0!</v>
          </cell>
          <cell r="K97">
            <v>1</v>
          </cell>
        </row>
        <row r="98">
          <cell r="B98" t="e">
            <v>#DIV/0!</v>
          </cell>
          <cell r="C98">
            <v>1</v>
          </cell>
          <cell r="E98" t="e">
            <v>#N/A</v>
          </cell>
          <cell r="G98" t="e">
            <v>#N/A</v>
          </cell>
          <cell r="J98" t="e">
            <v>#DIV/0!</v>
          </cell>
          <cell r="K98">
            <v>1</v>
          </cell>
        </row>
        <row r="99">
          <cell r="B99" t="e">
            <v>#DIV/0!</v>
          </cell>
          <cell r="C99">
            <v>1</v>
          </cell>
          <cell r="E99" t="e">
            <v>#N/A</v>
          </cell>
          <cell r="G99" t="e">
            <v>#N/A</v>
          </cell>
          <cell r="J99" t="e">
            <v>#DIV/0!</v>
          </cell>
          <cell r="K99">
            <v>1</v>
          </cell>
        </row>
        <row r="100">
          <cell r="B100" t="e">
            <v>#DIV/0!</v>
          </cell>
          <cell r="C100">
            <v>1</v>
          </cell>
          <cell r="E100" t="e">
            <v>#N/A</v>
          </cell>
          <cell r="G100" t="e">
            <v>#N/A</v>
          </cell>
          <cell r="J100" t="e">
            <v>#DIV/0!</v>
          </cell>
          <cell r="K100">
            <v>1</v>
          </cell>
        </row>
        <row r="101">
          <cell r="B101" t="e">
            <v>#DIV/0!</v>
          </cell>
          <cell r="C101">
            <v>1</v>
          </cell>
          <cell r="E101" t="e">
            <v>#N/A</v>
          </cell>
          <cell r="G101" t="e">
            <v>#N/A</v>
          </cell>
          <cell r="J101" t="e">
            <v>#DIV/0!</v>
          </cell>
          <cell r="K101">
            <v>1</v>
          </cell>
        </row>
        <row r="102">
          <cell r="B102" t="e">
            <v>#DIV/0!</v>
          </cell>
          <cell r="C102">
            <v>1</v>
          </cell>
          <cell r="E102" t="e">
            <v>#N/A</v>
          </cell>
          <cell r="G102" t="e">
            <v>#N/A</v>
          </cell>
          <cell r="J102" t="e">
            <v>#DIV/0!</v>
          </cell>
          <cell r="K102">
            <v>1</v>
          </cell>
        </row>
        <row r="103">
          <cell r="B103" t="e">
            <v>#DIV/0!</v>
          </cell>
          <cell r="C103">
            <v>1</v>
          </cell>
          <cell r="E103" t="e">
            <v>#N/A</v>
          </cell>
          <cell r="G103" t="e">
            <v>#N/A</v>
          </cell>
          <cell r="J103" t="e">
            <v>#DIV/0!</v>
          </cell>
          <cell r="K103">
            <v>1</v>
          </cell>
        </row>
        <row r="104">
          <cell r="B104" t="e">
            <v>#DIV/0!</v>
          </cell>
          <cell r="C104">
            <v>1</v>
          </cell>
          <cell r="E104" t="e">
            <v>#N/A</v>
          </cell>
          <cell r="G104" t="e">
            <v>#N/A</v>
          </cell>
          <cell r="J104" t="e">
            <v>#DIV/0!</v>
          </cell>
          <cell r="K104">
            <v>1</v>
          </cell>
        </row>
        <row r="105">
          <cell r="B105" t="e">
            <v>#DIV/0!</v>
          </cell>
          <cell r="C105">
            <v>1</v>
          </cell>
          <cell r="E105" t="e">
            <v>#N/A</v>
          </cell>
          <cell r="G105" t="e">
            <v>#N/A</v>
          </cell>
          <cell r="J105" t="e">
            <v>#DIV/0!</v>
          </cell>
          <cell r="K105">
            <v>1</v>
          </cell>
        </row>
        <row r="106">
          <cell r="B106" t="e">
            <v>#DIV/0!</v>
          </cell>
          <cell r="C106">
            <v>1</v>
          </cell>
          <cell r="E106" t="e">
            <v>#N/A</v>
          </cell>
          <cell r="G106" t="e">
            <v>#N/A</v>
          </cell>
          <cell r="J106" t="e">
            <v>#DIV/0!</v>
          </cell>
          <cell r="K106">
            <v>1</v>
          </cell>
        </row>
        <row r="107">
          <cell r="B107" t="e">
            <v>#DIV/0!</v>
          </cell>
          <cell r="C107">
            <v>1</v>
          </cell>
          <cell r="E107" t="e">
            <v>#N/A</v>
          </cell>
          <cell r="G107" t="e">
            <v>#N/A</v>
          </cell>
          <cell r="J107" t="e">
            <v>#DIV/0!</v>
          </cell>
          <cell r="K107">
            <v>1</v>
          </cell>
        </row>
        <row r="108">
          <cell r="B108" t="e">
            <v>#DIV/0!</v>
          </cell>
          <cell r="C108">
            <v>1</v>
          </cell>
          <cell r="E108" t="e">
            <v>#N/A</v>
          </cell>
          <cell r="G108" t="e">
            <v>#N/A</v>
          </cell>
          <cell r="J108" t="e">
            <v>#DIV/0!</v>
          </cell>
          <cell r="K108">
            <v>1</v>
          </cell>
        </row>
        <row r="109">
          <cell r="B109" t="e">
            <v>#DIV/0!</v>
          </cell>
          <cell r="C109">
            <v>1</v>
          </cell>
          <cell r="E109" t="e">
            <v>#N/A</v>
          </cell>
          <cell r="G109" t="e">
            <v>#N/A</v>
          </cell>
          <cell r="J109" t="e">
            <v>#DIV/0!</v>
          </cell>
          <cell r="K109">
            <v>1</v>
          </cell>
        </row>
        <row r="110">
          <cell r="B110" t="e">
            <v>#DIV/0!</v>
          </cell>
          <cell r="C110">
            <v>1</v>
          </cell>
          <cell r="E110" t="e">
            <v>#N/A</v>
          </cell>
          <cell r="G110" t="e">
            <v>#N/A</v>
          </cell>
          <cell r="J110" t="e">
            <v>#DIV/0!</v>
          </cell>
          <cell r="K110">
            <v>1</v>
          </cell>
        </row>
        <row r="111">
          <cell r="B111" t="e">
            <v>#DIV/0!</v>
          </cell>
          <cell r="C111">
            <v>1</v>
          </cell>
          <cell r="E111" t="e">
            <v>#N/A</v>
          </cell>
          <cell r="G111" t="e">
            <v>#N/A</v>
          </cell>
          <cell r="J111" t="e">
            <v>#DIV/0!</v>
          </cell>
          <cell r="K111">
            <v>1</v>
          </cell>
        </row>
        <row r="112">
          <cell r="B112" t="e">
            <v>#DIV/0!</v>
          </cell>
          <cell r="C112">
            <v>1</v>
          </cell>
          <cell r="E112" t="e">
            <v>#N/A</v>
          </cell>
          <cell r="G112" t="e">
            <v>#N/A</v>
          </cell>
          <cell r="J112" t="e">
            <v>#DIV/0!</v>
          </cell>
          <cell r="K112">
            <v>1</v>
          </cell>
        </row>
        <row r="113">
          <cell r="B113" t="e">
            <v>#DIV/0!</v>
          </cell>
          <cell r="C113">
            <v>1</v>
          </cell>
          <cell r="E113" t="e">
            <v>#N/A</v>
          </cell>
          <cell r="G113" t="e">
            <v>#N/A</v>
          </cell>
          <cell r="J113" t="e">
            <v>#DIV/0!</v>
          </cell>
          <cell r="K113">
            <v>1</v>
          </cell>
        </row>
        <row r="114">
          <cell r="B114" t="e">
            <v>#DIV/0!</v>
          </cell>
          <cell r="C114">
            <v>1</v>
          </cell>
          <cell r="E114" t="e">
            <v>#N/A</v>
          </cell>
          <cell r="G114" t="e">
            <v>#N/A</v>
          </cell>
          <cell r="J114" t="e">
            <v>#DIV/0!</v>
          </cell>
          <cell r="K114">
            <v>1</v>
          </cell>
        </row>
        <row r="115">
          <cell r="B115" t="e">
            <v>#DIV/0!</v>
          </cell>
          <cell r="C115">
            <v>1</v>
          </cell>
          <cell r="E115" t="e">
            <v>#N/A</v>
          </cell>
          <cell r="G115" t="e">
            <v>#N/A</v>
          </cell>
          <cell r="J115" t="e">
            <v>#DIV/0!</v>
          </cell>
          <cell r="K115">
            <v>1</v>
          </cell>
        </row>
        <row r="116">
          <cell r="B116" t="e">
            <v>#DIV/0!</v>
          </cell>
          <cell r="C116">
            <v>1</v>
          </cell>
          <cell r="E116" t="e">
            <v>#N/A</v>
          </cell>
          <cell r="G116" t="e">
            <v>#N/A</v>
          </cell>
          <cell r="J116" t="e">
            <v>#DIV/0!</v>
          </cell>
          <cell r="K116">
            <v>1</v>
          </cell>
        </row>
        <row r="117">
          <cell r="B117" t="e">
            <v>#DIV/0!</v>
          </cell>
          <cell r="C117">
            <v>1</v>
          </cell>
          <cell r="E117" t="e">
            <v>#N/A</v>
          </cell>
          <cell r="G117" t="e">
            <v>#N/A</v>
          </cell>
          <cell r="J117" t="e">
            <v>#DIV/0!</v>
          </cell>
          <cell r="K117">
            <v>1</v>
          </cell>
        </row>
        <row r="118">
          <cell r="B118" t="e">
            <v>#DIV/0!</v>
          </cell>
          <cell r="C118">
            <v>1</v>
          </cell>
          <cell r="E118" t="e">
            <v>#N/A</v>
          </cell>
          <cell r="G118" t="e">
            <v>#N/A</v>
          </cell>
          <cell r="J118" t="e">
            <v>#DIV/0!</v>
          </cell>
          <cell r="K118">
            <v>1</v>
          </cell>
        </row>
        <row r="119">
          <cell r="B119" t="e">
            <v>#DIV/0!</v>
          </cell>
          <cell r="C119">
            <v>1</v>
          </cell>
          <cell r="E119" t="e">
            <v>#N/A</v>
          </cell>
          <cell r="G119" t="e">
            <v>#N/A</v>
          </cell>
          <cell r="J119" t="e">
            <v>#DIV/0!</v>
          </cell>
          <cell r="K119">
            <v>1</v>
          </cell>
        </row>
        <row r="120">
          <cell r="B120" t="e">
            <v>#DIV/0!</v>
          </cell>
          <cell r="C120">
            <v>1</v>
          </cell>
          <cell r="E120" t="e">
            <v>#N/A</v>
          </cell>
          <cell r="G120" t="e">
            <v>#N/A</v>
          </cell>
          <cell r="J120" t="e">
            <v>#DIV/0!</v>
          </cell>
          <cell r="K120">
            <v>1</v>
          </cell>
        </row>
        <row r="121">
          <cell r="B121" t="e">
            <v>#DIV/0!</v>
          </cell>
          <cell r="C121">
            <v>1</v>
          </cell>
          <cell r="E121" t="e">
            <v>#N/A</v>
          </cell>
          <cell r="G121" t="e">
            <v>#N/A</v>
          </cell>
          <cell r="J121" t="e">
            <v>#DIV/0!</v>
          </cell>
          <cell r="K121">
            <v>1</v>
          </cell>
        </row>
        <row r="122">
          <cell r="B122" t="e">
            <v>#DIV/0!</v>
          </cell>
          <cell r="C122">
            <v>1</v>
          </cell>
          <cell r="E122" t="e">
            <v>#N/A</v>
          </cell>
          <cell r="G122" t="e">
            <v>#N/A</v>
          </cell>
          <cell r="J122" t="e">
            <v>#DIV/0!</v>
          </cell>
          <cell r="K122">
            <v>1</v>
          </cell>
        </row>
        <row r="123">
          <cell r="B123" t="e">
            <v>#DIV/0!</v>
          </cell>
          <cell r="C123">
            <v>1</v>
          </cell>
          <cell r="E123" t="e">
            <v>#N/A</v>
          </cell>
          <cell r="G123" t="e">
            <v>#N/A</v>
          </cell>
          <cell r="J123" t="e">
            <v>#DIV/0!</v>
          </cell>
          <cell r="K123">
            <v>1</v>
          </cell>
        </row>
        <row r="124">
          <cell r="B124" t="e">
            <v>#DIV/0!</v>
          </cell>
          <cell r="C124">
            <v>1</v>
          </cell>
          <cell r="E124" t="e">
            <v>#N/A</v>
          </cell>
          <cell r="G124" t="e">
            <v>#N/A</v>
          </cell>
          <cell r="J124" t="e">
            <v>#DIV/0!</v>
          </cell>
          <cell r="K124">
            <v>1</v>
          </cell>
        </row>
        <row r="125">
          <cell r="B125" t="e">
            <v>#DIV/0!</v>
          </cell>
          <cell r="C125">
            <v>1</v>
          </cell>
          <cell r="E125" t="e">
            <v>#N/A</v>
          </cell>
          <cell r="G125" t="e">
            <v>#N/A</v>
          </cell>
          <cell r="J125" t="e">
            <v>#DIV/0!</v>
          </cell>
          <cell r="K125">
            <v>1</v>
          </cell>
        </row>
        <row r="126">
          <cell r="B126" t="e">
            <v>#DIV/0!</v>
          </cell>
          <cell r="C126">
            <v>1</v>
          </cell>
          <cell r="E126" t="e">
            <v>#N/A</v>
          </cell>
          <cell r="G126" t="e">
            <v>#N/A</v>
          </cell>
          <cell r="J126" t="e">
            <v>#DIV/0!</v>
          </cell>
          <cell r="K126">
            <v>1</v>
          </cell>
        </row>
        <row r="127">
          <cell r="B127" t="e">
            <v>#DIV/0!</v>
          </cell>
          <cell r="C127">
            <v>1</v>
          </cell>
          <cell r="E127" t="e">
            <v>#N/A</v>
          </cell>
          <cell r="G127" t="e">
            <v>#N/A</v>
          </cell>
          <cell r="J127" t="e">
            <v>#DIV/0!</v>
          </cell>
          <cell r="K127">
            <v>1</v>
          </cell>
        </row>
        <row r="128">
          <cell r="B128" t="e">
            <v>#DIV/0!</v>
          </cell>
          <cell r="C128">
            <v>1</v>
          </cell>
          <cell r="E128" t="e">
            <v>#N/A</v>
          </cell>
          <cell r="G128" t="e">
            <v>#N/A</v>
          </cell>
          <cell r="J128" t="e">
            <v>#DIV/0!</v>
          </cell>
          <cell r="K128">
            <v>1</v>
          </cell>
        </row>
        <row r="129">
          <cell r="B129" t="e">
            <v>#DIV/0!</v>
          </cell>
          <cell r="C129">
            <v>1</v>
          </cell>
          <cell r="E129" t="e">
            <v>#N/A</v>
          </cell>
          <cell r="G129" t="e">
            <v>#N/A</v>
          </cell>
          <cell r="J129" t="e">
            <v>#DIV/0!</v>
          </cell>
          <cell r="K129">
            <v>1</v>
          </cell>
        </row>
        <row r="130">
          <cell r="B130" t="e">
            <v>#DIV/0!</v>
          </cell>
          <cell r="C130">
            <v>1</v>
          </cell>
          <cell r="E130" t="e">
            <v>#N/A</v>
          </cell>
          <cell r="G130" t="e">
            <v>#N/A</v>
          </cell>
          <cell r="J130" t="e">
            <v>#DIV/0!</v>
          </cell>
          <cell r="K130">
            <v>1</v>
          </cell>
        </row>
        <row r="131">
          <cell r="B131" t="e">
            <v>#DIV/0!</v>
          </cell>
          <cell r="C131">
            <v>1</v>
          </cell>
          <cell r="E131" t="e">
            <v>#N/A</v>
          </cell>
          <cell r="G131" t="e">
            <v>#N/A</v>
          </cell>
          <cell r="J131" t="e">
            <v>#DIV/0!</v>
          </cell>
          <cell r="K131">
            <v>1</v>
          </cell>
        </row>
        <row r="132">
          <cell r="B132" t="e">
            <v>#DIV/0!</v>
          </cell>
          <cell r="C132">
            <v>1</v>
          </cell>
          <cell r="E132" t="e">
            <v>#N/A</v>
          </cell>
          <cell r="G132" t="e">
            <v>#N/A</v>
          </cell>
          <cell r="J132" t="e">
            <v>#DIV/0!</v>
          </cell>
          <cell r="K132">
            <v>1</v>
          </cell>
        </row>
        <row r="133">
          <cell r="B133" t="e">
            <v>#DIV/0!</v>
          </cell>
          <cell r="C133">
            <v>1</v>
          </cell>
          <cell r="E133" t="e">
            <v>#N/A</v>
          </cell>
          <cell r="G133" t="e">
            <v>#N/A</v>
          </cell>
          <cell r="J133" t="e">
            <v>#DIV/0!</v>
          </cell>
          <cell r="K133">
            <v>1</v>
          </cell>
        </row>
        <row r="134">
          <cell r="B134" t="e">
            <v>#DIV/0!</v>
          </cell>
          <cell r="C134">
            <v>1</v>
          </cell>
          <cell r="E134" t="e">
            <v>#N/A</v>
          </cell>
          <cell r="G134" t="e">
            <v>#N/A</v>
          </cell>
          <cell r="J134" t="e">
            <v>#DIV/0!</v>
          </cell>
          <cell r="K134">
            <v>1</v>
          </cell>
        </row>
        <row r="135">
          <cell r="B135" t="e">
            <v>#DIV/0!</v>
          </cell>
          <cell r="C135">
            <v>1</v>
          </cell>
          <cell r="E135" t="e">
            <v>#N/A</v>
          </cell>
          <cell r="G135" t="e">
            <v>#N/A</v>
          </cell>
          <cell r="J135" t="e">
            <v>#DIV/0!</v>
          </cell>
          <cell r="K135">
            <v>1</v>
          </cell>
        </row>
        <row r="136">
          <cell r="B136" t="e">
            <v>#DIV/0!</v>
          </cell>
          <cell r="C136">
            <v>1</v>
          </cell>
          <cell r="E136" t="e">
            <v>#N/A</v>
          </cell>
          <cell r="G136" t="e">
            <v>#N/A</v>
          </cell>
          <cell r="J136" t="e">
            <v>#DIV/0!</v>
          </cell>
          <cell r="K136">
            <v>1</v>
          </cell>
        </row>
        <row r="137">
          <cell r="B137" t="e">
            <v>#DIV/0!</v>
          </cell>
          <cell r="C137">
            <v>1</v>
          </cell>
          <cell r="E137" t="e">
            <v>#N/A</v>
          </cell>
          <cell r="G137" t="e">
            <v>#N/A</v>
          </cell>
          <cell r="J137" t="e">
            <v>#DIV/0!</v>
          </cell>
          <cell r="K137">
            <v>1</v>
          </cell>
        </row>
        <row r="138">
          <cell r="B138" t="e">
            <v>#DIV/0!</v>
          </cell>
          <cell r="C138">
            <v>1</v>
          </cell>
          <cell r="E138" t="e">
            <v>#N/A</v>
          </cell>
          <cell r="G138" t="e">
            <v>#N/A</v>
          </cell>
          <cell r="J138" t="e">
            <v>#DIV/0!</v>
          </cell>
          <cell r="K138">
            <v>1</v>
          </cell>
        </row>
        <row r="139">
          <cell r="B139" t="e">
            <v>#DIV/0!</v>
          </cell>
          <cell r="C139">
            <v>1</v>
          </cell>
          <cell r="E139" t="e">
            <v>#N/A</v>
          </cell>
          <cell r="G139" t="e">
            <v>#N/A</v>
          </cell>
          <cell r="J139" t="e">
            <v>#DIV/0!</v>
          </cell>
          <cell r="K139">
            <v>1</v>
          </cell>
        </row>
        <row r="140">
          <cell r="B140" t="e">
            <v>#DIV/0!</v>
          </cell>
          <cell r="C140">
            <v>1</v>
          </cell>
          <cell r="E140" t="e">
            <v>#N/A</v>
          </cell>
          <cell r="G140" t="e">
            <v>#N/A</v>
          </cell>
          <cell r="J140" t="e">
            <v>#DIV/0!</v>
          </cell>
          <cell r="K140">
            <v>1</v>
          </cell>
        </row>
        <row r="141">
          <cell r="B141" t="e">
            <v>#DIV/0!</v>
          </cell>
          <cell r="C141">
            <v>1</v>
          </cell>
          <cell r="E141" t="e">
            <v>#N/A</v>
          </cell>
          <cell r="G141" t="e">
            <v>#N/A</v>
          </cell>
          <cell r="J141" t="e">
            <v>#DIV/0!</v>
          </cell>
          <cell r="K141">
            <v>1</v>
          </cell>
        </row>
        <row r="142">
          <cell r="B142" t="e">
            <v>#DIV/0!</v>
          </cell>
          <cell r="C142">
            <v>1</v>
          </cell>
          <cell r="E142" t="e">
            <v>#N/A</v>
          </cell>
          <cell r="G142" t="e">
            <v>#N/A</v>
          </cell>
          <cell r="J142" t="e">
            <v>#DIV/0!</v>
          </cell>
          <cell r="K142">
            <v>1</v>
          </cell>
        </row>
        <row r="143">
          <cell r="B143" t="e">
            <v>#DIV/0!</v>
          </cell>
          <cell r="C143">
            <v>1</v>
          </cell>
          <cell r="E143" t="e">
            <v>#N/A</v>
          </cell>
          <cell r="G143" t="e">
            <v>#N/A</v>
          </cell>
          <cell r="J143" t="e">
            <v>#DIV/0!</v>
          </cell>
          <cell r="K143">
            <v>1</v>
          </cell>
        </row>
        <row r="144">
          <cell r="B144" t="e">
            <v>#DIV/0!</v>
          </cell>
          <cell r="C144">
            <v>1</v>
          </cell>
          <cell r="E144" t="e">
            <v>#N/A</v>
          </cell>
          <cell r="G144" t="e">
            <v>#N/A</v>
          </cell>
          <cell r="J144" t="e">
            <v>#DIV/0!</v>
          </cell>
          <cell r="K144">
            <v>1</v>
          </cell>
        </row>
        <row r="145">
          <cell r="B145" t="e">
            <v>#DIV/0!</v>
          </cell>
          <cell r="C145">
            <v>1</v>
          </cell>
          <cell r="E145" t="e">
            <v>#N/A</v>
          </cell>
          <cell r="G145" t="e">
            <v>#N/A</v>
          </cell>
          <cell r="J145" t="e">
            <v>#DIV/0!</v>
          </cell>
          <cell r="K145">
            <v>1</v>
          </cell>
        </row>
        <row r="146">
          <cell r="B146" t="e">
            <v>#DIV/0!</v>
          </cell>
          <cell r="C146">
            <v>1</v>
          </cell>
          <cell r="E146" t="e">
            <v>#N/A</v>
          </cell>
          <cell r="G146" t="e">
            <v>#N/A</v>
          </cell>
          <cell r="J146" t="e">
            <v>#DIV/0!</v>
          </cell>
          <cell r="K146">
            <v>1</v>
          </cell>
        </row>
        <row r="147">
          <cell r="B147" t="e">
            <v>#DIV/0!</v>
          </cell>
          <cell r="C147">
            <v>1</v>
          </cell>
          <cell r="E147" t="e">
            <v>#N/A</v>
          </cell>
          <cell r="G147" t="e">
            <v>#N/A</v>
          </cell>
          <cell r="J147" t="e">
            <v>#DIV/0!</v>
          </cell>
          <cell r="K147">
            <v>1</v>
          </cell>
        </row>
        <row r="148">
          <cell r="B148" t="e">
            <v>#DIV/0!</v>
          </cell>
          <cell r="C148">
            <v>1</v>
          </cell>
          <cell r="E148" t="e">
            <v>#N/A</v>
          </cell>
          <cell r="G148" t="e">
            <v>#N/A</v>
          </cell>
          <cell r="J148" t="e">
            <v>#DIV/0!</v>
          </cell>
          <cell r="K148">
            <v>1</v>
          </cell>
        </row>
        <row r="149">
          <cell r="B149" t="e">
            <v>#DIV/0!</v>
          </cell>
          <cell r="C149">
            <v>1</v>
          </cell>
          <cell r="E149" t="e">
            <v>#N/A</v>
          </cell>
          <cell r="G149" t="e">
            <v>#N/A</v>
          </cell>
          <cell r="J149" t="e">
            <v>#DIV/0!</v>
          </cell>
          <cell r="K149">
            <v>1</v>
          </cell>
        </row>
        <row r="150">
          <cell r="B150" t="e">
            <v>#DIV/0!</v>
          </cell>
          <cell r="C150">
            <v>1</v>
          </cell>
          <cell r="E150" t="e">
            <v>#N/A</v>
          </cell>
          <cell r="G150" t="e">
            <v>#N/A</v>
          </cell>
          <cell r="J150" t="e">
            <v>#DIV/0!</v>
          </cell>
          <cell r="K150">
            <v>1</v>
          </cell>
        </row>
        <row r="151">
          <cell r="B151" t="e">
            <v>#DIV/0!</v>
          </cell>
          <cell r="C151">
            <v>1</v>
          </cell>
          <cell r="E151" t="e">
            <v>#N/A</v>
          </cell>
          <cell r="G151" t="e">
            <v>#N/A</v>
          </cell>
          <cell r="J151" t="e">
            <v>#DIV/0!</v>
          </cell>
          <cell r="K151">
            <v>1</v>
          </cell>
        </row>
        <row r="152">
          <cell r="B152" t="e">
            <v>#DIV/0!</v>
          </cell>
          <cell r="C152">
            <v>1</v>
          </cell>
          <cell r="E152" t="e">
            <v>#N/A</v>
          </cell>
          <cell r="G152" t="e">
            <v>#N/A</v>
          </cell>
          <cell r="J152" t="e">
            <v>#DIV/0!</v>
          </cell>
          <cell r="K152">
            <v>1</v>
          </cell>
        </row>
        <row r="153">
          <cell r="B153" t="e">
            <v>#DIV/0!</v>
          </cell>
          <cell r="C153">
            <v>1</v>
          </cell>
          <cell r="E153" t="e">
            <v>#N/A</v>
          </cell>
          <cell r="G153" t="e">
            <v>#N/A</v>
          </cell>
          <cell r="J153" t="e">
            <v>#DIV/0!</v>
          </cell>
          <cell r="K153">
            <v>1</v>
          </cell>
        </row>
        <row r="154">
          <cell r="B154" t="e">
            <v>#DIV/0!</v>
          </cell>
          <cell r="C154">
            <v>1</v>
          </cell>
          <cell r="E154" t="e">
            <v>#N/A</v>
          </cell>
          <cell r="G154" t="e">
            <v>#N/A</v>
          </cell>
          <cell r="J154" t="e">
            <v>#DIV/0!</v>
          </cell>
          <cell r="K154">
            <v>1</v>
          </cell>
        </row>
        <row r="155">
          <cell r="B155" t="e">
            <v>#DIV/0!</v>
          </cell>
          <cell r="C155">
            <v>1</v>
          </cell>
          <cell r="E155" t="e">
            <v>#N/A</v>
          </cell>
          <cell r="G155" t="e">
            <v>#N/A</v>
          </cell>
          <cell r="J155" t="e">
            <v>#DIV/0!</v>
          </cell>
          <cell r="K155">
            <v>1</v>
          </cell>
        </row>
        <row r="156">
          <cell r="B156" t="e">
            <v>#DIV/0!</v>
          </cell>
          <cell r="C156">
            <v>1</v>
          </cell>
          <cell r="E156" t="e">
            <v>#N/A</v>
          </cell>
          <cell r="G156" t="e">
            <v>#N/A</v>
          </cell>
          <cell r="J156" t="e">
            <v>#DIV/0!</v>
          </cell>
          <cell r="K156">
            <v>1</v>
          </cell>
        </row>
        <row r="157">
          <cell r="B157" t="e">
            <v>#DIV/0!</v>
          </cell>
          <cell r="C157">
            <v>1</v>
          </cell>
          <cell r="E157" t="e">
            <v>#N/A</v>
          </cell>
          <cell r="G157" t="e">
            <v>#N/A</v>
          </cell>
          <cell r="J157" t="e">
            <v>#DIV/0!</v>
          </cell>
          <cell r="K157">
            <v>1</v>
          </cell>
        </row>
        <row r="158">
          <cell r="B158" t="e">
            <v>#DIV/0!</v>
          </cell>
          <cell r="C158">
            <v>1</v>
          </cell>
          <cell r="E158" t="e">
            <v>#N/A</v>
          </cell>
          <cell r="G158" t="e">
            <v>#N/A</v>
          </cell>
          <cell r="J158" t="e">
            <v>#DIV/0!</v>
          </cell>
          <cell r="K158">
            <v>1</v>
          </cell>
        </row>
        <row r="159">
          <cell r="B159" t="e">
            <v>#DIV/0!</v>
          </cell>
          <cell r="C159">
            <v>1</v>
          </cell>
          <cell r="E159" t="e">
            <v>#N/A</v>
          </cell>
          <cell r="G159" t="e">
            <v>#N/A</v>
          </cell>
          <cell r="J159" t="e">
            <v>#DIV/0!</v>
          </cell>
          <cell r="K159">
            <v>1</v>
          </cell>
        </row>
        <row r="160">
          <cell r="B160" t="e">
            <v>#DIV/0!</v>
          </cell>
          <cell r="C160">
            <v>1</v>
          </cell>
          <cell r="E160" t="e">
            <v>#N/A</v>
          </cell>
          <cell r="G160" t="e">
            <v>#N/A</v>
          </cell>
          <cell r="J160" t="e">
            <v>#DIV/0!</v>
          </cell>
          <cell r="K160">
            <v>1</v>
          </cell>
        </row>
        <row r="161">
          <cell r="B161" t="e">
            <v>#DIV/0!</v>
          </cell>
          <cell r="C161">
            <v>1</v>
          </cell>
          <cell r="E161" t="e">
            <v>#N/A</v>
          </cell>
          <cell r="G161" t="e">
            <v>#N/A</v>
          </cell>
          <cell r="J161" t="e">
            <v>#DIV/0!</v>
          </cell>
          <cell r="K161">
            <v>1</v>
          </cell>
        </row>
        <row r="162">
          <cell r="B162" t="e">
            <v>#DIV/0!</v>
          </cell>
          <cell r="C162">
            <v>1</v>
          </cell>
          <cell r="E162" t="e">
            <v>#N/A</v>
          </cell>
          <cell r="G162" t="e">
            <v>#N/A</v>
          </cell>
          <cell r="J162" t="e">
            <v>#DIV/0!</v>
          </cell>
          <cell r="K162">
            <v>1</v>
          </cell>
        </row>
        <row r="163">
          <cell r="B163" t="e">
            <v>#DIV/0!</v>
          </cell>
          <cell r="C163">
            <v>1</v>
          </cell>
          <cell r="E163" t="e">
            <v>#N/A</v>
          </cell>
          <cell r="G163" t="e">
            <v>#N/A</v>
          </cell>
          <cell r="J163" t="e">
            <v>#DIV/0!</v>
          </cell>
          <cell r="K163">
            <v>1</v>
          </cell>
        </row>
        <row r="164">
          <cell r="B164" t="e">
            <v>#DIV/0!</v>
          </cell>
          <cell r="C164">
            <v>1</v>
          </cell>
          <cell r="E164" t="e">
            <v>#N/A</v>
          </cell>
          <cell r="G164" t="e">
            <v>#N/A</v>
          </cell>
          <cell r="J164" t="e">
            <v>#DIV/0!</v>
          </cell>
          <cell r="K164">
            <v>1</v>
          </cell>
        </row>
        <row r="165">
          <cell r="B165" t="e">
            <v>#DIV/0!</v>
          </cell>
          <cell r="C165">
            <v>1</v>
          </cell>
          <cell r="E165" t="e">
            <v>#N/A</v>
          </cell>
          <cell r="G165" t="e">
            <v>#N/A</v>
          </cell>
          <cell r="J165" t="e">
            <v>#DIV/0!</v>
          </cell>
          <cell r="K165">
            <v>1</v>
          </cell>
        </row>
        <row r="166">
          <cell r="B166" t="e">
            <v>#DIV/0!</v>
          </cell>
          <cell r="C166">
            <v>1</v>
          </cell>
          <cell r="E166" t="e">
            <v>#N/A</v>
          </cell>
          <cell r="G166" t="e">
            <v>#N/A</v>
          </cell>
          <cell r="J166" t="e">
            <v>#DIV/0!</v>
          </cell>
          <cell r="K166">
            <v>1</v>
          </cell>
        </row>
        <row r="167">
          <cell r="B167" t="e">
            <v>#DIV/0!</v>
          </cell>
          <cell r="C167">
            <v>1</v>
          </cell>
          <cell r="E167" t="e">
            <v>#N/A</v>
          </cell>
          <cell r="G167" t="e">
            <v>#N/A</v>
          </cell>
          <cell r="J167" t="e">
            <v>#DIV/0!</v>
          </cell>
          <cell r="K167">
            <v>1</v>
          </cell>
        </row>
        <row r="168">
          <cell r="B168" t="e">
            <v>#DIV/0!</v>
          </cell>
          <cell r="C168">
            <v>1</v>
          </cell>
          <cell r="E168" t="e">
            <v>#N/A</v>
          </cell>
          <cell r="G168" t="e">
            <v>#N/A</v>
          </cell>
          <cell r="J168" t="e">
            <v>#DIV/0!</v>
          </cell>
          <cell r="K168">
            <v>1</v>
          </cell>
        </row>
        <row r="169">
          <cell r="B169" t="e">
            <v>#DIV/0!</v>
          </cell>
          <cell r="C169">
            <v>1</v>
          </cell>
          <cell r="E169" t="e">
            <v>#N/A</v>
          </cell>
          <cell r="G169" t="e">
            <v>#N/A</v>
          </cell>
          <cell r="J169" t="e">
            <v>#DIV/0!</v>
          </cell>
          <cell r="K169">
            <v>1</v>
          </cell>
        </row>
        <row r="170">
          <cell r="B170" t="e">
            <v>#DIV/0!</v>
          </cell>
          <cell r="C170">
            <v>1</v>
          </cell>
          <cell r="E170" t="e">
            <v>#N/A</v>
          </cell>
          <cell r="G170" t="e">
            <v>#N/A</v>
          </cell>
          <cell r="J170" t="e">
            <v>#DIV/0!</v>
          </cell>
          <cell r="K170">
            <v>1</v>
          </cell>
        </row>
        <row r="171">
          <cell r="B171" t="e">
            <v>#DIV/0!</v>
          </cell>
          <cell r="C171">
            <v>1</v>
          </cell>
          <cell r="E171" t="e">
            <v>#N/A</v>
          </cell>
          <cell r="G171" t="e">
            <v>#N/A</v>
          </cell>
          <cell r="J171" t="e">
            <v>#DIV/0!</v>
          </cell>
          <cell r="K171">
            <v>1</v>
          </cell>
        </row>
        <row r="172">
          <cell r="B172" t="e">
            <v>#DIV/0!</v>
          </cell>
          <cell r="C172">
            <v>1</v>
          </cell>
          <cell r="E172" t="e">
            <v>#N/A</v>
          </cell>
          <cell r="G172" t="e">
            <v>#N/A</v>
          </cell>
          <cell r="J172" t="e">
            <v>#DIV/0!</v>
          </cell>
          <cell r="K172">
            <v>1</v>
          </cell>
        </row>
        <row r="173">
          <cell r="B173" t="e">
            <v>#DIV/0!</v>
          </cell>
          <cell r="C173">
            <v>1</v>
          </cell>
          <cell r="E173" t="e">
            <v>#N/A</v>
          </cell>
          <cell r="G173" t="e">
            <v>#N/A</v>
          </cell>
          <cell r="J173" t="e">
            <v>#DIV/0!</v>
          </cell>
          <cell r="K173">
            <v>1</v>
          </cell>
        </row>
        <row r="174">
          <cell r="B174" t="e">
            <v>#DIV/0!</v>
          </cell>
          <cell r="C174">
            <v>1</v>
          </cell>
          <cell r="E174" t="e">
            <v>#N/A</v>
          </cell>
          <cell r="G174" t="e">
            <v>#N/A</v>
          </cell>
          <cell r="J174" t="e">
            <v>#DIV/0!</v>
          </cell>
          <cell r="K174">
            <v>1</v>
          </cell>
        </row>
        <row r="175">
          <cell r="B175" t="e">
            <v>#DIV/0!</v>
          </cell>
          <cell r="C175">
            <v>1</v>
          </cell>
          <cell r="E175" t="e">
            <v>#N/A</v>
          </cell>
          <cell r="G175" t="e">
            <v>#N/A</v>
          </cell>
          <cell r="J175" t="e">
            <v>#DIV/0!</v>
          </cell>
          <cell r="K175">
            <v>1</v>
          </cell>
        </row>
        <row r="176">
          <cell r="B176" t="e">
            <v>#DIV/0!</v>
          </cell>
          <cell r="C176">
            <v>1</v>
          </cell>
          <cell r="E176" t="e">
            <v>#N/A</v>
          </cell>
          <cell r="G176" t="e">
            <v>#N/A</v>
          </cell>
          <cell r="J176" t="e">
            <v>#DIV/0!</v>
          </cell>
          <cell r="K176">
            <v>1</v>
          </cell>
        </row>
        <row r="177">
          <cell r="B177" t="e">
            <v>#DIV/0!</v>
          </cell>
          <cell r="C177">
            <v>1</v>
          </cell>
          <cell r="E177" t="e">
            <v>#N/A</v>
          </cell>
          <cell r="G177" t="e">
            <v>#N/A</v>
          </cell>
          <cell r="J177" t="e">
            <v>#DIV/0!</v>
          </cell>
          <cell r="K177">
            <v>1</v>
          </cell>
        </row>
        <row r="178">
          <cell r="B178" t="e">
            <v>#DIV/0!</v>
          </cell>
          <cell r="C178">
            <v>1</v>
          </cell>
          <cell r="E178" t="e">
            <v>#N/A</v>
          </cell>
          <cell r="G178" t="e">
            <v>#N/A</v>
          </cell>
          <cell r="J178" t="e">
            <v>#DIV/0!</v>
          </cell>
          <cell r="K178">
            <v>1</v>
          </cell>
        </row>
        <row r="179">
          <cell r="B179" t="e">
            <v>#DIV/0!</v>
          </cell>
          <cell r="C179">
            <v>1</v>
          </cell>
          <cell r="E179" t="e">
            <v>#N/A</v>
          </cell>
          <cell r="G179" t="e">
            <v>#N/A</v>
          </cell>
          <cell r="J179" t="e">
            <v>#DIV/0!</v>
          </cell>
          <cell r="K179">
            <v>1</v>
          </cell>
        </row>
        <row r="180">
          <cell r="B180" t="e">
            <v>#DIV/0!</v>
          </cell>
          <cell r="C180">
            <v>1</v>
          </cell>
          <cell r="E180" t="e">
            <v>#N/A</v>
          </cell>
          <cell r="G180" t="e">
            <v>#N/A</v>
          </cell>
          <cell r="J180" t="e">
            <v>#DIV/0!</v>
          </cell>
          <cell r="K180">
            <v>1</v>
          </cell>
        </row>
        <row r="181">
          <cell r="B181" t="e">
            <v>#DIV/0!</v>
          </cell>
          <cell r="C181">
            <v>1</v>
          </cell>
          <cell r="E181" t="e">
            <v>#N/A</v>
          </cell>
          <cell r="G181" t="e">
            <v>#N/A</v>
          </cell>
          <cell r="J181" t="e">
            <v>#DIV/0!</v>
          </cell>
          <cell r="K181">
            <v>1</v>
          </cell>
        </row>
        <row r="182">
          <cell r="B182" t="e">
            <v>#DIV/0!</v>
          </cell>
          <cell r="C182">
            <v>1</v>
          </cell>
          <cell r="E182" t="e">
            <v>#N/A</v>
          </cell>
          <cell r="G182" t="e">
            <v>#N/A</v>
          </cell>
          <cell r="J182" t="e">
            <v>#DIV/0!</v>
          </cell>
          <cell r="K182">
            <v>1</v>
          </cell>
        </row>
        <row r="183">
          <cell r="B183" t="e">
            <v>#DIV/0!</v>
          </cell>
          <cell r="C183">
            <v>1</v>
          </cell>
          <cell r="E183" t="e">
            <v>#N/A</v>
          </cell>
          <cell r="G183" t="e">
            <v>#N/A</v>
          </cell>
          <cell r="J183" t="e">
            <v>#DIV/0!</v>
          </cell>
          <cell r="K183">
            <v>1</v>
          </cell>
        </row>
        <row r="184">
          <cell r="B184" t="e">
            <v>#DIV/0!</v>
          </cell>
          <cell r="C184">
            <v>1</v>
          </cell>
          <cell r="E184" t="e">
            <v>#N/A</v>
          </cell>
          <cell r="G184" t="e">
            <v>#N/A</v>
          </cell>
          <cell r="J184" t="e">
            <v>#DIV/0!</v>
          </cell>
          <cell r="K184">
            <v>1</v>
          </cell>
        </row>
        <row r="185">
          <cell r="B185" t="e">
            <v>#DIV/0!</v>
          </cell>
          <cell r="C185">
            <v>1</v>
          </cell>
          <cell r="E185" t="e">
            <v>#N/A</v>
          </cell>
          <cell r="G185" t="e">
            <v>#N/A</v>
          </cell>
          <cell r="J185" t="e">
            <v>#DIV/0!</v>
          </cell>
          <cell r="K185">
            <v>1</v>
          </cell>
        </row>
        <row r="186">
          <cell r="B186" t="e">
            <v>#DIV/0!</v>
          </cell>
          <cell r="C186">
            <v>1</v>
          </cell>
          <cell r="E186" t="e">
            <v>#N/A</v>
          </cell>
          <cell r="G186" t="e">
            <v>#N/A</v>
          </cell>
          <cell r="J186" t="e">
            <v>#DIV/0!</v>
          </cell>
          <cell r="K186">
            <v>1</v>
          </cell>
        </row>
        <row r="187">
          <cell r="B187" t="e">
            <v>#DIV/0!</v>
          </cell>
          <cell r="C187">
            <v>1</v>
          </cell>
          <cell r="E187" t="e">
            <v>#N/A</v>
          </cell>
          <cell r="G187" t="e">
            <v>#N/A</v>
          </cell>
          <cell r="J187" t="e">
            <v>#DIV/0!</v>
          </cell>
          <cell r="K187">
            <v>1</v>
          </cell>
        </row>
        <row r="188">
          <cell r="B188" t="e">
            <v>#DIV/0!</v>
          </cell>
          <cell r="C188">
            <v>1</v>
          </cell>
          <cell r="E188" t="e">
            <v>#N/A</v>
          </cell>
          <cell r="G188" t="e">
            <v>#N/A</v>
          </cell>
          <cell r="J188" t="e">
            <v>#DIV/0!</v>
          </cell>
          <cell r="K188">
            <v>1</v>
          </cell>
        </row>
        <row r="189">
          <cell r="B189" t="e">
            <v>#DIV/0!</v>
          </cell>
          <cell r="C189">
            <v>1</v>
          </cell>
          <cell r="E189" t="e">
            <v>#N/A</v>
          </cell>
          <cell r="G189" t="e">
            <v>#N/A</v>
          </cell>
          <cell r="J189" t="e">
            <v>#DIV/0!</v>
          </cell>
          <cell r="K189">
            <v>1</v>
          </cell>
        </row>
        <row r="190">
          <cell r="B190" t="e">
            <v>#DIV/0!</v>
          </cell>
          <cell r="C190">
            <v>1</v>
          </cell>
          <cell r="E190" t="e">
            <v>#N/A</v>
          </cell>
          <cell r="G190" t="e">
            <v>#N/A</v>
          </cell>
          <cell r="J190" t="e">
            <v>#DIV/0!</v>
          </cell>
          <cell r="K190">
            <v>1</v>
          </cell>
        </row>
        <row r="191">
          <cell r="B191" t="e">
            <v>#DIV/0!</v>
          </cell>
          <cell r="C191">
            <v>1</v>
          </cell>
          <cell r="E191" t="e">
            <v>#N/A</v>
          </cell>
          <cell r="G191" t="e">
            <v>#N/A</v>
          </cell>
          <cell r="J191" t="e">
            <v>#DIV/0!</v>
          </cell>
          <cell r="K191">
            <v>1</v>
          </cell>
        </row>
        <row r="192">
          <cell r="B192" t="e">
            <v>#DIV/0!</v>
          </cell>
          <cell r="C192">
            <v>1</v>
          </cell>
          <cell r="E192" t="e">
            <v>#N/A</v>
          </cell>
          <cell r="G192" t="e">
            <v>#N/A</v>
          </cell>
          <cell r="J192" t="e">
            <v>#DIV/0!</v>
          </cell>
          <cell r="K192">
            <v>1</v>
          </cell>
        </row>
        <row r="193">
          <cell r="B193" t="e">
            <v>#DIV/0!</v>
          </cell>
          <cell r="C193">
            <v>1</v>
          </cell>
          <cell r="E193" t="e">
            <v>#N/A</v>
          </cell>
          <cell r="G193" t="e">
            <v>#N/A</v>
          </cell>
          <cell r="J193" t="e">
            <v>#DIV/0!</v>
          </cell>
          <cell r="K193">
            <v>1</v>
          </cell>
        </row>
        <row r="194">
          <cell r="B194" t="e">
            <v>#DIV/0!</v>
          </cell>
          <cell r="C194">
            <v>1</v>
          </cell>
          <cell r="E194" t="e">
            <v>#N/A</v>
          </cell>
          <cell r="G194" t="e">
            <v>#N/A</v>
          </cell>
          <cell r="J194" t="e">
            <v>#DIV/0!</v>
          </cell>
          <cell r="K194">
            <v>1</v>
          </cell>
        </row>
        <row r="195">
          <cell r="B195" t="e">
            <v>#DIV/0!</v>
          </cell>
          <cell r="C195">
            <v>1</v>
          </cell>
          <cell r="E195" t="e">
            <v>#N/A</v>
          </cell>
          <cell r="G195" t="e">
            <v>#N/A</v>
          </cell>
          <cell r="J195" t="e">
            <v>#DIV/0!</v>
          </cell>
          <cell r="K195">
            <v>1</v>
          </cell>
        </row>
        <row r="196">
          <cell r="B196" t="e">
            <v>#DIV/0!</v>
          </cell>
          <cell r="C196">
            <v>1</v>
          </cell>
          <cell r="E196" t="e">
            <v>#N/A</v>
          </cell>
          <cell r="G196" t="e">
            <v>#N/A</v>
          </cell>
          <cell r="J196" t="e">
            <v>#DIV/0!</v>
          </cell>
          <cell r="K196">
            <v>1</v>
          </cell>
        </row>
        <row r="197">
          <cell r="B197" t="e">
            <v>#DIV/0!</v>
          </cell>
          <cell r="C197">
            <v>1</v>
          </cell>
          <cell r="E197" t="e">
            <v>#N/A</v>
          </cell>
          <cell r="G197" t="e">
            <v>#N/A</v>
          </cell>
          <cell r="J197" t="e">
            <v>#DIV/0!</v>
          </cell>
          <cell r="K197">
            <v>1</v>
          </cell>
        </row>
        <row r="198">
          <cell r="B198" t="e">
            <v>#DIV/0!</v>
          </cell>
          <cell r="C198">
            <v>1</v>
          </cell>
          <cell r="E198" t="e">
            <v>#N/A</v>
          </cell>
          <cell r="G198" t="e">
            <v>#N/A</v>
          </cell>
          <cell r="J198" t="e">
            <v>#DIV/0!</v>
          </cell>
          <cell r="K198">
            <v>1</v>
          </cell>
        </row>
        <row r="199">
          <cell r="B199" t="e">
            <v>#DIV/0!</v>
          </cell>
          <cell r="C199">
            <v>1</v>
          </cell>
          <cell r="E199" t="e">
            <v>#N/A</v>
          </cell>
          <cell r="G199" t="e">
            <v>#N/A</v>
          </cell>
          <cell r="J199" t="e">
            <v>#DIV/0!</v>
          </cell>
          <cell r="K199">
            <v>1</v>
          </cell>
        </row>
        <row r="200">
          <cell r="B200" t="e">
            <v>#DIV/0!</v>
          </cell>
          <cell r="C200">
            <v>1</v>
          </cell>
          <cell r="E200" t="e">
            <v>#N/A</v>
          </cell>
          <cell r="G200" t="e">
            <v>#N/A</v>
          </cell>
          <cell r="J200" t="e">
            <v>#DIV/0!</v>
          </cell>
          <cell r="K200">
            <v>1</v>
          </cell>
        </row>
        <row r="201">
          <cell r="B201" t="e">
            <v>#DIV/0!</v>
          </cell>
          <cell r="C201">
            <v>1</v>
          </cell>
          <cell r="E201" t="e">
            <v>#N/A</v>
          </cell>
          <cell r="G201" t="e">
            <v>#N/A</v>
          </cell>
          <cell r="J201" t="e">
            <v>#DIV/0!</v>
          </cell>
          <cell r="K201">
            <v>1</v>
          </cell>
        </row>
        <row r="202">
          <cell r="B202" t="e">
            <v>#DIV/0!</v>
          </cell>
          <cell r="C202">
            <v>1</v>
          </cell>
          <cell r="E202" t="e">
            <v>#N/A</v>
          </cell>
          <cell r="G202" t="e">
            <v>#N/A</v>
          </cell>
          <cell r="J202" t="e">
            <v>#DIV/0!</v>
          </cell>
          <cell r="K202">
            <v>1</v>
          </cell>
        </row>
        <row r="203">
          <cell r="B203" t="e">
            <v>#DIV/0!</v>
          </cell>
          <cell r="C203">
            <v>1</v>
          </cell>
          <cell r="E203" t="e">
            <v>#N/A</v>
          </cell>
          <cell r="G203" t="e">
            <v>#N/A</v>
          </cell>
          <cell r="J203" t="e">
            <v>#DIV/0!</v>
          </cell>
          <cell r="K203">
            <v>1</v>
          </cell>
        </row>
        <row r="204">
          <cell r="B204" t="e">
            <v>#DIV/0!</v>
          </cell>
          <cell r="C204">
            <v>1</v>
          </cell>
          <cell r="E204" t="e">
            <v>#N/A</v>
          </cell>
          <cell r="G204" t="e">
            <v>#N/A</v>
          </cell>
          <cell r="J204" t="e">
            <v>#DIV/0!</v>
          </cell>
          <cell r="K204">
            <v>1</v>
          </cell>
        </row>
        <row r="205">
          <cell r="B205" t="e">
            <v>#DIV/0!</v>
          </cell>
          <cell r="C205">
            <v>1</v>
          </cell>
          <cell r="E205" t="e">
            <v>#N/A</v>
          </cell>
          <cell r="G205" t="e">
            <v>#N/A</v>
          </cell>
          <cell r="J205" t="e">
            <v>#DIV/0!</v>
          </cell>
          <cell r="K205">
            <v>1</v>
          </cell>
        </row>
        <row r="206">
          <cell r="B206" t="e">
            <v>#DIV/0!</v>
          </cell>
          <cell r="C206">
            <v>1</v>
          </cell>
          <cell r="E206" t="e">
            <v>#N/A</v>
          </cell>
          <cell r="G206" t="e">
            <v>#N/A</v>
          </cell>
          <cell r="J206" t="e">
            <v>#DIV/0!</v>
          </cell>
          <cell r="K206">
            <v>1</v>
          </cell>
        </row>
        <row r="207">
          <cell r="B207" t="e">
            <v>#DIV/0!</v>
          </cell>
          <cell r="C207">
            <v>1</v>
          </cell>
          <cell r="E207" t="e">
            <v>#N/A</v>
          </cell>
          <cell r="G207" t="e">
            <v>#N/A</v>
          </cell>
          <cell r="J207" t="e">
            <v>#DIV/0!</v>
          </cell>
          <cell r="K207">
            <v>1</v>
          </cell>
        </row>
        <row r="208">
          <cell r="B208" t="e">
            <v>#DIV/0!</v>
          </cell>
          <cell r="C208">
            <v>1</v>
          </cell>
          <cell r="E208" t="e">
            <v>#N/A</v>
          </cell>
          <cell r="G208" t="e">
            <v>#N/A</v>
          </cell>
          <cell r="J208" t="e">
            <v>#DIV/0!</v>
          </cell>
          <cell r="K208">
            <v>1</v>
          </cell>
        </row>
        <row r="209">
          <cell r="B209" t="e">
            <v>#DIV/0!</v>
          </cell>
          <cell r="C209">
            <v>1</v>
          </cell>
          <cell r="E209" t="e">
            <v>#N/A</v>
          </cell>
          <cell r="G209" t="e">
            <v>#N/A</v>
          </cell>
          <cell r="J209" t="e">
            <v>#DIV/0!</v>
          </cell>
          <cell r="K209">
            <v>1</v>
          </cell>
        </row>
        <row r="210">
          <cell r="B210" t="e">
            <v>#DIV/0!</v>
          </cell>
          <cell r="C210">
            <v>1</v>
          </cell>
          <cell r="E210" t="e">
            <v>#N/A</v>
          </cell>
          <cell r="G210" t="e">
            <v>#N/A</v>
          </cell>
          <cell r="J210" t="e">
            <v>#DIV/0!</v>
          </cell>
          <cell r="K210">
            <v>1</v>
          </cell>
        </row>
        <row r="211">
          <cell r="B211" t="e">
            <v>#DIV/0!</v>
          </cell>
          <cell r="C211">
            <v>1</v>
          </cell>
          <cell r="E211" t="e">
            <v>#N/A</v>
          </cell>
          <cell r="G211" t="e">
            <v>#N/A</v>
          </cell>
          <cell r="J211" t="e">
            <v>#DIV/0!</v>
          </cell>
          <cell r="K211">
            <v>1</v>
          </cell>
        </row>
        <row r="212">
          <cell r="B212" t="e">
            <v>#DIV/0!</v>
          </cell>
          <cell r="C212">
            <v>1</v>
          </cell>
          <cell r="E212" t="e">
            <v>#N/A</v>
          </cell>
          <cell r="G212" t="e">
            <v>#N/A</v>
          </cell>
          <cell r="J212" t="e">
            <v>#DIV/0!</v>
          </cell>
          <cell r="K212">
            <v>1</v>
          </cell>
        </row>
        <row r="213">
          <cell r="B213" t="e">
            <v>#DIV/0!</v>
          </cell>
          <cell r="C213">
            <v>1</v>
          </cell>
          <cell r="E213" t="e">
            <v>#N/A</v>
          </cell>
          <cell r="G213" t="e">
            <v>#N/A</v>
          </cell>
          <cell r="J213" t="e">
            <v>#DIV/0!</v>
          </cell>
          <cell r="K213">
            <v>1</v>
          </cell>
        </row>
        <row r="214">
          <cell r="B214" t="e">
            <v>#DIV/0!</v>
          </cell>
          <cell r="C214">
            <v>1</v>
          </cell>
          <cell r="E214" t="e">
            <v>#N/A</v>
          </cell>
          <cell r="G214" t="e">
            <v>#N/A</v>
          </cell>
          <cell r="J214" t="e">
            <v>#DIV/0!</v>
          </cell>
          <cell r="K214">
            <v>1</v>
          </cell>
        </row>
        <row r="215">
          <cell r="B215" t="e">
            <v>#DIV/0!</v>
          </cell>
          <cell r="C215">
            <v>1</v>
          </cell>
          <cell r="E215" t="e">
            <v>#N/A</v>
          </cell>
          <cell r="G215" t="e">
            <v>#N/A</v>
          </cell>
          <cell r="J215" t="e">
            <v>#DIV/0!</v>
          </cell>
          <cell r="K215">
            <v>1</v>
          </cell>
        </row>
        <row r="216">
          <cell r="B216" t="e">
            <v>#DIV/0!</v>
          </cell>
          <cell r="C216">
            <v>1</v>
          </cell>
          <cell r="E216" t="e">
            <v>#N/A</v>
          </cell>
          <cell r="G216" t="e">
            <v>#N/A</v>
          </cell>
          <cell r="J216" t="e">
            <v>#DIV/0!</v>
          </cell>
          <cell r="K216">
            <v>1</v>
          </cell>
        </row>
        <row r="217">
          <cell r="B217" t="e">
            <v>#DIV/0!</v>
          </cell>
          <cell r="C217">
            <v>1</v>
          </cell>
          <cell r="E217" t="e">
            <v>#N/A</v>
          </cell>
          <cell r="G217" t="e">
            <v>#N/A</v>
          </cell>
          <cell r="J217" t="e">
            <v>#DIV/0!</v>
          </cell>
          <cell r="K217">
            <v>1</v>
          </cell>
        </row>
        <row r="218">
          <cell r="B218" t="e">
            <v>#DIV/0!</v>
          </cell>
          <cell r="C218">
            <v>1</v>
          </cell>
          <cell r="E218" t="e">
            <v>#N/A</v>
          </cell>
          <cell r="G218" t="e">
            <v>#N/A</v>
          </cell>
          <cell r="J218" t="e">
            <v>#DIV/0!</v>
          </cell>
          <cell r="K218">
            <v>1</v>
          </cell>
        </row>
        <row r="219">
          <cell r="B219" t="e">
            <v>#DIV/0!</v>
          </cell>
          <cell r="C219">
            <v>1</v>
          </cell>
          <cell r="E219" t="e">
            <v>#N/A</v>
          </cell>
          <cell r="G219" t="e">
            <v>#N/A</v>
          </cell>
          <cell r="J219" t="e">
            <v>#DIV/0!</v>
          </cell>
          <cell r="K219">
            <v>1</v>
          </cell>
        </row>
        <row r="220">
          <cell r="B220" t="e">
            <v>#DIV/0!</v>
          </cell>
          <cell r="C220">
            <v>1</v>
          </cell>
          <cell r="E220" t="e">
            <v>#N/A</v>
          </cell>
          <cell r="G220" t="e">
            <v>#N/A</v>
          </cell>
          <cell r="J220" t="e">
            <v>#DIV/0!</v>
          </cell>
          <cell r="K220">
            <v>1</v>
          </cell>
        </row>
        <row r="221">
          <cell r="B221" t="e">
            <v>#DIV/0!</v>
          </cell>
          <cell r="C221">
            <v>1</v>
          </cell>
          <cell r="E221" t="e">
            <v>#N/A</v>
          </cell>
          <cell r="G221" t="e">
            <v>#N/A</v>
          </cell>
          <cell r="J221" t="e">
            <v>#DIV/0!</v>
          </cell>
          <cell r="K221">
            <v>1</v>
          </cell>
        </row>
        <row r="222">
          <cell r="B222" t="e">
            <v>#DIV/0!</v>
          </cell>
          <cell r="C222">
            <v>1</v>
          </cell>
          <cell r="E222" t="e">
            <v>#N/A</v>
          </cell>
          <cell r="G222" t="e">
            <v>#N/A</v>
          </cell>
          <cell r="J222" t="e">
            <v>#DIV/0!</v>
          </cell>
          <cell r="K222">
            <v>1</v>
          </cell>
        </row>
        <row r="223">
          <cell r="B223" t="e">
            <v>#DIV/0!</v>
          </cell>
          <cell r="C223">
            <v>1</v>
          </cell>
          <cell r="E223" t="e">
            <v>#N/A</v>
          </cell>
          <cell r="G223" t="e">
            <v>#N/A</v>
          </cell>
          <cell r="J223" t="e">
            <v>#DIV/0!</v>
          </cell>
          <cell r="K223">
            <v>1</v>
          </cell>
        </row>
        <row r="224">
          <cell r="B224" t="e">
            <v>#DIV/0!</v>
          </cell>
          <cell r="C224">
            <v>1</v>
          </cell>
          <cell r="E224" t="e">
            <v>#N/A</v>
          </cell>
          <cell r="G224" t="e">
            <v>#N/A</v>
          </cell>
          <cell r="J224" t="e">
            <v>#DIV/0!</v>
          </cell>
          <cell r="K224">
            <v>1</v>
          </cell>
        </row>
        <row r="225">
          <cell r="B225" t="e">
            <v>#DIV/0!</v>
          </cell>
          <cell r="C225">
            <v>1</v>
          </cell>
          <cell r="E225" t="e">
            <v>#N/A</v>
          </cell>
          <cell r="G225" t="e">
            <v>#N/A</v>
          </cell>
          <cell r="J225" t="e">
            <v>#DIV/0!</v>
          </cell>
          <cell r="K225">
            <v>1</v>
          </cell>
        </row>
        <row r="226">
          <cell r="B226" t="e">
            <v>#DIV/0!</v>
          </cell>
          <cell r="C226">
            <v>1</v>
          </cell>
          <cell r="E226" t="e">
            <v>#N/A</v>
          </cell>
          <cell r="G226" t="e">
            <v>#N/A</v>
          </cell>
          <cell r="J226" t="e">
            <v>#DIV/0!</v>
          </cell>
          <cell r="K226">
            <v>1</v>
          </cell>
        </row>
        <row r="227">
          <cell r="B227" t="e">
            <v>#DIV/0!</v>
          </cell>
          <cell r="C227">
            <v>1</v>
          </cell>
          <cell r="E227" t="e">
            <v>#N/A</v>
          </cell>
          <cell r="G227" t="e">
            <v>#N/A</v>
          </cell>
          <cell r="J227" t="e">
            <v>#DIV/0!</v>
          </cell>
          <cell r="K227">
            <v>1</v>
          </cell>
        </row>
        <row r="228">
          <cell r="B228" t="e">
            <v>#DIV/0!</v>
          </cell>
          <cell r="C228">
            <v>1</v>
          </cell>
          <cell r="E228" t="e">
            <v>#N/A</v>
          </cell>
          <cell r="G228" t="e">
            <v>#N/A</v>
          </cell>
          <cell r="J228" t="e">
            <v>#DIV/0!</v>
          </cell>
          <cell r="K228">
            <v>1</v>
          </cell>
        </row>
        <row r="229">
          <cell r="B229" t="e">
            <v>#DIV/0!</v>
          </cell>
          <cell r="C229">
            <v>1</v>
          </cell>
          <cell r="E229" t="e">
            <v>#N/A</v>
          </cell>
          <cell r="G229" t="e">
            <v>#N/A</v>
          </cell>
          <cell r="J229" t="e">
            <v>#DIV/0!</v>
          </cell>
          <cell r="K229">
            <v>1</v>
          </cell>
        </row>
        <row r="230">
          <cell r="B230" t="e">
            <v>#DIV/0!</v>
          </cell>
          <cell r="C230">
            <v>1</v>
          </cell>
          <cell r="E230" t="e">
            <v>#N/A</v>
          </cell>
          <cell r="G230" t="e">
            <v>#N/A</v>
          </cell>
          <cell r="J230" t="e">
            <v>#DIV/0!</v>
          </cell>
          <cell r="K230">
            <v>1</v>
          </cell>
        </row>
        <row r="231">
          <cell r="B231" t="e">
            <v>#DIV/0!</v>
          </cell>
          <cell r="C231">
            <v>1</v>
          </cell>
          <cell r="E231" t="e">
            <v>#N/A</v>
          </cell>
          <cell r="G231" t="e">
            <v>#N/A</v>
          </cell>
          <cell r="J231" t="e">
            <v>#DIV/0!</v>
          </cell>
          <cell r="K231">
            <v>1</v>
          </cell>
        </row>
        <row r="232">
          <cell r="B232" t="e">
            <v>#DIV/0!</v>
          </cell>
          <cell r="C232">
            <v>1</v>
          </cell>
          <cell r="E232" t="e">
            <v>#N/A</v>
          </cell>
          <cell r="G232" t="e">
            <v>#N/A</v>
          </cell>
          <cell r="J232" t="e">
            <v>#DIV/0!</v>
          </cell>
          <cell r="K232">
            <v>1</v>
          </cell>
        </row>
        <row r="233">
          <cell r="B233" t="e">
            <v>#DIV/0!</v>
          </cell>
          <cell r="C233">
            <v>1</v>
          </cell>
          <cell r="E233" t="e">
            <v>#N/A</v>
          </cell>
          <cell r="G233" t="e">
            <v>#N/A</v>
          </cell>
          <cell r="J233" t="e">
            <v>#DIV/0!</v>
          </cell>
          <cell r="K233">
            <v>1</v>
          </cell>
        </row>
        <row r="234">
          <cell r="B234" t="e">
            <v>#DIV/0!</v>
          </cell>
          <cell r="C234">
            <v>1</v>
          </cell>
          <cell r="E234" t="e">
            <v>#N/A</v>
          </cell>
          <cell r="G234" t="e">
            <v>#N/A</v>
          </cell>
          <cell r="J234" t="e">
            <v>#DIV/0!</v>
          </cell>
          <cell r="K234">
            <v>1</v>
          </cell>
        </row>
        <row r="235">
          <cell r="B235" t="e">
            <v>#DIV/0!</v>
          </cell>
          <cell r="C235">
            <v>1</v>
          </cell>
          <cell r="E235" t="e">
            <v>#N/A</v>
          </cell>
          <cell r="G235" t="e">
            <v>#N/A</v>
          </cell>
          <cell r="J235" t="e">
            <v>#DIV/0!</v>
          </cell>
          <cell r="K235">
            <v>1</v>
          </cell>
        </row>
        <row r="236">
          <cell r="B236" t="e">
            <v>#DIV/0!</v>
          </cell>
          <cell r="C236">
            <v>1</v>
          </cell>
          <cell r="E236" t="e">
            <v>#N/A</v>
          </cell>
          <cell r="G236" t="e">
            <v>#N/A</v>
          </cell>
          <cell r="J236" t="e">
            <v>#DIV/0!</v>
          </cell>
          <cell r="K236">
            <v>1</v>
          </cell>
        </row>
        <row r="237">
          <cell r="B237" t="e">
            <v>#DIV/0!</v>
          </cell>
          <cell r="C237">
            <v>1</v>
          </cell>
          <cell r="E237" t="e">
            <v>#N/A</v>
          </cell>
          <cell r="G237" t="e">
            <v>#N/A</v>
          </cell>
          <cell r="J237" t="e">
            <v>#DIV/0!</v>
          </cell>
          <cell r="K237">
            <v>1</v>
          </cell>
        </row>
        <row r="238">
          <cell r="B238" t="e">
            <v>#DIV/0!</v>
          </cell>
          <cell r="C238">
            <v>1</v>
          </cell>
          <cell r="E238" t="e">
            <v>#N/A</v>
          </cell>
          <cell r="G238" t="e">
            <v>#N/A</v>
          </cell>
          <cell r="J238" t="e">
            <v>#DIV/0!</v>
          </cell>
          <cell r="K238">
            <v>1</v>
          </cell>
        </row>
        <row r="239">
          <cell r="B239" t="e">
            <v>#DIV/0!</v>
          </cell>
          <cell r="C239">
            <v>1</v>
          </cell>
          <cell r="E239" t="e">
            <v>#N/A</v>
          </cell>
          <cell r="G239" t="e">
            <v>#N/A</v>
          </cell>
          <cell r="J239" t="e">
            <v>#DIV/0!</v>
          </cell>
          <cell r="K239">
            <v>1</v>
          </cell>
        </row>
        <row r="240">
          <cell r="B240" t="e">
            <v>#DIV/0!</v>
          </cell>
          <cell r="C240">
            <v>1</v>
          </cell>
          <cell r="E240" t="e">
            <v>#N/A</v>
          </cell>
          <cell r="G240" t="e">
            <v>#N/A</v>
          </cell>
          <cell r="J240" t="e">
            <v>#DIV/0!</v>
          </cell>
          <cell r="K240">
            <v>1</v>
          </cell>
        </row>
        <row r="241">
          <cell r="B241" t="e">
            <v>#DIV/0!</v>
          </cell>
          <cell r="C241">
            <v>1</v>
          </cell>
          <cell r="E241" t="e">
            <v>#N/A</v>
          </cell>
          <cell r="G241" t="e">
            <v>#N/A</v>
          </cell>
          <cell r="J241" t="e">
            <v>#DIV/0!</v>
          </cell>
          <cell r="K241">
            <v>1</v>
          </cell>
        </row>
        <row r="242">
          <cell r="B242" t="e">
            <v>#DIV/0!</v>
          </cell>
          <cell r="C242">
            <v>1</v>
          </cell>
          <cell r="E242" t="e">
            <v>#N/A</v>
          </cell>
          <cell r="G242" t="e">
            <v>#N/A</v>
          </cell>
          <cell r="J242" t="e">
            <v>#DIV/0!</v>
          </cell>
          <cell r="K242">
            <v>1</v>
          </cell>
        </row>
        <row r="243">
          <cell r="B243" t="e">
            <v>#DIV/0!</v>
          </cell>
          <cell r="C243">
            <v>1</v>
          </cell>
          <cell r="E243" t="e">
            <v>#N/A</v>
          </cell>
          <cell r="G243" t="e">
            <v>#N/A</v>
          </cell>
          <cell r="J243" t="e">
            <v>#DIV/0!</v>
          </cell>
          <cell r="K243">
            <v>1</v>
          </cell>
        </row>
        <row r="244">
          <cell r="B244" t="e">
            <v>#DIV/0!</v>
          </cell>
          <cell r="C244">
            <v>1</v>
          </cell>
          <cell r="E244" t="e">
            <v>#N/A</v>
          </cell>
          <cell r="G244" t="e">
            <v>#N/A</v>
          </cell>
          <cell r="J244" t="e">
            <v>#DIV/0!</v>
          </cell>
          <cell r="K244">
            <v>1</v>
          </cell>
        </row>
        <row r="245">
          <cell r="B245" t="e">
            <v>#DIV/0!</v>
          </cell>
          <cell r="C245">
            <v>1</v>
          </cell>
          <cell r="E245" t="e">
            <v>#N/A</v>
          </cell>
          <cell r="G245" t="e">
            <v>#N/A</v>
          </cell>
          <cell r="J245" t="e">
            <v>#DIV/0!</v>
          </cell>
          <cell r="K245">
            <v>1</v>
          </cell>
        </row>
        <row r="246">
          <cell r="B246" t="e">
            <v>#DIV/0!</v>
          </cell>
          <cell r="C246">
            <v>1</v>
          </cell>
          <cell r="E246" t="e">
            <v>#N/A</v>
          </cell>
          <cell r="G246" t="e">
            <v>#N/A</v>
          </cell>
          <cell r="J246" t="e">
            <v>#DIV/0!</v>
          </cell>
          <cell r="K246">
            <v>1</v>
          </cell>
        </row>
        <row r="247">
          <cell r="B247" t="e">
            <v>#DIV/0!</v>
          </cell>
          <cell r="C247">
            <v>1</v>
          </cell>
          <cell r="E247" t="e">
            <v>#N/A</v>
          </cell>
          <cell r="G247" t="e">
            <v>#N/A</v>
          </cell>
          <cell r="J247" t="e">
            <v>#DIV/0!</v>
          </cell>
          <cell r="K247">
            <v>1</v>
          </cell>
        </row>
        <row r="248">
          <cell r="B248" t="e">
            <v>#DIV/0!</v>
          </cell>
          <cell r="C248">
            <v>1</v>
          </cell>
          <cell r="E248" t="e">
            <v>#N/A</v>
          </cell>
          <cell r="G248" t="e">
            <v>#N/A</v>
          </cell>
          <cell r="J248" t="e">
            <v>#DIV/0!</v>
          </cell>
          <cell r="K248">
            <v>1</v>
          </cell>
        </row>
        <row r="249">
          <cell r="B249" t="e">
            <v>#DIV/0!</v>
          </cell>
          <cell r="C249">
            <v>1</v>
          </cell>
          <cell r="E249" t="e">
            <v>#N/A</v>
          </cell>
          <cell r="G249" t="e">
            <v>#N/A</v>
          </cell>
          <cell r="J249" t="e">
            <v>#DIV/0!</v>
          </cell>
          <cell r="K249">
            <v>1</v>
          </cell>
        </row>
        <row r="250">
          <cell r="B250" t="e">
            <v>#DIV/0!</v>
          </cell>
          <cell r="C250">
            <v>1</v>
          </cell>
          <cell r="E250" t="e">
            <v>#N/A</v>
          </cell>
          <cell r="G250" t="e">
            <v>#N/A</v>
          </cell>
          <cell r="J250" t="e">
            <v>#DIV/0!</v>
          </cell>
          <cell r="K250">
            <v>1</v>
          </cell>
        </row>
        <row r="251">
          <cell r="B251" t="e">
            <v>#DIV/0!</v>
          </cell>
          <cell r="C251">
            <v>1</v>
          </cell>
          <cell r="E251" t="e">
            <v>#N/A</v>
          </cell>
          <cell r="G251" t="e">
            <v>#N/A</v>
          </cell>
          <cell r="J251" t="e">
            <v>#DIV/0!</v>
          </cell>
          <cell r="K251">
            <v>1</v>
          </cell>
        </row>
        <row r="252">
          <cell r="B252" t="e">
            <v>#DIV/0!</v>
          </cell>
          <cell r="C252">
            <v>1</v>
          </cell>
          <cell r="E252" t="e">
            <v>#N/A</v>
          </cell>
          <cell r="G252" t="e">
            <v>#N/A</v>
          </cell>
          <cell r="J252" t="e">
            <v>#DIV/0!</v>
          </cell>
          <cell r="K252">
            <v>1</v>
          </cell>
        </row>
        <row r="253">
          <cell r="B253" t="e">
            <v>#DIV/0!</v>
          </cell>
          <cell r="C253">
            <v>1</v>
          </cell>
          <cell r="E253" t="e">
            <v>#N/A</v>
          </cell>
          <cell r="G253" t="e">
            <v>#N/A</v>
          </cell>
          <cell r="J253" t="e">
            <v>#DIV/0!</v>
          </cell>
          <cell r="K253">
            <v>1</v>
          </cell>
        </row>
        <row r="254">
          <cell r="B254" t="e">
            <v>#DIV/0!</v>
          </cell>
          <cell r="C254">
            <v>1</v>
          </cell>
          <cell r="E254" t="e">
            <v>#N/A</v>
          </cell>
          <cell r="G254" t="e">
            <v>#N/A</v>
          </cell>
          <cell r="J254" t="e">
            <v>#DIV/0!</v>
          </cell>
          <cell r="K254">
            <v>1</v>
          </cell>
        </row>
        <row r="255">
          <cell r="B255" t="e">
            <v>#DIV/0!</v>
          </cell>
          <cell r="C255">
            <v>1</v>
          </cell>
          <cell r="E255" t="e">
            <v>#N/A</v>
          </cell>
          <cell r="G255" t="e">
            <v>#N/A</v>
          </cell>
          <cell r="J255" t="e">
            <v>#DIV/0!</v>
          </cell>
          <cell r="K255">
            <v>1</v>
          </cell>
        </row>
        <row r="256">
          <cell r="B256" t="e">
            <v>#DIV/0!</v>
          </cell>
          <cell r="C256">
            <v>1</v>
          </cell>
          <cell r="E256" t="e">
            <v>#N/A</v>
          </cell>
          <cell r="G256" t="e">
            <v>#N/A</v>
          </cell>
          <cell r="J256" t="e">
            <v>#DIV/0!</v>
          </cell>
          <cell r="K256">
            <v>1</v>
          </cell>
        </row>
        <row r="257">
          <cell r="B257" t="e">
            <v>#DIV/0!</v>
          </cell>
          <cell r="C257">
            <v>1</v>
          </cell>
          <cell r="E257" t="e">
            <v>#N/A</v>
          </cell>
          <cell r="G257" t="e">
            <v>#N/A</v>
          </cell>
          <cell r="J257" t="e">
            <v>#DIV/0!</v>
          </cell>
          <cell r="K257">
            <v>1</v>
          </cell>
        </row>
        <row r="258">
          <cell r="B258" t="e">
            <v>#DIV/0!</v>
          </cell>
          <cell r="C258">
            <v>1</v>
          </cell>
          <cell r="E258" t="e">
            <v>#N/A</v>
          </cell>
          <cell r="G258" t="e">
            <v>#N/A</v>
          </cell>
          <cell r="J258" t="e">
            <v>#DIV/0!</v>
          </cell>
          <cell r="K258">
            <v>1</v>
          </cell>
        </row>
        <row r="259">
          <cell r="B259" t="e">
            <v>#DIV/0!</v>
          </cell>
          <cell r="C259">
            <v>1</v>
          </cell>
          <cell r="E259" t="e">
            <v>#N/A</v>
          </cell>
          <cell r="G259" t="e">
            <v>#N/A</v>
          </cell>
          <cell r="J259" t="e">
            <v>#DIV/0!</v>
          </cell>
          <cell r="K259">
            <v>1</v>
          </cell>
        </row>
        <row r="260">
          <cell r="B260" t="e">
            <v>#DIV/0!</v>
          </cell>
          <cell r="C260">
            <v>1</v>
          </cell>
          <cell r="E260" t="e">
            <v>#N/A</v>
          </cell>
          <cell r="G260" t="e">
            <v>#N/A</v>
          </cell>
          <cell r="J260" t="e">
            <v>#DIV/0!</v>
          </cell>
          <cell r="K260">
            <v>1</v>
          </cell>
        </row>
        <row r="261">
          <cell r="B261" t="e">
            <v>#DIV/0!</v>
          </cell>
          <cell r="C261">
            <v>1</v>
          </cell>
          <cell r="E261" t="e">
            <v>#N/A</v>
          </cell>
          <cell r="G261" t="e">
            <v>#N/A</v>
          </cell>
          <cell r="J261" t="e">
            <v>#DIV/0!</v>
          </cell>
          <cell r="K261">
            <v>1</v>
          </cell>
        </row>
        <row r="262">
          <cell r="B262" t="e">
            <v>#DIV/0!</v>
          </cell>
          <cell r="C262">
            <v>1</v>
          </cell>
          <cell r="E262" t="e">
            <v>#N/A</v>
          </cell>
          <cell r="G262" t="e">
            <v>#N/A</v>
          </cell>
          <cell r="J262" t="e">
            <v>#DIV/0!</v>
          </cell>
          <cell r="K262">
            <v>1</v>
          </cell>
        </row>
        <row r="263">
          <cell r="B263" t="e">
            <v>#DIV/0!</v>
          </cell>
          <cell r="C263">
            <v>1</v>
          </cell>
          <cell r="E263" t="e">
            <v>#N/A</v>
          </cell>
          <cell r="G263" t="e">
            <v>#N/A</v>
          </cell>
          <cell r="J263" t="e">
            <v>#DIV/0!</v>
          </cell>
          <cell r="K263">
            <v>1</v>
          </cell>
        </row>
        <row r="264">
          <cell r="B264" t="e">
            <v>#DIV/0!</v>
          </cell>
          <cell r="C264">
            <v>1</v>
          </cell>
          <cell r="E264" t="e">
            <v>#N/A</v>
          </cell>
          <cell r="G264" t="e">
            <v>#N/A</v>
          </cell>
          <cell r="J264" t="e">
            <v>#DIV/0!</v>
          </cell>
          <cell r="K264">
            <v>1</v>
          </cell>
        </row>
        <row r="265">
          <cell r="B265" t="e">
            <v>#DIV/0!</v>
          </cell>
          <cell r="C265">
            <v>1</v>
          </cell>
          <cell r="E265" t="e">
            <v>#N/A</v>
          </cell>
          <cell r="G265" t="e">
            <v>#N/A</v>
          </cell>
          <cell r="J265" t="e">
            <v>#DIV/0!</v>
          </cell>
          <cell r="K265">
            <v>1</v>
          </cell>
        </row>
        <row r="266">
          <cell r="B266" t="e">
            <v>#DIV/0!</v>
          </cell>
          <cell r="C266">
            <v>1</v>
          </cell>
          <cell r="E266" t="e">
            <v>#N/A</v>
          </cell>
          <cell r="G266" t="e">
            <v>#N/A</v>
          </cell>
          <cell r="J266" t="e">
            <v>#DIV/0!</v>
          </cell>
          <cell r="K266">
            <v>1</v>
          </cell>
        </row>
        <row r="267">
          <cell r="B267" t="e">
            <v>#DIV/0!</v>
          </cell>
          <cell r="C267">
            <v>1</v>
          </cell>
          <cell r="E267" t="e">
            <v>#N/A</v>
          </cell>
          <cell r="G267" t="e">
            <v>#N/A</v>
          </cell>
          <cell r="J267" t="e">
            <v>#DIV/0!</v>
          </cell>
          <cell r="K267">
            <v>1</v>
          </cell>
        </row>
        <row r="268">
          <cell r="B268" t="e">
            <v>#DIV/0!</v>
          </cell>
          <cell r="C268">
            <v>1</v>
          </cell>
          <cell r="E268" t="e">
            <v>#N/A</v>
          </cell>
          <cell r="G268" t="e">
            <v>#N/A</v>
          </cell>
          <cell r="J268" t="e">
            <v>#DIV/0!</v>
          </cell>
          <cell r="K268">
            <v>1</v>
          </cell>
        </row>
        <row r="269">
          <cell r="B269" t="e">
            <v>#DIV/0!</v>
          </cell>
          <cell r="C269">
            <v>1</v>
          </cell>
          <cell r="E269" t="e">
            <v>#N/A</v>
          </cell>
          <cell r="G269" t="e">
            <v>#N/A</v>
          </cell>
          <cell r="J269" t="e">
            <v>#DIV/0!</v>
          </cell>
          <cell r="K269">
            <v>1</v>
          </cell>
        </row>
        <row r="270">
          <cell r="B270" t="e">
            <v>#DIV/0!</v>
          </cell>
          <cell r="C270">
            <v>1</v>
          </cell>
          <cell r="E270" t="e">
            <v>#N/A</v>
          </cell>
          <cell r="G270" t="e">
            <v>#N/A</v>
          </cell>
          <cell r="J270" t="e">
            <v>#DIV/0!</v>
          </cell>
          <cell r="K270">
            <v>1</v>
          </cell>
        </row>
        <row r="271">
          <cell r="B271" t="e">
            <v>#DIV/0!</v>
          </cell>
          <cell r="C271">
            <v>1</v>
          </cell>
          <cell r="E271" t="e">
            <v>#N/A</v>
          </cell>
          <cell r="G271" t="e">
            <v>#N/A</v>
          </cell>
          <cell r="J271" t="e">
            <v>#DIV/0!</v>
          </cell>
          <cell r="K271">
            <v>1</v>
          </cell>
        </row>
        <row r="272">
          <cell r="B272" t="e">
            <v>#DIV/0!</v>
          </cell>
          <cell r="C272">
            <v>1</v>
          </cell>
          <cell r="E272" t="e">
            <v>#N/A</v>
          </cell>
          <cell r="G272" t="e">
            <v>#N/A</v>
          </cell>
          <cell r="J272" t="e">
            <v>#DIV/0!</v>
          </cell>
          <cell r="K272">
            <v>1</v>
          </cell>
        </row>
        <row r="273">
          <cell r="B273" t="e">
            <v>#DIV/0!</v>
          </cell>
          <cell r="C273">
            <v>1</v>
          </cell>
          <cell r="E273" t="e">
            <v>#N/A</v>
          </cell>
          <cell r="G273" t="e">
            <v>#N/A</v>
          </cell>
          <cell r="J273" t="e">
            <v>#DIV/0!</v>
          </cell>
          <cell r="K273">
            <v>1</v>
          </cell>
        </row>
        <row r="274">
          <cell r="B274" t="e">
            <v>#DIV/0!</v>
          </cell>
          <cell r="C274">
            <v>1</v>
          </cell>
          <cell r="E274" t="e">
            <v>#N/A</v>
          </cell>
          <cell r="G274" t="e">
            <v>#N/A</v>
          </cell>
          <cell r="J274" t="e">
            <v>#DIV/0!</v>
          </cell>
          <cell r="K274">
            <v>1</v>
          </cell>
        </row>
        <row r="275">
          <cell r="B275" t="e">
            <v>#DIV/0!</v>
          </cell>
          <cell r="C275">
            <v>1</v>
          </cell>
          <cell r="E275" t="e">
            <v>#N/A</v>
          </cell>
          <cell r="G275" t="e">
            <v>#N/A</v>
          </cell>
          <cell r="J275" t="e">
            <v>#DIV/0!</v>
          </cell>
          <cell r="K275">
            <v>1</v>
          </cell>
        </row>
        <row r="276">
          <cell r="B276" t="e">
            <v>#DIV/0!</v>
          </cell>
          <cell r="C276">
            <v>1</v>
          </cell>
          <cell r="E276" t="e">
            <v>#N/A</v>
          </cell>
          <cell r="G276" t="e">
            <v>#N/A</v>
          </cell>
          <cell r="J276" t="e">
            <v>#DIV/0!</v>
          </cell>
          <cell r="K276">
            <v>1</v>
          </cell>
        </row>
        <row r="277">
          <cell r="B277" t="e">
            <v>#DIV/0!</v>
          </cell>
          <cell r="C277">
            <v>1</v>
          </cell>
          <cell r="E277" t="e">
            <v>#N/A</v>
          </cell>
          <cell r="G277" t="e">
            <v>#N/A</v>
          </cell>
          <cell r="J277" t="e">
            <v>#DIV/0!</v>
          </cell>
          <cell r="K277">
            <v>1</v>
          </cell>
        </row>
        <row r="278">
          <cell r="B278" t="e">
            <v>#DIV/0!</v>
          </cell>
          <cell r="C278">
            <v>1</v>
          </cell>
          <cell r="E278" t="e">
            <v>#N/A</v>
          </cell>
          <cell r="G278" t="e">
            <v>#N/A</v>
          </cell>
          <cell r="J278" t="e">
            <v>#DIV/0!</v>
          </cell>
          <cell r="K278">
            <v>1</v>
          </cell>
        </row>
        <row r="279">
          <cell r="B279" t="e">
            <v>#DIV/0!</v>
          </cell>
          <cell r="C279">
            <v>1</v>
          </cell>
          <cell r="E279" t="e">
            <v>#N/A</v>
          </cell>
          <cell r="G279" t="e">
            <v>#N/A</v>
          </cell>
          <cell r="J279" t="e">
            <v>#DIV/0!</v>
          </cell>
          <cell r="K279">
            <v>1</v>
          </cell>
        </row>
        <row r="280">
          <cell r="B280" t="e">
            <v>#DIV/0!</v>
          </cell>
          <cell r="C280">
            <v>1</v>
          </cell>
          <cell r="E280" t="e">
            <v>#N/A</v>
          </cell>
          <cell r="G280" t="e">
            <v>#N/A</v>
          </cell>
          <cell r="J280" t="e">
            <v>#DIV/0!</v>
          </cell>
          <cell r="K280">
            <v>1</v>
          </cell>
        </row>
        <row r="281">
          <cell r="B281" t="e">
            <v>#DIV/0!</v>
          </cell>
          <cell r="C281">
            <v>1</v>
          </cell>
          <cell r="E281" t="e">
            <v>#N/A</v>
          </cell>
          <cell r="G281" t="e">
            <v>#N/A</v>
          </cell>
          <cell r="J281" t="e">
            <v>#DIV/0!</v>
          </cell>
          <cell r="K281">
            <v>1</v>
          </cell>
        </row>
        <row r="282">
          <cell r="B282" t="e">
            <v>#DIV/0!</v>
          </cell>
          <cell r="C282">
            <v>1</v>
          </cell>
          <cell r="E282" t="e">
            <v>#N/A</v>
          </cell>
          <cell r="G282" t="e">
            <v>#N/A</v>
          </cell>
          <cell r="J282" t="e">
            <v>#DIV/0!</v>
          </cell>
          <cell r="K282">
            <v>1</v>
          </cell>
        </row>
        <row r="283">
          <cell r="B283" t="e">
            <v>#DIV/0!</v>
          </cell>
          <cell r="C283">
            <v>1</v>
          </cell>
          <cell r="E283" t="e">
            <v>#N/A</v>
          </cell>
          <cell r="G283" t="e">
            <v>#N/A</v>
          </cell>
          <cell r="J283" t="e">
            <v>#DIV/0!</v>
          </cell>
          <cell r="K283">
            <v>1</v>
          </cell>
        </row>
        <row r="284">
          <cell r="B284" t="e">
            <v>#DIV/0!</v>
          </cell>
          <cell r="C284">
            <v>1</v>
          </cell>
          <cell r="E284" t="e">
            <v>#N/A</v>
          </cell>
          <cell r="G284" t="e">
            <v>#N/A</v>
          </cell>
          <cell r="J284" t="e">
            <v>#DIV/0!</v>
          </cell>
          <cell r="K284">
            <v>1</v>
          </cell>
        </row>
        <row r="285">
          <cell r="B285" t="e">
            <v>#DIV/0!</v>
          </cell>
          <cell r="C285">
            <v>1</v>
          </cell>
          <cell r="E285" t="e">
            <v>#N/A</v>
          </cell>
          <cell r="G285" t="e">
            <v>#N/A</v>
          </cell>
          <cell r="J285" t="e">
            <v>#DIV/0!</v>
          </cell>
          <cell r="K285">
            <v>1</v>
          </cell>
        </row>
        <row r="286">
          <cell r="B286" t="e">
            <v>#DIV/0!</v>
          </cell>
          <cell r="C286">
            <v>1</v>
          </cell>
          <cell r="E286" t="e">
            <v>#N/A</v>
          </cell>
          <cell r="G286" t="e">
            <v>#N/A</v>
          </cell>
          <cell r="J286" t="e">
            <v>#DIV/0!</v>
          </cell>
          <cell r="K286">
            <v>1</v>
          </cell>
        </row>
        <row r="287">
          <cell r="B287" t="e">
            <v>#DIV/0!</v>
          </cell>
          <cell r="C287">
            <v>1</v>
          </cell>
          <cell r="E287" t="e">
            <v>#N/A</v>
          </cell>
          <cell r="G287" t="e">
            <v>#N/A</v>
          </cell>
          <cell r="J287" t="e">
            <v>#DIV/0!</v>
          </cell>
          <cell r="K287">
            <v>1</v>
          </cell>
        </row>
        <row r="288">
          <cell r="B288" t="e">
            <v>#DIV/0!</v>
          </cell>
          <cell r="C288">
            <v>1</v>
          </cell>
          <cell r="E288" t="e">
            <v>#N/A</v>
          </cell>
          <cell r="G288" t="e">
            <v>#N/A</v>
          </cell>
          <cell r="J288" t="e">
            <v>#DIV/0!</v>
          </cell>
          <cell r="K288">
            <v>1</v>
          </cell>
        </row>
        <row r="289">
          <cell r="B289" t="e">
            <v>#DIV/0!</v>
          </cell>
          <cell r="C289">
            <v>1</v>
          </cell>
          <cell r="E289" t="e">
            <v>#N/A</v>
          </cell>
          <cell r="G289" t="e">
            <v>#N/A</v>
          </cell>
          <cell r="J289" t="e">
            <v>#DIV/0!</v>
          </cell>
          <cell r="K289">
            <v>1</v>
          </cell>
        </row>
        <row r="290">
          <cell r="B290" t="e">
            <v>#DIV/0!</v>
          </cell>
          <cell r="C290">
            <v>1</v>
          </cell>
          <cell r="E290" t="e">
            <v>#N/A</v>
          </cell>
          <cell r="G290" t="e">
            <v>#N/A</v>
          </cell>
          <cell r="J290" t="e">
            <v>#DIV/0!</v>
          </cell>
          <cell r="K290">
            <v>1</v>
          </cell>
        </row>
        <row r="291">
          <cell r="B291" t="e">
            <v>#DIV/0!</v>
          </cell>
          <cell r="C291">
            <v>1</v>
          </cell>
          <cell r="E291" t="e">
            <v>#N/A</v>
          </cell>
          <cell r="G291" t="e">
            <v>#N/A</v>
          </cell>
          <cell r="J291" t="e">
            <v>#DIV/0!</v>
          </cell>
          <cell r="K291">
            <v>1</v>
          </cell>
        </row>
        <row r="292">
          <cell r="B292" t="e">
            <v>#DIV/0!</v>
          </cell>
          <cell r="C292">
            <v>1</v>
          </cell>
          <cell r="E292" t="e">
            <v>#N/A</v>
          </cell>
          <cell r="G292" t="e">
            <v>#N/A</v>
          </cell>
          <cell r="J292" t="e">
            <v>#DIV/0!</v>
          </cell>
          <cell r="K292">
            <v>1</v>
          </cell>
        </row>
        <row r="293">
          <cell r="B293" t="e">
            <v>#DIV/0!</v>
          </cell>
          <cell r="C293">
            <v>1</v>
          </cell>
          <cell r="E293" t="e">
            <v>#N/A</v>
          </cell>
          <cell r="G293" t="e">
            <v>#N/A</v>
          </cell>
          <cell r="J293" t="e">
            <v>#DIV/0!</v>
          </cell>
          <cell r="K293">
            <v>1</v>
          </cell>
        </row>
        <row r="294">
          <cell r="B294" t="e">
            <v>#DIV/0!</v>
          </cell>
          <cell r="C294">
            <v>1</v>
          </cell>
          <cell r="E294" t="e">
            <v>#N/A</v>
          </cell>
          <cell r="G294" t="e">
            <v>#N/A</v>
          </cell>
          <cell r="J294" t="e">
            <v>#DIV/0!</v>
          </cell>
          <cell r="K294">
            <v>1</v>
          </cell>
        </row>
        <row r="295">
          <cell r="B295" t="e">
            <v>#DIV/0!</v>
          </cell>
          <cell r="C295">
            <v>1</v>
          </cell>
          <cell r="E295" t="e">
            <v>#N/A</v>
          </cell>
          <cell r="G295" t="e">
            <v>#N/A</v>
          </cell>
          <cell r="J295" t="e">
            <v>#DIV/0!</v>
          </cell>
          <cell r="K295">
            <v>1</v>
          </cell>
        </row>
        <row r="296">
          <cell r="B296" t="e">
            <v>#DIV/0!</v>
          </cell>
          <cell r="C296">
            <v>1</v>
          </cell>
          <cell r="E296" t="e">
            <v>#N/A</v>
          </cell>
          <cell r="G296" t="e">
            <v>#N/A</v>
          </cell>
          <cell r="J296" t="e">
            <v>#DIV/0!</v>
          </cell>
          <cell r="K296">
            <v>1</v>
          </cell>
        </row>
        <row r="297">
          <cell r="B297" t="e">
            <v>#DIV/0!</v>
          </cell>
          <cell r="C297">
            <v>1</v>
          </cell>
          <cell r="E297" t="e">
            <v>#N/A</v>
          </cell>
          <cell r="G297" t="e">
            <v>#N/A</v>
          </cell>
          <cell r="J297" t="e">
            <v>#DIV/0!</v>
          </cell>
          <cell r="K297">
            <v>1</v>
          </cell>
        </row>
        <row r="298">
          <cell r="B298" t="e">
            <v>#DIV/0!</v>
          </cell>
          <cell r="C298">
            <v>1</v>
          </cell>
          <cell r="E298" t="e">
            <v>#N/A</v>
          </cell>
          <cell r="G298" t="e">
            <v>#N/A</v>
          </cell>
          <cell r="J298" t="e">
            <v>#DIV/0!</v>
          </cell>
          <cell r="K298">
            <v>1</v>
          </cell>
        </row>
        <row r="299">
          <cell r="B299" t="e">
            <v>#DIV/0!</v>
          </cell>
          <cell r="C299">
            <v>1</v>
          </cell>
          <cell r="E299" t="e">
            <v>#N/A</v>
          </cell>
          <cell r="G299" t="e">
            <v>#N/A</v>
          </cell>
          <cell r="J299" t="e">
            <v>#DIV/0!</v>
          </cell>
          <cell r="K299">
            <v>1</v>
          </cell>
        </row>
        <row r="300">
          <cell r="B300" t="e">
            <v>#DIV/0!</v>
          </cell>
          <cell r="C300">
            <v>1</v>
          </cell>
          <cell r="E300" t="e">
            <v>#N/A</v>
          </cell>
          <cell r="G300" t="e">
            <v>#N/A</v>
          </cell>
          <cell r="J300" t="e">
            <v>#DIV/0!</v>
          </cell>
          <cell r="K300">
            <v>1</v>
          </cell>
        </row>
        <row r="301">
          <cell r="B301" t="e">
            <v>#DIV/0!</v>
          </cell>
          <cell r="C301">
            <v>1</v>
          </cell>
          <cell r="E301" t="e">
            <v>#N/A</v>
          </cell>
          <cell r="G301" t="e">
            <v>#N/A</v>
          </cell>
          <cell r="J301" t="e">
            <v>#DIV/0!</v>
          </cell>
          <cell r="K301">
            <v>1</v>
          </cell>
        </row>
        <row r="302">
          <cell r="B302" t="e">
            <v>#DIV/0!</v>
          </cell>
          <cell r="C302">
            <v>1</v>
          </cell>
          <cell r="E302" t="e">
            <v>#N/A</v>
          </cell>
          <cell r="G302" t="e">
            <v>#N/A</v>
          </cell>
          <cell r="J302" t="e">
            <v>#DIV/0!</v>
          </cell>
          <cell r="K302">
            <v>1</v>
          </cell>
        </row>
        <row r="303">
          <cell r="B303" t="e">
            <v>#DIV/0!</v>
          </cell>
          <cell r="C303">
            <v>1</v>
          </cell>
          <cell r="E303" t="e">
            <v>#N/A</v>
          </cell>
          <cell r="G303" t="e">
            <v>#N/A</v>
          </cell>
          <cell r="J303" t="e">
            <v>#DIV/0!</v>
          </cell>
          <cell r="K303">
            <v>1</v>
          </cell>
        </row>
        <row r="304">
          <cell r="B304" t="e">
            <v>#DIV/0!</v>
          </cell>
          <cell r="C304">
            <v>1</v>
          </cell>
          <cell r="E304" t="e">
            <v>#N/A</v>
          </cell>
          <cell r="G304" t="e">
            <v>#N/A</v>
          </cell>
          <cell r="J304" t="e">
            <v>#DIV/0!</v>
          </cell>
          <cell r="K304">
            <v>1</v>
          </cell>
        </row>
        <row r="305">
          <cell r="B305" t="e">
            <v>#DIV/0!</v>
          </cell>
          <cell r="C305">
            <v>1</v>
          </cell>
          <cell r="E305" t="e">
            <v>#N/A</v>
          </cell>
          <cell r="G305" t="e">
            <v>#N/A</v>
          </cell>
          <cell r="J305" t="e">
            <v>#DIV/0!</v>
          </cell>
          <cell r="K305">
            <v>1</v>
          </cell>
        </row>
        <row r="306">
          <cell r="B306" t="e">
            <v>#DIV/0!</v>
          </cell>
          <cell r="C306">
            <v>1</v>
          </cell>
          <cell r="E306" t="e">
            <v>#N/A</v>
          </cell>
          <cell r="G306" t="e">
            <v>#N/A</v>
          </cell>
          <cell r="J306" t="e">
            <v>#DIV/0!</v>
          </cell>
          <cell r="K306">
            <v>1</v>
          </cell>
        </row>
        <row r="307">
          <cell r="B307" t="e">
            <v>#DIV/0!</v>
          </cell>
          <cell r="C307">
            <v>1</v>
          </cell>
          <cell r="E307" t="e">
            <v>#N/A</v>
          </cell>
          <cell r="G307" t="e">
            <v>#N/A</v>
          </cell>
          <cell r="J307" t="e">
            <v>#DIV/0!</v>
          </cell>
          <cell r="K307">
            <v>1</v>
          </cell>
        </row>
        <row r="308">
          <cell r="B308" t="e">
            <v>#DIV/0!</v>
          </cell>
          <cell r="C308">
            <v>1</v>
          </cell>
          <cell r="E308" t="e">
            <v>#N/A</v>
          </cell>
          <cell r="G308" t="e">
            <v>#N/A</v>
          </cell>
          <cell r="J308" t="e">
            <v>#DIV/0!</v>
          </cell>
          <cell r="K308">
            <v>1</v>
          </cell>
        </row>
        <row r="309">
          <cell r="B309" t="e">
            <v>#DIV/0!</v>
          </cell>
          <cell r="C309">
            <v>1</v>
          </cell>
          <cell r="E309" t="e">
            <v>#N/A</v>
          </cell>
          <cell r="G309" t="e">
            <v>#N/A</v>
          </cell>
          <cell r="J309" t="e">
            <v>#DIV/0!</v>
          </cell>
          <cell r="K309">
            <v>1</v>
          </cell>
        </row>
        <row r="310">
          <cell r="B310" t="e">
            <v>#DIV/0!</v>
          </cell>
          <cell r="C310">
            <v>1</v>
          </cell>
          <cell r="E310" t="e">
            <v>#N/A</v>
          </cell>
          <cell r="G310" t="e">
            <v>#N/A</v>
          </cell>
          <cell r="J310" t="e">
            <v>#DIV/0!</v>
          </cell>
          <cell r="K310">
            <v>1</v>
          </cell>
        </row>
        <row r="311">
          <cell r="B311" t="e">
            <v>#DIV/0!</v>
          </cell>
          <cell r="C311">
            <v>1</v>
          </cell>
          <cell r="E311" t="e">
            <v>#N/A</v>
          </cell>
          <cell r="G311" t="e">
            <v>#N/A</v>
          </cell>
          <cell r="J311" t="e">
            <v>#DIV/0!</v>
          </cell>
          <cell r="K311">
            <v>1</v>
          </cell>
        </row>
        <row r="312">
          <cell r="B312" t="e">
            <v>#DIV/0!</v>
          </cell>
          <cell r="C312">
            <v>1</v>
          </cell>
          <cell r="E312" t="e">
            <v>#N/A</v>
          </cell>
          <cell r="G312" t="e">
            <v>#N/A</v>
          </cell>
          <cell r="J312" t="e">
            <v>#DIV/0!</v>
          </cell>
          <cell r="K312">
            <v>1</v>
          </cell>
        </row>
        <row r="313">
          <cell r="B313" t="e">
            <v>#DIV/0!</v>
          </cell>
          <cell r="C313">
            <v>1</v>
          </cell>
          <cell r="E313" t="e">
            <v>#N/A</v>
          </cell>
          <cell r="G313" t="e">
            <v>#N/A</v>
          </cell>
          <cell r="J313" t="e">
            <v>#DIV/0!</v>
          </cell>
          <cell r="K313">
            <v>1</v>
          </cell>
        </row>
        <row r="314">
          <cell r="B314" t="e">
            <v>#DIV/0!</v>
          </cell>
          <cell r="C314">
            <v>1</v>
          </cell>
          <cell r="E314" t="e">
            <v>#N/A</v>
          </cell>
          <cell r="G314" t="e">
            <v>#N/A</v>
          </cell>
          <cell r="J314" t="e">
            <v>#DIV/0!</v>
          </cell>
          <cell r="K314">
            <v>1</v>
          </cell>
        </row>
        <row r="315">
          <cell r="B315" t="e">
            <v>#DIV/0!</v>
          </cell>
          <cell r="C315">
            <v>1</v>
          </cell>
          <cell r="E315" t="e">
            <v>#N/A</v>
          </cell>
          <cell r="G315" t="e">
            <v>#N/A</v>
          </cell>
          <cell r="J315" t="e">
            <v>#DIV/0!</v>
          </cell>
          <cell r="K315">
            <v>1</v>
          </cell>
        </row>
        <row r="316">
          <cell r="B316" t="e">
            <v>#DIV/0!</v>
          </cell>
          <cell r="C316">
            <v>1</v>
          </cell>
          <cell r="E316" t="e">
            <v>#N/A</v>
          </cell>
          <cell r="G316" t="e">
            <v>#N/A</v>
          </cell>
          <cell r="J316" t="e">
            <v>#DIV/0!</v>
          </cell>
          <cell r="K316">
            <v>1</v>
          </cell>
        </row>
        <row r="317">
          <cell r="B317" t="e">
            <v>#DIV/0!</v>
          </cell>
          <cell r="C317">
            <v>1</v>
          </cell>
          <cell r="E317" t="e">
            <v>#N/A</v>
          </cell>
          <cell r="G317" t="e">
            <v>#N/A</v>
          </cell>
          <cell r="J317" t="e">
            <v>#DIV/0!</v>
          </cell>
          <cell r="K317">
            <v>1</v>
          </cell>
        </row>
        <row r="318">
          <cell r="B318" t="e">
            <v>#DIV/0!</v>
          </cell>
          <cell r="C318">
            <v>1</v>
          </cell>
          <cell r="E318" t="e">
            <v>#N/A</v>
          </cell>
          <cell r="G318" t="e">
            <v>#N/A</v>
          </cell>
          <cell r="J318" t="e">
            <v>#DIV/0!</v>
          </cell>
          <cell r="K318">
            <v>1</v>
          </cell>
        </row>
        <row r="319">
          <cell r="B319" t="e">
            <v>#DIV/0!</v>
          </cell>
          <cell r="C319">
            <v>1</v>
          </cell>
          <cell r="E319" t="e">
            <v>#N/A</v>
          </cell>
          <cell r="G319" t="e">
            <v>#N/A</v>
          </cell>
          <cell r="J319" t="e">
            <v>#DIV/0!</v>
          </cell>
          <cell r="K319">
            <v>1</v>
          </cell>
        </row>
        <row r="320">
          <cell r="B320" t="e">
            <v>#DIV/0!</v>
          </cell>
          <cell r="C320">
            <v>1</v>
          </cell>
          <cell r="E320" t="e">
            <v>#N/A</v>
          </cell>
          <cell r="G320" t="e">
            <v>#N/A</v>
          </cell>
          <cell r="J320" t="e">
            <v>#DIV/0!</v>
          </cell>
          <cell r="K320">
            <v>1</v>
          </cell>
        </row>
        <row r="321">
          <cell r="B321" t="e">
            <v>#DIV/0!</v>
          </cell>
          <cell r="C321">
            <v>1</v>
          </cell>
          <cell r="E321" t="e">
            <v>#N/A</v>
          </cell>
          <cell r="G321" t="e">
            <v>#N/A</v>
          </cell>
          <cell r="J321" t="e">
            <v>#DIV/0!</v>
          </cell>
          <cell r="K321">
            <v>1</v>
          </cell>
        </row>
        <row r="322">
          <cell r="B322" t="e">
            <v>#DIV/0!</v>
          </cell>
          <cell r="C322">
            <v>1</v>
          </cell>
          <cell r="E322" t="e">
            <v>#N/A</v>
          </cell>
          <cell r="G322" t="e">
            <v>#N/A</v>
          </cell>
          <cell r="J322" t="e">
            <v>#DIV/0!</v>
          </cell>
          <cell r="K322">
            <v>1</v>
          </cell>
        </row>
        <row r="323">
          <cell r="B323" t="e">
            <v>#DIV/0!</v>
          </cell>
          <cell r="C323">
            <v>1</v>
          </cell>
          <cell r="E323" t="e">
            <v>#N/A</v>
          </cell>
          <cell r="G323" t="e">
            <v>#N/A</v>
          </cell>
          <cell r="J323" t="e">
            <v>#DIV/0!</v>
          </cell>
          <cell r="K323">
            <v>1</v>
          </cell>
        </row>
        <row r="324">
          <cell r="B324" t="e">
            <v>#DIV/0!</v>
          </cell>
          <cell r="C324">
            <v>1</v>
          </cell>
          <cell r="E324" t="e">
            <v>#N/A</v>
          </cell>
          <cell r="G324" t="e">
            <v>#N/A</v>
          </cell>
          <cell r="J324" t="e">
            <v>#DIV/0!</v>
          </cell>
          <cell r="K324">
            <v>1</v>
          </cell>
        </row>
        <row r="325">
          <cell r="B325" t="e">
            <v>#DIV/0!</v>
          </cell>
          <cell r="C325">
            <v>1</v>
          </cell>
          <cell r="E325" t="e">
            <v>#N/A</v>
          </cell>
          <cell r="G325" t="e">
            <v>#N/A</v>
          </cell>
          <cell r="J325" t="e">
            <v>#DIV/0!</v>
          </cell>
          <cell r="K325">
            <v>1</v>
          </cell>
        </row>
        <row r="326">
          <cell r="B326" t="e">
            <v>#DIV/0!</v>
          </cell>
          <cell r="C326">
            <v>1</v>
          </cell>
          <cell r="E326" t="e">
            <v>#N/A</v>
          </cell>
          <cell r="G326" t="e">
            <v>#N/A</v>
          </cell>
          <cell r="J326" t="e">
            <v>#DIV/0!</v>
          </cell>
          <cell r="K326">
            <v>1</v>
          </cell>
        </row>
        <row r="327">
          <cell r="B327" t="e">
            <v>#DIV/0!</v>
          </cell>
          <cell r="C327">
            <v>1</v>
          </cell>
          <cell r="E327" t="e">
            <v>#N/A</v>
          </cell>
          <cell r="G327" t="e">
            <v>#N/A</v>
          </cell>
          <cell r="J327" t="e">
            <v>#DIV/0!</v>
          </cell>
          <cell r="K327">
            <v>1</v>
          </cell>
        </row>
        <row r="328">
          <cell r="B328" t="e">
            <v>#DIV/0!</v>
          </cell>
          <cell r="C328">
            <v>1</v>
          </cell>
          <cell r="E328" t="e">
            <v>#N/A</v>
          </cell>
          <cell r="G328" t="e">
            <v>#N/A</v>
          </cell>
          <cell r="J328" t="e">
            <v>#DIV/0!</v>
          </cell>
          <cell r="K328">
            <v>1</v>
          </cell>
        </row>
        <row r="329">
          <cell r="B329" t="e">
            <v>#DIV/0!</v>
          </cell>
          <cell r="C329">
            <v>1</v>
          </cell>
          <cell r="E329" t="e">
            <v>#N/A</v>
          </cell>
          <cell r="G329" t="e">
            <v>#N/A</v>
          </cell>
          <cell r="J329" t="e">
            <v>#DIV/0!</v>
          </cell>
          <cell r="K329">
            <v>1</v>
          </cell>
        </row>
        <row r="330">
          <cell r="B330" t="e">
            <v>#DIV/0!</v>
          </cell>
          <cell r="C330">
            <v>1</v>
          </cell>
          <cell r="E330" t="e">
            <v>#N/A</v>
          </cell>
          <cell r="G330" t="e">
            <v>#N/A</v>
          </cell>
          <cell r="J330" t="e">
            <v>#DIV/0!</v>
          </cell>
          <cell r="K330">
            <v>1</v>
          </cell>
        </row>
        <row r="331">
          <cell r="B331" t="e">
            <v>#DIV/0!</v>
          </cell>
          <cell r="C331">
            <v>1</v>
          </cell>
          <cell r="E331" t="e">
            <v>#N/A</v>
          </cell>
          <cell r="G331" t="e">
            <v>#N/A</v>
          </cell>
          <cell r="J331" t="e">
            <v>#DIV/0!</v>
          </cell>
          <cell r="K331">
            <v>1</v>
          </cell>
        </row>
        <row r="332">
          <cell r="B332" t="e">
            <v>#DIV/0!</v>
          </cell>
          <cell r="C332">
            <v>1</v>
          </cell>
          <cell r="E332" t="e">
            <v>#N/A</v>
          </cell>
          <cell r="G332" t="e">
            <v>#N/A</v>
          </cell>
          <cell r="J332" t="e">
            <v>#DIV/0!</v>
          </cell>
          <cell r="K332">
            <v>1</v>
          </cell>
        </row>
        <row r="333">
          <cell r="B333" t="e">
            <v>#DIV/0!</v>
          </cell>
          <cell r="C333">
            <v>1</v>
          </cell>
          <cell r="E333" t="e">
            <v>#N/A</v>
          </cell>
          <cell r="G333" t="e">
            <v>#N/A</v>
          </cell>
          <cell r="J333" t="e">
            <v>#DIV/0!</v>
          </cell>
          <cell r="K333">
            <v>1</v>
          </cell>
        </row>
        <row r="334">
          <cell r="B334" t="e">
            <v>#DIV/0!</v>
          </cell>
          <cell r="C334">
            <v>1</v>
          </cell>
          <cell r="E334" t="e">
            <v>#N/A</v>
          </cell>
          <cell r="G334" t="e">
            <v>#N/A</v>
          </cell>
          <cell r="J334" t="e">
            <v>#DIV/0!</v>
          </cell>
          <cell r="K334">
            <v>1</v>
          </cell>
        </row>
        <row r="335">
          <cell r="B335" t="e">
            <v>#DIV/0!</v>
          </cell>
          <cell r="C335">
            <v>1</v>
          </cell>
          <cell r="E335" t="e">
            <v>#N/A</v>
          </cell>
          <cell r="G335" t="e">
            <v>#N/A</v>
          </cell>
          <cell r="J335" t="e">
            <v>#DIV/0!</v>
          </cell>
          <cell r="K335">
            <v>1</v>
          </cell>
        </row>
        <row r="336">
          <cell r="B336" t="e">
            <v>#DIV/0!</v>
          </cell>
          <cell r="C336">
            <v>1</v>
          </cell>
          <cell r="E336" t="e">
            <v>#N/A</v>
          </cell>
          <cell r="G336" t="e">
            <v>#N/A</v>
          </cell>
          <cell r="J336" t="e">
            <v>#DIV/0!</v>
          </cell>
          <cell r="K336">
            <v>1</v>
          </cell>
        </row>
        <row r="337">
          <cell r="B337" t="e">
            <v>#DIV/0!</v>
          </cell>
          <cell r="C337">
            <v>1</v>
          </cell>
          <cell r="E337" t="e">
            <v>#N/A</v>
          </cell>
          <cell r="G337" t="e">
            <v>#N/A</v>
          </cell>
          <cell r="J337" t="e">
            <v>#DIV/0!</v>
          </cell>
          <cell r="K337">
            <v>1</v>
          </cell>
        </row>
        <row r="338">
          <cell r="B338" t="e">
            <v>#DIV/0!</v>
          </cell>
          <cell r="C338">
            <v>1</v>
          </cell>
          <cell r="E338" t="e">
            <v>#N/A</v>
          </cell>
          <cell r="G338" t="e">
            <v>#N/A</v>
          </cell>
          <cell r="J338" t="e">
            <v>#DIV/0!</v>
          </cell>
          <cell r="K338">
            <v>1</v>
          </cell>
        </row>
        <row r="339">
          <cell r="B339" t="e">
            <v>#DIV/0!</v>
          </cell>
          <cell r="C339">
            <v>1</v>
          </cell>
          <cell r="E339" t="e">
            <v>#N/A</v>
          </cell>
          <cell r="G339" t="e">
            <v>#N/A</v>
          </cell>
          <cell r="J339" t="e">
            <v>#DIV/0!</v>
          </cell>
          <cell r="K339">
            <v>1</v>
          </cell>
        </row>
        <row r="340">
          <cell r="B340" t="e">
            <v>#DIV/0!</v>
          </cell>
          <cell r="C340">
            <v>1</v>
          </cell>
          <cell r="E340" t="e">
            <v>#N/A</v>
          </cell>
          <cell r="G340" t="e">
            <v>#N/A</v>
          </cell>
          <cell r="J340" t="e">
            <v>#DIV/0!</v>
          </cell>
          <cell r="K340">
            <v>1</v>
          </cell>
        </row>
        <row r="341">
          <cell r="B341" t="e">
            <v>#DIV/0!</v>
          </cell>
          <cell r="C341">
            <v>1</v>
          </cell>
          <cell r="E341" t="e">
            <v>#N/A</v>
          </cell>
          <cell r="G341" t="e">
            <v>#N/A</v>
          </cell>
          <cell r="J341" t="e">
            <v>#DIV/0!</v>
          </cell>
          <cell r="K341">
            <v>1</v>
          </cell>
        </row>
        <row r="342">
          <cell r="B342" t="e">
            <v>#DIV/0!</v>
          </cell>
          <cell r="C342">
            <v>1</v>
          </cell>
          <cell r="E342" t="e">
            <v>#N/A</v>
          </cell>
          <cell r="G342" t="e">
            <v>#N/A</v>
          </cell>
          <cell r="J342" t="e">
            <v>#DIV/0!</v>
          </cell>
          <cell r="K342">
            <v>1</v>
          </cell>
        </row>
        <row r="343">
          <cell r="B343" t="e">
            <v>#DIV/0!</v>
          </cell>
          <cell r="C343">
            <v>1</v>
          </cell>
          <cell r="E343" t="e">
            <v>#N/A</v>
          </cell>
          <cell r="G343" t="e">
            <v>#N/A</v>
          </cell>
          <cell r="J343" t="e">
            <v>#DIV/0!</v>
          </cell>
          <cell r="K343">
            <v>1</v>
          </cell>
        </row>
        <row r="344">
          <cell r="B344" t="e">
            <v>#DIV/0!</v>
          </cell>
          <cell r="C344">
            <v>1</v>
          </cell>
          <cell r="E344" t="e">
            <v>#N/A</v>
          </cell>
          <cell r="G344" t="e">
            <v>#N/A</v>
          </cell>
          <cell r="J344" t="e">
            <v>#DIV/0!</v>
          </cell>
          <cell r="K344">
            <v>1</v>
          </cell>
        </row>
        <row r="345">
          <cell r="B345" t="e">
            <v>#DIV/0!</v>
          </cell>
          <cell r="C345">
            <v>1</v>
          </cell>
          <cell r="E345" t="e">
            <v>#N/A</v>
          </cell>
          <cell r="G345" t="e">
            <v>#N/A</v>
          </cell>
          <cell r="J345" t="e">
            <v>#DIV/0!</v>
          </cell>
          <cell r="K345">
            <v>1</v>
          </cell>
        </row>
        <row r="346">
          <cell r="B346" t="e">
            <v>#DIV/0!</v>
          </cell>
          <cell r="C346">
            <v>1</v>
          </cell>
          <cell r="E346" t="e">
            <v>#N/A</v>
          </cell>
          <cell r="G346" t="e">
            <v>#N/A</v>
          </cell>
          <cell r="J346" t="e">
            <v>#DIV/0!</v>
          </cell>
          <cell r="K346">
            <v>1</v>
          </cell>
        </row>
        <row r="347">
          <cell r="B347" t="e">
            <v>#DIV/0!</v>
          </cell>
          <cell r="C347">
            <v>1</v>
          </cell>
          <cell r="E347" t="e">
            <v>#N/A</v>
          </cell>
          <cell r="G347" t="e">
            <v>#N/A</v>
          </cell>
          <cell r="J347" t="e">
            <v>#DIV/0!</v>
          </cell>
          <cell r="K347">
            <v>1</v>
          </cell>
        </row>
        <row r="348">
          <cell r="B348" t="e">
            <v>#DIV/0!</v>
          </cell>
          <cell r="C348">
            <v>1</v>
          </cell>
          <cell r="E348" t="e">
            <v>#N/A</v>
          </cell>
          <cell r="G348" t="e">
            <v>#N/A</v>
          </cell>
          <cell r="J348" t="e">
            <v>#DIV/0!</v>
          </cell>
          <cell r="K348">
            <v>1</v>
          </cell>
        </row>
        <row r="349">
          <cell r="B349" t="e">
            <v>#DIV/0!</v>
          </cell>
          <cell r="C349">
            <v>1</v>
          </cell>
          <cell r="E349" t="e">
            <v>#N/A</v>
          </cell>
          <cell r="G349" t="e">
            <v>#N/A</v>
          </cell>
          <cell r="J349" t="e">
            <v>#DIV/0!</v>
          </cell>
          <cell r="K349">
            <v>1</v>
          </cell>
        </row>
        <row r="350">
          <cell r="B350" t="e">
            <v>#DIV/0!</v>
          </cell>
          <cell r="C350">
            <v>1</v>
          </cell>
          <cell r="E350" t="e">
            <v>#N/A</v>
          </cell>
          <cell r="G350" t="e">
            <v>#N/A</v>
          </cell>
          <cell r="J350" t="e">
            <v>#DIV/0!</v>
          </cell>
          <cell r="K350">
            <v>1</v>
          </cell>
        </row>
        <row r="351">
          <cell r="B351" t="e">
            <v>#DIV/0!</v>
          </cell>
          <cell r="C351">
            <v>1</v>
          </cell>
          <cell r="E351" t="e">
            <v>#N/A</v>
          </cell>
          <cell r="G351" t="e">
            <v>#N/A</v>
          </cell>
          <cell r="J351" t="e">
            <v>#DIV/0!</v>
          </cell>
          <cell r="K351">
            <v>1</v>
          </cell>
        </row>
        <row r="352">
          <cell r="B352" t="e">
            <v>#DIV/0!</v>
          </cell>
          <cell r="C352">
            <v>1</v>
          </cell>
          <cell r="E352" t="e">
            <v>#N/A</v>
          </cell>
          <cell r="G352" t="e">
            <v>#N/A</v>
          </cell>
          <cell r="J352" t="e">
            <v>#DIV/0!</v>
          </cell>
          <cell r="K352">
            <v>1</v>
          </cell>
        </row>
        <row r="353">
          <cell r="B353" t="e">
            <v>#DIV/0!</v>
          </cell>
          <cell r="C353">
            <v>1</v>
          </cell>
          <cell r="E353" t="e">
            <v>#N/A</v>
          </cell>
          <cell r="G353" t="e">
            <v>#N/A</v>
          </cell>
          <cell r="J353" t="e">
            <v>#DIV/0!</v>
          </cell>
          <cell r="K353">
            <v>1</v>
          </cell>
        </row>
        <row r="354">
          <cell r="B354" t="e">
            <v>#DIV/0!</v>
          </cell>
          <cell r="C354">
            <v>1</v>
          </cell>
          <cell r="E354" t="e">
            <v>#N/A</v>
          </cell>
          <cell r="G354" t="e">
            <v>#N/A</v>
          </cell>
          <cell r="J354" t="e">
            <v>#DIV/0!</v>
          </cell>
          <cell r="K354">
            <v>1</v>
          </cell>
        </row>
        <row r="355">
          <cell r="B355" t="e">
            <v>#DIV/0!</v>
          </cell>
          <cell r="C355">
            <v>1</v>
          </cell>
          <cell r="E355" t="e">
            <v>#N/A</v>
          </cell>
          <cell r="G355" t="e">
            <v>#N/A</v>
          </cell>
          <cell r="J355" t="e">
            <v>#DIV/0!</v>
          </cell>
          <cell r="K355">
            <v>1</v>
          </cell>
        </row>
        <row r="356">
          <cell r="B356" t="e">
            <v>#DIV/0!</v>
          </cell>
          <cell r="C356">
            <v>1</v>
          </cell>
          <cell r="E356" t="e">
            <v>#N/A</v>
          </cell>
          <cell r="G356" t="e">
            <v>#N/A</v>
          </cell>
          <cell r="J356" t="e">
            <v>#DIV/0!</v>
          </cell>
          <cell r="K356">
            <v>1</v>
          </cell>
        </row>
        <row r="357">
          <cell r="B357" t="e">
            <v>#DIV/0!</v>
          </cell>
          <cell r="C357">
            <v>1</v>
          </cell>
          <cell r="E357" t="e">
            <v>#N/A</v>
          </cell>
          <cell r="G357" t="e">
            <v>#N/A</v>
          </cell>
          <cell r="J357" t="e">
            <v>#DIV/0!</v>
          </cell>
          <cell r="K357">
            <v>1</v>
          </cell>
        </row>
        <row r="358">
          <cell r="B358" t="e">
            <v>#DIV/0!</v>
          </cell>
          <cell r="C358">
            <v>1</v>
          </cell>
          <cell r="E358" t="e">
            <v>#N/A</v>
          </cell>
          <cell r="G358" t="e">
            <v>#N/A</v>
          </cell>
          <cell r="J358" t="e">
            <v>#DIV/0!</v>
          </cell>
          <cell r="K358">
            <v>1</v>
          </cell>
        </row>
        <row r="359">
          <cell r="B359" t="e">
            <v>#DIV/0!</v>
          </cell>
          <cell r="C359">
            <v>1</v>
          </cell>
          <cell r="E359" t="e">
            <v>#N/A</v>
          </cell>
          <cell r="G359" t="e">
            <v>#N/A</v>
          </cell>
          <cell r="J359" t="e">
            <v>#DIV/0!</v>
          </cell>
          <cell r="K359">
            <v>1</v>
          </cell>
        </row>
        <row r="360">
          <cell r="B360" t="e">
            <v>#DIV/0!</v>
          </cell>
          <cell r="C360">
            <v>1</v>
          </cell>
          <cell r="E360" t="e">
            <v>#N/A</v>
          </cell>
          <cell r="G360" t="e">
            <v>#N/A</v>
          </cell>
          <cell r="J360" t="e">
            <v>#DIV/0!</v>
          </cell>
          <cell r="K360">
            <v>1</v>
          </cell>
        </row>
        <row r="361">
          <cell r="B361" t="e">
            <v>#DIV/0!</v>
          </cell>
          <cell r="C361">
            <v>1</v>
          </cell>
          <cell r="E361" t="e">
            <v>#N/A</v>
          </cell>
          <cell r="G361" t="e">
            <v>#N/A</v>
          </cell>
          <cell r="J361" t="e">
            <v>#DIV/0!</v>
          </cell>
          <cell r="K361">
            <v>1</v>
          </cell>
        </row>
        <row r="362">
          <cell r="B362" t="e">
            <v>#DIV/0!</v>
          </cell>
          <cell r="C362">
            <v>1</v>
          </cell>
          <cell r="E362" t="e">
            <v>#N/A</v>
          </cell>
          <cell r="G362" t="e">
            <v>#N/A</v>
          </cell>
          <cell r="J362" t="e">
            <v>#DIV/0!</v>
          </cell>
          <cell r="K362">
            <v>1</v>
          </cell>
        </row>
        <row r="363">
          <cell r="B363" t="e">
            <v>#DIV/0!</v>
          </cell>
          <cell r="C363">
            <v>1</v>
          </cell>
          <cell r="E363" t="e">
            <v>#N/A</v>
          </cell>
          <cell r="G363" t="e">
            <v>#N/A</v>
          </cell>
          <cell r="J363" t="e">
            <v>#DIV/0!</v>
          </cell>
          <cell r="K363">
            <v>1</v>
          </cell>
        </row>
        <row r="364">
          <cell r="B364" t="e">
            <v>#DIV/0!</v>
          </cell>
          <cell r="C364">
            <v>1</v>
          </cell>
          <cell r="E364" t="e">
            <v>#N/A</v>
          </cell>
          <cell r="G364" t="e">
            <v>#N/A</v>
          </cell>
          <cell r="J364" t="e">
            <v>#DIV/0!</v>
          </cell>
          <cell r="K364">
            <v>1</v>
          </cell>
        </row>
        <row r="365">
          <cell r="B365" t="e">
            <v>#DIV/0!</v>
          </cell>
          <cell r="C365">
            <v>1</v>
          </cell>
          <cell r="E365" t="e">
            <v>#N/A</v>
          </cell>
          <cell r="G365" t="e">
            <v>#N/A</v>
          </cell>
          <cell r="J365" t="e">
            <v>#DIV/0!</v>
          </cell>
          <cell r="K365">
            <v>1</v>
          </cell>
        </row>
        <row r="366">
          <cell r="B366" t="e">
            <v>#DIV/0!</v>
          </cell>
          <cell r="C366">
            <v>1</v>
          </cell>
          <cell r="E366" t="e">
            <v>#N/A</v>
          </cell>
          <cell r="G366" t="e">
            <v>#N/A</v>
          </cell>
          <cell r="J366" t="e">
            <v>#DIV/0!</v>
          </cell>
          <cell r="K366">
            <v>1</v>
          </cell>
        </row>
        <row r="367">
          <cell r="B367" t="e">
            <v>#DIV/0!</v>
          </cell>
          <cell r="C367">
            <v>1</v>
          </cell>
          <cell r="E367" t="e">
            <v>#N/A</v>
          </cell>
          <cell r="G367" t="e">
            <v>#N/A</v>
          </cell>
          <cell r="J367" t="e">
            <v>#DIV/0!</v>
          </cell>
          <cell r="K367">
            <v>1</v>
          </cell>
        </row>
        <row r="368">
          <cell r="B368" t="e">
            <v>#DIV/0!</v>
          </cell>
          <cell r="C368">
            <v>1</v>
          </cell>
          <cell r="E368" t="e">
            <v>#N/A</v>
          </cell>
          <cell r="G368" t="e">
            <v>#N/A</v>
          </cell>
          <cell r="J368" t="e">
            <v>#DIV/0!</v>
          </cell>
          <cell r="K368">
            <v>1</v>
          </cell>
        </row>
        <row r="369">
          <cell r="B369" t="e">
            <v>#DIV/0!</v>
          </cell>
          <cell r="C369">
            <v>1</v>
          </cell>
          <cell r="E369" t="e">
            <v>#N/A</v>
          </cell>
          <cell r="G369" t="e">
            <v>#N/A</v>
          </cell>
          <cell r="J369" t="e">
            <v>#DIV/0!</v>
          </cell>
          <cell r="K369">
            <v>1</v>
          </cell>
        </row>
        <row r="370">
          <cell r="B370" t="e">
            <v>#DIV/0!</v>
          </cell>
          <cell r="C370">
            <v>1</v>
          </cell>
          <cell r="E370" t="e">
            <v>#N/A</v>
          </cell>
          <cell r="G370" t="e">
            <v>#N/A</v>
          </cell>
          <cell r="J370" t="e">
            <v>#DIV/0!</v>
          </cell>
          <cell r="K370">
            <v>1</v>
          </cell>
        </row>
        <row r="371">
          <cell r="B371" t="e">
            <v>#DIV/0!</v>
          </cell>
          <cell r="C371">
            <v>1</v>
          </cell>
          <cell r="E371" t="e">
            <v>#N/A</v>
          </cell>
          <cell r="G371" t="e">
            <v>#N/A</v>
          </cell>
          <cell r="J371" t="e">
            <v>#DIV/0!</v>
          </cell>
          <cell r="K371">
            <v>1</v>
          </cell>
        </row>
        <row r="372">
          <cell r="B372" t="e">
            <v>#DIV/0!</v>
          </cell>
          <cell r="C372">
            <v>1</v>
          </cell>
          <cell r="E372" t="e">
            <v>#N/A</v>
          </cell>
          <cell r="G372" t="e">
            <v>#N/A</v>
          </cell>
          <cell r="J372" t="e">
            <v>#DIV/0!</v>
          </cell>
          <cell r="K372">
            <v>1</v>
          </cell>
        </row>
        <row r="373">
          <cell r="B373" t="e">
            <v>#DIV/0!</v>
          </cell>
          <cell r="C373">
            <v>1</v>
          </cell>
          <cell r="E373" t="e">
            <v>#N/A</v>
          </cell>
          <cell r="G373" t="e">
            <v>#N/A</v>
          </cell>
          <cell r="J373" t="e">
            <v>#DIV/0!</v>
          </cell>
          <cell r="K373">
            <v>1</v>
          </cell>
        </row>
        <row r="374">
          <cell r="B374" t="e">
            <v>#DIV/0!</v>
          </cell>
          <cell r="C374">
            <v>1</v>
          </cell>
          <cell r="E374" t="e">
            <v>#N/A</v>
          </cell>
          <cell r="G374" t="e">
            <v>#N/A</v>
          </cell>
          <cell r="J374" t="e">
            <v>#DIV/0!</v>
          </cell>
          <cell r="K374">
            <v>1</v>
          </cell>
        </row>
        <row r="375">
          <cell r="B375" t="e">
            <v>#DIV/0!</v>
          </cell>
          <cell r="C375">
            <v>1</v>
          </cell>
          <cell r="E375" t="e">
            <v>#N/A</v>
          </cell>
          <cell r="G375" t="e">
            <v>#N/A</v>
          </cell>
          <cell r="J375" t="e">
            <v>#DIV/0!</v>
          </cell>
          <cell r="K375">
            <v>1</v>
          </cell>
        </row>
        <row r="376">
          <cell r="B376" t="e">
            <v>#DIV/0!</v>
          </cell>
          <cell r="C376">
            <v>1</v>
          </cell>
          <cell r="E376" t="e">
            <v>#N/A</v>
          </cell>
          <cell r="G376" t="e">
            <v>#N/A</v>
          </cell>
          <cell r="J376" t="e">
            <v>#DIV/0!</v>
          </cell>
          <cell r="K376">
            <v>1</v>
          </cell>
        </row>
        <row r="377">
          <cell r="B377" t="e">
            <v>#DIV/0!</v>
          </cell>
          <cell r="C377">
            <v>1</v>
          </cell>
          <cell r="E377" t="e">
            <v>#N/A</v>
          </cell>
          <cell r="G377" t="e">
            <v>#N/A</v>
          </cell>
          <cell r="J377" t="e">
            <v>#DIV/0!</v>
          </cell>
          <cell r="K377">
            <v>1</v>
          </cell>
        </row>
        <row r="378">
          <cell r="B378" t="e">
            <v>#DIV/0!</v>
          </cell>
          <cell r="C378">
            <v>1</v>
          </cell>
          <cell r="E378" t="e">
            <v>#N/A</v>
          </cell>
          <cell r="G378" t="e">
            <v>#N/A</v>
          </cell>
          <cell r="J378" t="e">
            <v>#DIV/0!</v>
          </cell>
          <cell r="K378">
            <v>1</v>
          </cell>
        </row>
        <row r="379">
          <cell r="B379" t="e">
            <v>#DIV/0!</v>
          </cell>
          <cell r="C379">
            <v>1</v>
          </cell>
          <cell r="E379" t="e">
            <v>#N/A</v>
          </cell>
          <cell r="G379" t="e">
            <v>#N/A</v>
          </cell>
          <cell r="J379" t="e">
            <v>#DIV/0!</v>
          </cell>
          <cell r="K379">
            <v>1</v>
          </cell>
        </row>
        <row r="380">
          <cell r="B380" t="e">
            <v>#DIV/0!</v>
          </cell>
          <cell r="C380">
            <v>1</v>
          </cell>
          <cell r="E380" t="e">
            <v>#N/A</v>
          </cell>
          <cell r="G380" t="e">
            <v>#N/A</v>
          </cell>
          <cell r="J380" t="e">
            <v>#DIV/0!</v>
          </cell>
          <cell r="K380">
            <v>1</v>
          </cell>
        </row>
        <row r="381">
          <cell r="B381" t="e">
            <v>#DIV/0!</v>
          </cell>
          <cell r="C381">
            <v>1</v>
          </cell>
          <cell r="E381" t="e">
            <v>#N/A</v>
          </cell>
          <cell r="G381" t="e">
            <v>#N/A</v>
          </cell>
          <cell r="J381" t="e">
            <v>#DIV/0!</v>
          </cell>
          <cell r="K381">
            <v>1</v>
          </cell>
        </row>
        <row r="382">
          <cell r="B382" t="e">
            <v>#DIV/0!</v>
          </cell>
          <cell r="C382">
            <v>1</v>
          </cell>
          <cell r="E382" t="e">
            <v>#N/A</v>
          </cell>
          <cell r="G382" t="e">
            <v>#N/A</v>
          </cell>
          <cell r="J382" t="e">
            <v>#DIV/0!</v>
          </cell>
          <cell r="K382">
            <v>1</v>
          </cell>
        </row>
        <row r="383">
          <cell r="B383" t="e">
            <v>#DIV/0!</v>
          </cell>
          <cell r="C383">
            <v>1</v>
          </cell>
          <cell r="E383" t="e">
            <v>#N/A</v>
          </cell>
          <cell r="G383" t="e">
            <v>#N/A</v>
          </cell>
          <cell r="J383" t="e">
            <v>#DIV/0!</v>
          </cell>
          <cell r="K383">
            <v>1</v>
          </cell>
        </row>
        <row r="384">
          <cell r="B384" t="e">
            <v>#DIV/0!</v>
          </cell>
          <cell r="C384">
            <v>1</v>
          </cell>
          <cell r="E384" t="e">
            <v>#N/A</v>
          </cell>
          <cell r="G384" t="e">
            <v>#N/A</v>
          </cell>
          <cell r="J384" t="e">
            <v>#DIV/0!</v>
          </cell>
          <cell r="K384">
            <v>1</v>
          </cell>
        </row>
        <row r="385">
          <cell r="B385" t="e">
            <v>#DIV/0!</v>
          </cell>
          <cell r="C385">
            <v>1</v>
          </cell>
          <cell r="E385" t="e">
            <v>#N/A</v>
          </cell>
          <cell r="G385" t="e">
            <v>#N/A</v>
          </cell>
          <cell r="J385" t="e">
            <v>#DIV/0!</v>
          </cell>
          <cell r="K385">
            <v>1</v>
          </cell>
        </row>
        <row r="386">
          <cell r="B386" t="e">
            <v>#DIV/0!</v>
          </cell>
          <cell r="C386">
            <v>1</v>
          </cell>
          <cell r="E386" t="e">
            <v>#N/A</v>
          </cell>
          <cell r="G386" t="e">
            <v>#N/A</v>
          </cell>
          <cell r="J386" t="e">
            <v>#DIV/0!</v>
          </cell>
          <cell r="K386">
            <v>1</v>
          </cell>
        </row>
        <row r="387">
          <cell r="B387" t="e">
            <v>#DIV/0!</v>
          </cell>
          <cell r="C387">
            <v>1</v>
          </cell>
          <cell r="E387" t="e">
            <v>#N/A</v>
          </cell>
          <cell r="G387" t="e">
            <v>#N/A</v>
          </cell>
          <cell r="J387" t="e">
            <v>#DIV/0!</v>
          </cell>
          <cell r="K387">
            <v>1</v>
          </cell>
        </row>
        <row r="388">
          <cell r="B388" t="e">
            <v>#DIV/0!</v>
          </cell>
          <cell r="C388">
            <v>1</v>
          </cell>
          <cell r="E388" t="e">
            <v>#N/A</v>
          </cell>
          <cell r="G388" t="e">
            <v>#N/A</v>
          </cell>
          <cell r="J388" t="e">
            <v>#DIV/0!</v>
          </cell>
          <cell r="K388">
            <v>1</v>
          </cell>
        </row>
        <row r="389">
          <cell r="B389" t="e">
            <v>#DIV/0!</v>
          </cell>
          <cell r="C389">
            <v>1</v>
          </cell>
          <cell r="E389" t="e">
            <v>#N/A</v>
          </cell>
          <cell r="G389" t="e">
            <v>#N/A</v>
          </cell>
          <cell r="J389" t="e">
            <v>#DIV/0!</v>
          </cell>
          <cell r="K389">
            <v>1</v>
          </cell>
        </row>
        <row r="390">
          <cell r="B390" t="e">
            <v>#DIV/0!</v>
          </cell>
          <cell r="C390">
            <v>1</v>
          </cell>
          <cell r="E390" t="e">
            <v>#N/A</v>
          </cell>
          <cell r="G390" t="e">
            <v>#N/A</v>
          </cell>
          <cell r="J390" t="e">
            <v>#DIV/0!</v>
          </cell>
          <cell r="K390">
            <v>1</v>
          </cell>
        </row>
        <row r="391">
          <cell r="B391" t="e">
            <v>#DIV/0!</v>
          </cell>
          <cell r="C391">
            <v>1</v>
          </cell>
          <cell r="E391" t="e">
            <v>#N/A</v>
          </cell>
          <cell r="G391" t="e">
            <v>#N/A</v>
          </cell>
          <cell r="J391" t="e">
            <v>#DIV/0!</v>
          </cell>
          <cell r="K391">
            <v>1</v>
          </cell>
        </row>
        <row r="392">
          <cell r="B392" t="e">
            <v>#DIV/0!</v>
          </cell>
          <cell r="C392">
            <v>1</v>
          </cell>
          <cell r="E392" t="e">
            <v>#N/A</v>
          </cell>
          <cell r="G392" t="e">
            <v>#N/A</v>
          </cell>
          <cell r="J392" t="e">
            <v>#DIV/0!</v>
          </cell>
          <cell r="K392">
            <v>1</v>
          </cell>
        </row>
        <row r="393">
          <cell r="B393" t="e">
            <v>#DIV/0!</v>
          </cell>
          <cell r="C393">
            <v>1</v>
          </cell>
          <cell r="E393" t="e">
            <v>#N/A</v>
          </cell>
          <cell r="G393" t="e">
            <v>#N/A</v>
          </cell>
          <cell r="J393" t="e">
            <v>#DIV/0!</v>
          </cell>
          <cell r="K393">
            <v>1</v>
          </cell>
        </row>
        <row r="394">
          <cell r="B394" t="e">
            <v>#DIV/0!</v>
          </cell>
          <cell r="C394">
            <v>1</v>
          </cell>
          <cell r="E394" t="e">
            <v>#N/A</v>
          </cell>
          <cell r="G394" t="e">
            <v>#N/A</v>
          </cell>
          <cell r="J394" t="e">
            <v>#DIV/0!</v>
          </cell>
          <cell r="K394">
            <v>1</v>
          </cell>
        </row>
        <row r="395">
          <cell r="B395" t="e">
            <v>#DIV/0!</v>
          </cell>
          <cell r="C395">
            <v>1</v>
          </cell>
          <cell r="E395" t="e">
            <v>#N/A</v>
          </cell>
          <cell r="G395" t="e">
            <v>#N/A</v>
          </cell>
          <cell r="J395" t="e">
            <v>#DIV/0!</v>
          </cell>
          <cell r="K395">
            <v>1</v>
          </cell>
        </row>
        <row r="396">
          <cell r="B396" t="e">
            <v>#DIV/0!</v>
          </cell>
          <cell r="C396">
            <v>1</v>
          </cell>
          <cell r="E396" t="e">
            <v>#N/A</v>
          </cell>
          <cell r="G396" t="e">
            <v>#N/A</v>
          </cell>
          <cell r="J396" t="e">
            <v>#DIV/0!</v>
          </cell>
          <cell r="K396">
            <v>1</v>
          </cell>
        </row>
        <row r="397">
          <cell r="B397" t="e">
            <v>#DIV/0!</v>
          </cell>
          <cell r="C397">
            <v>1</v>
          </cell>
          <cell r="E397" t="e">
            <v>#N/A</v>
          </cell>
          <cell r="G397" t="e">
            <v>#N/A</v>
          </cell>
          <cell r="J397" t="e">
            <v>#DIV/0!</v>
          </cell>
          <cell r="K397">
            <v>1</v>
          </cell>
        </row>
        <row r="398">
          <cell r="B398" t="e">
            <v>#DIV/0!</v>
          </cell>
          <cell r="C398">
            <v>1</v>
          </cell>
          <cell r="E398" t="e">
            <v>#N/A</v>
          </cell>
          <cell r="G398" t="e">
            <v>#N/A</v>
          </cell>
          <cell r="J398" t="e">
            <v>#DIV/0!</v>
          </cell>
          <cell r="K398">
            <v>1</v>
          </cell>
        </row>
        <row r="399">
          <cell r="B399" t="e">
            <v>#DIV/0!</v>
          </cell>
          <cell r="C399">
            <v>1</v>
          </cell>
          <cell r="E399" t="e">
            <v>#N/A</v>
          </cell>
          <cell r="G399" t="e">
            <v>#N/A</v>
          </cell>
          <cell r="J399" t="e">
            <v>#DIV/0!</v>
          </cell>
          <cell r="K399">
            <v>1</v>
          </cell>
        </row>
        <row r="400">
          <cell r="B400" t="e">
            <v>#DIV/0!</v>
          </cell>
          <cell r="C400">
            <v>1</v>
          </cell>
          <cell r="E400" t="e">
            <v>#N/A</v>
          </cell>
          <cell r="G400" t="e">
            <v>#N/A</v>
          </cell>
          <cell r="J400" t="e">
            <v>#DIV/0!</v>
          </cell>
          <cell r="K400">
            <v>1</v>
          </cell>
        </row>
        <row r="401">
          <cell r="B401" t="e">
            <v>#DIV/0!</v>
          </cell>
          <cell r="C401">
            <v>1</v>
          </cell>
          <cell r="E401" t="e">
            <v>#N/A</v>
          </cell>
          <cell r="G401" t="e">
            <v>#N/A</v>
          </cell>
          <cell r="J401" t="e">
            <v>#DIV/0!</v>
          </cell>
          <cell r="K401">
            <v>1</v>
          </cell>
        </row>
        <row r="402">
          <cell r="B402" t="e">
            <v>#DIV/0!</v>
          </cell>
          <cell r="C402">
            <v>1</v>
          </cell>
          <cell r="E402" t="e">
            <v>#N/A</v>
          </cell>
          <cell r="G402" t="e">
            <v>#N/A</v>
          </cell>
          <cell r="J402" t="e">
            <v>#DIV/0!</v>
          </cell>
          <cell r="K402">
            <v>1</v>
          </cell>
        </row>
        <row r="403">
          <cell r="B403" t="e">
            <v>#DIV/0!</v>
          </cell>
          <cell r="C403">
            <v>1</v>
          </cell>
          <cell r="E403" t="e">
            <v>#N/A</v>
          </cell>
          <cell r="G403" t="e">
            <v>#N/A</v>
          </cell>
          <cell r="J403" t="e">
            <v>#DIV/0!</v>
          </cell>
          <cell r="K403">
            <v>1</v>
          </cell>
        </row>
        <row r="404">
          <cell r="B404" t="e">
            <v>#DIV/0!</v>
          </cell>
          <cell r="C404">
            <v>1</v>
          </cell>
          <cell r="E404" t="e">
            <v>#N/A</v>
          </cell>
          <cell r="G404" t="e">
            <v>#N/A</v>
          </cell>
          <cell r="J404" t="e">
            <v>#DIV/0!</v>
          </cell>
          <cell r="K404">
            <v>1</v>
          </cell>
        </row>
        <row r="405">
          <cell r="B405" t="e">
            <v>#DIV/0!</v>
          </cell>
          <cell r="C405">
            <v>1</v>
          </cell>
          <cell r="E405" t="e">
            <v>#N/A</v>
          </cell>
          <cell r="G405" t="e">
            <v>#N/A</v>
          </cell>
          <cell r="J405" t="e">
            <v>#DIV/0!</v>
          </cell>
          <cell r="K405">
            <v>1</v>
          </cell>
        </row>
        <row r="406">
          <cell r="B406" t="e">
            <v>#DIV/0!</v>
          </cell>
          <cell r="C406">
            <v>1</v>
          </cell>
          <cell r="E406" t="e">
            <v>#N/A</v>
          </cell>
          <cell r="G406" t="e">
            <v>#N/A</v>
          </cell>
          <cell r="J406" t="e">
            <v>#DIV/0!</v>
          </cell>
          <cell r="K406">
            <v>1</v>
          </cell>
        </row>
        <row r="407">
          <cell r="B407" t="e">
            <v>#DIV/0!</v>
          </cell>
          <cell r="C407">
            <v>1</v>
          </cell>
          <cell r="E407" t="e">
            <v>#N/A</v>
          </cell>
          <cell r="G407" t="e">
            <v>#N/A</v>
          </cell>
          <cell r="J407" t="e">
            <v>#DIV/0!</v>
          </cell>
          <cell r="K407">
            <v>1</v>
          </cell>
        </row>
        <row r="408">
          <cell r="B408" t="e">
            <v>#DIV/0!</v>
          </cell>
          <cell r="C408">
            <v>1</v>
          </cell>
          <cell r="E408" t="e">
            <v>#N/A</v>
          </cell>
          <cell r="G408" t="e">
            <v>#N/A</v>
          </cell>
          <cell r="J408" t="e">
            <v>#DIV/0!</v>
          </cell>
          <cell r="K408">
            <v>1</v>
          </cell>
        </row>
        <row r="409">
          <cell r="B409" t="e">
            <v>#DIV/0!</v>
          </cell>
          <cell r="C409">
            <v>1</v>
          </cell>
          <cell r="E409" t="e">
            <v>#N/A</v>
          </cell>
          <cell r="G409" t="e">
            <v>#N/A</v>
          </cell>
          <cell r="J409" t="e">
            <v>#DIV/0!</v>
          </cell>
          <cell r="K409">
            <v>1</v>
          </cell>
        </row>
        <row r="410">
          <cell r="B410" t="e">
            <v>#DIV/0!</v>
          </cell>
          <cell r="C410">
            <v>1</v>
          </cell>
          <cell r="E410" t="e">
            <v>#N/A</v>
          </cell>
          <cell r="G410" t="e">
            <v>#N/A</v>
          </cell>
          <cell r="J410" t="e">
            <v>#DIV/0!</v>
          </cell>
          <cell r="K410">
            <v>1</v>
          </cell>
        </row>
        <row r="411">
          <cell r="B411" t="e">
            <v>#DIV/0!</v>
          </cell>
          <cell r="C411">
            <v>1</v>
          </cell>
          <cell r="E411" t="e">
            <v>#N/A</v>
          </cell>
          <cell r="G411" t="e">
            <v>#N/A</v>
          </cell>
          <cell r="J411" t="e">
            <v>#DIV/0!</v>
          </cell>
          <cell r="K411">
            <v>1</v>
          </cell>
        </row>
        <row r="412">
          <cell r="B412" t="e">
            <v>#DIV/0!</v>
          </cell>
          <cell r="C412">
            <v>1</v>
          </cell>
          <cell r="E412" t="e">
            <v>#N/A</v>
          </cell>
          <cell r="G412" t="e">
            <v>#N/A</v>
          </cell>
          <cell r="J412" t="e">
            <v>#DIV/0!</v>
          </cell>
          <cell r="K412">
            <v>1</v>
          </cell>
        </row>
        <row r="413">
          <cell r="B413" t="e">
            <v>#DIV/0!</v>
          </cell>
          <cell r="C413">
            <v>1</v>
          </cell>
          <cell r="E413" t="e">
            <v>#N/A</v>
          </cell>
          <cell r="G413" t="e">
            <v>#N/A</v>
          </cell>
          <cell r="J413" t="e">
            <v>#DIV/0!</v>
          </cell>
          <cell r="K413">
            <v>1</v>
          </cell>
        </row>
        <row r="414">
          <cell r="B414" t="e">
            <v>#DIV/0!</v>
          </cell>
          <cell r="C414">
            <v>1</v>
          </cell>
          <cell r="E414" t="e">
            <v>#N/A</v>
          </cell>
          <cell r="G414" t="e">
            <v>#N/A</v>
          </cell>
          <cell r="J414" t="e">
            <v>#DIV/0!</v>
          </cell>
          <cell r="K414">
            <v>1</v>
          </cell>
        </row>
        <row r="415">
          <cell r="B415" t="e">
            <v>#DIV/0!</v>
          </cell>
          <cell r="C415">
            <v>1</v>
          </cell>
          <cell r="E415" t="e">
            <v>#N/A</v>
          </cell>
          <cell r="G415" t="e">
            <v>#N/A</v>
          </cell>
          <cell r="J415" t="e">
            <v>#DIV/0!</v>
          </cell>
          <cell r="K415">
            <v>1</v>
          </cell>
        </row>
        <row r="416">
          <cell r="B416" t="e">
            <v>#DIV/0!</v>
          </cell>
          <cell r="C416">
            <v>1</v>
          </cell>
          <cell r="E416" t="e">
            <v>#N/A</v>
          </cell>
          <cell r="G416" t="e">
            <v>#N/A</v>
          </cell>
          <cell r="J416" t="e">
            <v>#DIV/0!</v>
          </cell>
          <cell r="K416">
            <v>1</v>
          </cell>
        </row>
        <row r="417">
          <cell r="B417" t="e">
            <v>#DIV/0!</v>
          </cell>
          <cell r="C417">
            <v>1</v>
          </cell>
          <cell r="E417" t="e">
            <v>#N/A</v>
          </cell>
          <cell r="G417" t="e">
            <v>#N/A</v>
          </cell>
          <cell r="J417" t="e">
            <v>#DIV/0!</v>
          </cell>
          <cell r="K417">
            <v>1</v>
          </cell>
        </row>
        <row r="418">
          <cell r="B418" t="e">
            <v>#DIV/0!</v>
          </cell>
          <cell r="C418">
            <v>1</v>
          </cell>
          <cell r="E418" t="e">
            <v>#N/A</v>
          </cell>
          <cell r="G418" t="e">
            <v>#N/A</v>
          </cell>
          <cell r="J418" t="e">
            <v>#DIV/0!</v>
          </cell>
          <cell r="K418">
            <v>1</v>
          </cell>
        </row>
        <row r="419">
          <cell r="B419" t="e">
            <v>#DIV/0!</v>
          </cell>
          <cell r="C419">
            <v>1</v>
          </cell>
          <cell r="E419" t="e">
            <v>#N/A</v>
          </cell>
          <cell r="G419" t="e">
            <v>#N/A</v>
          </cell>
          <cell r="J419" t="e">
            <v>#DIV/0!</v>
          </cell>
          <cell r="K419">
            <v>1</v>
          </cell>
        </row>
        <row r="420">
          <cell r="B420" t="e">
            <v>#DIV/0!</v>
          </cell>
          <cell r="C420">
            <v>1</v>
          </cell>
          <cell r="E420" t="e">
            <v>#N/A</v>
          </cell>
          <cell r="G420" t="e">
            <v>#N/A</v>
          </cell>
          <cell r="J420" t="e">
            <v>#DIV/0!</v>
          </cell>
          <cell r="K420">
            <v>1</v>
          </cell>
        </row>
        <row r="421">
          <cell r="B421" t="e">
            <v>#DIV/0!</v>
          </cell>
          <cell r="C421">
            <v>1</v>
          </cell>
          <cell r="E421" t="e">
            <v>#N/A</v>
          </cell>
          <cell r="G421" t="e">
            <v>#N/A</v>
          </cell>
          <cell r="J421" t="e">
            <v>#DIV/0!</v>
          </cell>
          <cell r="K421">
            <v>1</v>
          </cell>
        </row>
        <row r="422">
          <cell r="B422" t="e">
            <v>#DIV/0!</v>
          </cell>
          <cell r="C422">
            <v>1</v>
          </cell>
          <cell r="E422" t="e">
            <v>#N/A</v>
          </cell>
          <cell r="G422" t="e">
            <v>#N/A</v>
          </cell>
          <cell r="J422" t="e">
            <v>#DIV/0!</v>
          </cell>
          <cell r="K422">
            <v>1</v>
          </cell>
        </row>
        <row r="423">
          <cell r="B423" t="e">
            <v>#DIV/0!</v>
          </cell>
          <cell r="C423">
            <v>1</v>
          </cell>
          <cell r="E423" t="e">
            <v>#N/A</v>
          </cell>
          <cell r="G423" t="e">
            <v>#N/A</v>
          </cell>
          <cell r="J423" t="e">
            <v>#DIV/0!</v>
          </cell>
          <cell r="K423">
            <v>1</v>
          </cell>
        </row>
        <row r="424">
          <cell r="B424" t="e">
            <v>#DIV/0!</v>
          </cell>
          <cell r="C424">
            <v>1</v>
          </cell>
          <cell r="E424" t="e">
            <v>#N/A</v>
          </cell>
          <cell r="G424" t="e">
            <v>#N/A</v>
          </cell>
          <cell r="J424" t="e">
            <v>#DIV/0!</v>
          </cell>
          <cell r="K424">
            <v>1</v>
          </cell>
        </row>
        <row r="425">
          <cell r="B425" t="e">
            <v>#DIV/0!</v>
          </cell>
          <cell r="C425">
            <v>1</v>
          </cell>
          <cell r="E425" t="e">
            <v>#N/A</v>
          </cell>
          <cell r="G425" t="e">
            <v>#N/A</v>
          </cell>
          <cell r="J425" t="e">
            <v>#DIV/0!</v>
          </cell>
          <cell r="K425">
            <v>1</v>
          </cell>
        </row>
        <row r="426">
          <cell r="B426" t="e">
            <v>#DIV/0!</v>
          </cell>
          <cell r="C426">
            <v>1</v>
          </cell>
          <cell r="E426" t="e">
            <v>#N/A</v>
          </cell>
          <cell r="G426" t="e">
            <v>#N/A</v>
          </cell>
          <cell r="J426" t="e">
            <v>#DIV/0!</v>
          </cell>
          <cell r="K426">
            <v>1</v>
          </cell>
        </row>
        <row r="427">
          <cell r="B427" t="e">
            <v>#DIV/0!</v>
          </cell>
          <cell r="C427">
            <v>1</v>
          </cell>
          <cell r="E427" t="e">
            <v>#N/A</v>
          </cell>
          <cell r="G427" t="e">
            <v>#N/A</v>
          </cell>
          <cell r="J427" t="e">
            <v>#DIV/0!</v>
          </cell>
          <cell r="K427">
            <v>1</v>
          </cell>
        </row>
        <row r="428">
          <cell r="B428" t="e">
            <v>#DIV/0!</v>
          </cell>
          <cell r="C428">
            <v>1</v>
          </cell>
          <cell r="E428" t="e">
            <v>#N/A</v>
          </cell>
          <cell r="G428" t="e">
            <v>#N/A</v>
          </cell>
          <cell r="J428" t="e">
            <v>#DIV/0!</v>
          </cell>
          <cell r="K428">
            <v>1</v>
          </cell>
        </row>
        <row r="429">
          <cell r="B429" t="e">
            <v>#DIV/0!</v>
          </cell>
          <cell r="C429">
            <v>1</v>
          </cell>
          <cell r="E429" t="e">
            <v>#N/A</v>
          </cell>
          <cell r="G429" t="e">
            <v>#N/A</v>
          </cell>
          <cell r="J429" t="e">
            <v>#DIV/0!</v>
          </cell>
          <cell r="K429">
            <v>1</v>
          </cell>
        </row>
        <row r="430">
          <cell r="B430" t="e">
            <v>#DIV/0!</v>
          </cell>
          <cell r="C430">
            <v>1</v>
          </cell>
          <cell r="E430" t="e">
            <v>#N/A</v>
          </cell>
          <cell r="G430" t="e">
            <v>#N/A</v>
          </cell>
          <cell r="J430" t="e">
            <v>#DIV/0!</v>
          </cell>
          <cell r="K430">
            <v>1</v>
          </cell>
        </row>
        <row r="431">
          <cell r="B431" t="e">
            <v>#DIV/0!</v>
          </cell>
          <cell r="C431">
            <v>1</v>
          </cell>
          <cell r="E431" t="e">
            <v>#N/A</v>
          </cell>
          <cell r="G431" t="e">
            <v>#N/A</v>
          </cell>
          <cell r="J431" t="e">
            <v>#DIV/0!</v>
          </cell>
          <cell r="K431">
            <v>1</v>
          </cell>
        </row>
        <row r="432">
          <cell r="B432" t="e">
            <v>#DIV/0!</v>
          </cell>
          <cell r="C432">
            <v>1</v>
          </cell>
          <cell r="E432" t="e">
            <v>#N/A</v>
          </cell>
          <cell r="G432" t="e">
            <v>#N/A</v>
          </cell>
          <cell r="J432" t="e">
            <v>#DIV/0!</v>
          </cell>
          <cell r="K432">
            <v>1</v>
          </cell>
        </row>
        <row r="433">
          <cell r="B433" t="e">
            <v>#DIV/0!</v>
          </cell>
          <cell r="C433">
            <v>1</v>
          </cell>
          <cell r="E433" t="e">
            <v>#N/A</v>
          </cell>
          <cell r="G433" t="e">
            <v>#N/A</v>
          </cell>
          <cell r="J433" t="e">
            <v>#DIV/0!</v>
          </cell>
          <cell r="K433">
            <v>1</v>
          </cell>
        </row>
        <row r="434">
          <cell r="B434" t="e">
            <v>#DIV/0!</v>
          </cell>
          <cell r="C434">
            <v>1</v>
          </cell>
          <cell r="E434" t="e">
            <v>#N/A</v>
          </cell>
          <cell r="G434" t="e">
            <v>#N/A</v>
          </cell>
          <cell r="J434" t="e">
            <v>#DIV/0!</v>
          </cell>
          <cell r="K434">
            <v>1</v>
          </cell>
        </row>
        <row r="435">
          <cell r="B435" t="e">
            <v>#DIV/0!</v>
          </cell>
          <cell r="C435">
            <v>1</v>
          </cell>
          <cell r="E435" t="e">
            <v>#N/A</v>
          </cell>
          <cell r="G435" t="e">
            <v>#N/A</v>
          </cell>
          <cell r="J435" t="e">
            <v>#DIV/0!</v>
          </cell>
          <cell r="K435">
            <v>1</v>
          </cell>
        </row>
        <row r="436">
          <cell r="B436" t="e">
            <v>#DIV/0!</v>
          </cell>
          <cell r="C436">
            <v>1</v>
          </cell>
          <cell r="E436" t="e">
            <v>#N/A</v>
          </cell>
          <cell r="G436" t="e">
            <v>#N/A</v>
          </cell>
          <cell r="J436" t="e">
            <v>#DIV/0!</v>
          </cell>
          <cell r="K436">
            <v>1</v>
          </cell>
        </row>
        <row r="437">
          <cell r="B437" t="e">
            <v>#DIV/0!</v>
          </cell>
          <cell r="C437">
            <v>1</v>
          </cell>
          <cell r="E437" t="e">
            <v>#N/A</v>
          </cell>
          <cell r="G437" t="e">
            <v>#N/A</v>
          </cell>
          <cell r="J437" t="e">
            <v>#DIV/0!</v>
          </cell>
          <cell r="K437">
            <v>1</v>
          </cell>
        </row>
        <row r="438">
          <cell r="B438" t="e">
            <v>#DIV/0!</v>
          </cell>
          <cell r="C438">
            <v>1</v>
          </cell>
          <cell r="E438" t="e">
            <v>#N/A</v>
          </cell>
          <cell r="G438" t="e">
            <v>#N/A</v>
          </cell>
          <cell r="J438" t="e">
            <v>#DIV/0!</v>
          </cell>
          <cell r="K438">
            <v>1</v>
          </cell>
        </row>
        <row r="439">
          <cell r="B439" t="e">
            <v>#DIV/0!</v>
          </cell>
          <cell r="C439">
            <v>1</v>
          </cell>
          <cell r="E439" t="e">
            <v>#N/A</v>
          </cell>
          <cell r="G439" t="e">
            <v>#N/A</v>
          </cell>
          <cell r="J439" t="e">
            <v>#DIV/0!</v>
          </cell>
          <cell r="K439">
            <v>1</v>
          </cell>
        </row>
        <row r="440">
          <cell r="B440" t="e">
            <v>#DIV/0!</v>
          </cell>
          <cell r="C440">
            <v>1</v>
          </cell>
          <cell r="E440" t="e">
            <v>#N/A</v>
          </cell>
          <cell r="G440" t="e">
            <v>#N/A</v>
          </cell>
          <cell r="J440" t="e">
            <v>#DIV/0!</v>
          </cell>
          <cell r="K440">
            <v>1</v>
          </cell>
        </row>
        <row r="441">
          <cell r="B441" t="e">
            <v>#DIV/0!</v>
          </cell>
          <cell r="C441">
            <v>1</v>
          </cell>
          <cell r="E441" t="e">
            <v>#N/A</v>
          </cell>
          <cell r="G441" t="e">
            <v>#N/A</v>
          </cell>
          <cell r="J441" t="e">
            <v>#DIV/0!</v>
          </cell>
          <cell r="K441">
            <v>1</v>
          </cell>
        </row>
        <row r="442">
          <cell r="B442" t="e">
            <v>#DIV/0!</v>
          </cell>
          <cell r="C442">
            <v>1</v>
          </cell>
          <cell r="E442" t="e">
            <v>#N/A</v>
          </cell>
          <cell r="G442" t="e">
            <v>#N/A</v>
          </cell>
          <cell r="J442" t="e">
            <v>#DIV/0!</v>
          </cell>
          <cell r="K442">
            <v>1</v>
          </cell>
        </row>
        <row r="443">
          <cell r="B443" t="e">
            <v>#DIV/0!</v>
          </cell>
          <cell r="C443">
            <v>1</v>
          </cell>
          <cell r="E443" t="e">
            <v>#N/A</v>
          </cell>
          <cell r="G443" t="e">
            <v>#N/A</v>
          </cell>
          <cell r="J443" t="e">
            <v>#DIV/0!</v>
          </cell>
          <cell r="K443">
            <v>1</v>
          </cell>
        </row>
        <row r="444">
          <cell r="B444" t="e">
            <v>#DIV/0!</v>
          </cell>
          <cell r="C444">
            <v>1</v>
          </cell>
          <cell r="E444" t="e">
            <v>#N/A</v>
          </cell>
          <cell r="G444" t="e">
            <v>#N/A</v>
          </cell>
          <cell r="J444" t="e">
            <v>#DIV/0!</v>
          </cell>
          <cell r="K444">
            <v>1</v>
          </cell>
        </row>
        <row r="445">
          <cell r="B445" t="e">
            <v>#DIV/0!</v>
          </cell>
          <cell r="C445">
            <v>1</v>
          </cell>
          <cell r="E445" t="e">
            <v>#N/A</v>
          </cell>
          <cell r="G445" t="e">
            <v>#N/A</v>
          </cell>
          <cell r="J445" t="e">
            <v>#DIV/0!</v>
          </cell>
          <cell r="K445">
            <v>1</v>
          </cell>
        </row>
        <row r="446">
          <cell r="B446" t="e">
            <v>#DIV/0!</v>
          </cell>
          <cell r="C446">
            <v>1</v>
          </cell>
          <cell r="E446" t="e">
            <v>#N/A</v>
          </cell>
          <cell r="G446" t="e">
            <v>#N/A</v>
          </cell>
          <cell r="J446" t="e">
            <v>#DIV/0!</v>
          </cell>
          <cell r="K446">
            <v>1</v>
          </cell>
        </row>
        <row r="447">
          <cell r="B447" t="e">
            <v>#DIV/0!</v>
          </cell>
          <cell r="C447">
            <v>1</v>
          </cell>
          <cell r="E447" t="e">
            <v>#N/A</v>
          </cell>
          <cell r="G447" t="e">
            <v>#N/A</v>
          </cell>
          <cell r="J447" t="e">
            <v>#DIV/0!</v>
          </cell>
          <cell r="K447">
            <v>1</v>
          </cell>
        </row>
        <row r="448">
          <cell r="B448" t="e">
            <v>#DIV/0!</v>
          </cell>
          <cell r="C448">
            <v>1</v>
          </cell>
          <cell r="E448" t="e">
            <v>#N/A</v>
          </cell>
          <cell r="G448" t="e">
            <v>#N/A</v>
          </cell>
          <cell r="J448" t="e">
            <v>#DIV/0!</v>
          </cell>
          <cell r="K448">
            <v>1</v>
          </cell>
        </row>
        <row r="449">
          <cell r="B449" t="e">
            <v>#DIV/0!</v>
          </cell>
          <cell r="C449">
            <v>1</v>
          </cell>
          <cell r="E449" t="e">
            <v>#N/A</v>
          </cell>
          <cell r="G449" t="e">
            <v>#N/A</v>
          </cell>
          <cell r="J449" t="e">
            <v>#DIV/0!</v>
          </cell>
          <cell r="K449">
            <v>1</v>
          </cell>
        </row>
        <row r="450">
          <cell r="B450" t="e">
            <v>#DIV/0!</v>
          </cell>
          <cell r="C450">
            <v>1</v>
          </cell>
          <cell r="E450" t="e">
            <v>#N/A</v>
          </cell>
          <cell r="G450" t="e">
            <v>#N/A</v>
          </cell>
          <cell r="J450" t="e">
            <v>#DIV/0!</v>
          </cell>
          <cell r="K450">
            <v>1</v>
          </cell>
        </row>
        <row r="451">
          <cell r="B451" t="e">
            <v>#DIV/0!</v>
          </cell>
          <cell r="C451">
            <v>1</v>
          </cell>
          <cell r="E451" t="e">
            <v>#N/A</v>
          </cell>
          <cell r="G451" t="e">
            <v>#N/A</v>
          </cell>
          <cell r="J451" t="e">
            <v>#DIV/0!</v>
          </cell>
          <cell r="K451">
            <v>1</v>
          </cell>
        </row>
        <row r="452">
          <cell r="B452" t="e">
            <v>#DIV/0!</v>
          </cell>
          <cell r="C452">
            <v>1</v>
          </cell>
          <cell r="E452" t="e">
            <v>#N/A</v>
          </cell>
          <cell r="G452" t="e">
            <v>#N/A</v>
          </cell>
          <cell r="J452" t="e">
            <v>#DIV/0!</v>
          </cell>
          <cell r="K452">
            <v>1</v>
          </cell>
        </row>
        <row r="453">
          <cell r="B453" t="e">
            <v>#DIV/0!</v>
          </cell>
          <cell r="C453">
            <v>1</v>
          </cell>
          <cell r="E453" t="e">
            <v>#N/A</v>
          </cell>
          <cell r="G453" t="e">
            <v>#N/A</v>
          </cell>
          <cell r="J453" t="e">
            <v>#DIV/0!</v>
          </cell>
          <cell r="K453">
            <v>1</v>
          </cell>
        </row>
        <row r="454">
          <cell r="B454" t="e">
            <v>#DIV/0!</v>
          </cell>
          <cell r="C454">
            <v>1</v>
          </cell>
          <cell r="E454" t="e">
            <v>#N/A</v>
          </cell>
          <cell r="G454" t="e">
            <v>#N/A</v>
          </cell>
          <cell r="J454" t="e">
            <v>#DIV/0!</v>
          </cell>
          <cell r="K454">
            <v>1</v>
          </cell>
        </row>
        <row r="455">
          <cell r="B455" t="e">
            <v>#DIV/0!</v>
          </cell>
          <cell r="C455">
            <v>1</v>
          </cell>
          <cell r="E455" t="e">
            <v>#N/A</v>
          </cell>
          <cell r="G455" t="e">
            <v>#N/A</v>
          </cell>
          <cell r="J455" t="e">
            <v>#DIV/0!</v>
          </cell>
          <cell r="K455">
            <v>1</v>
          </cell>
        </row>
        <row r="456">
          <cell r="B456" t="e">
            <v>#DIV/0!</v>
          </cell>
          <cell r="C456">
            <v>1</v>
          </cell>
          <cell r="E456" t="e">
            <v>#N/A</v>
          </cell>
          <cell r="G456" t="e">
            <v>#N/A</v>
          </cell>
          <cell r="J456" t="e">
            <v>#DIV/0!</v>
          </cell>
          <cell r="K456">
            <v>1</v>
          </cell>
        </row>
        <row r="457">
          <cell r="B457" t="e">
            <v>#DIV/0!</v>
          </cell>
          <cell r="C457">
            <v>1</v>
          </cell>
          <cell r="E457" t="e">
            <v>#N/A</v>
          </cell>
          <cell r="G457" t="e">
            <v>#N/A</v>
          </cell>
          <cell r="J457" t="e">
            <v>#DIV/0!</v>
          </cell>
          <cell r="K457">
            <v>1</v>
          </cell>
        </row>
        <row r="458">
          <cell r="B458" t="e">
            <v>#DIV/0!</v>
          </cell>
          <cell r="C458">
            <v>1</v>
          </cell>
          <cell r="E458" t="e">
            <v>#N/A</v>
          </cell>
          <cell r="G458" t="e">
            <v>#N/A</v>
          </cell>
          <cell r="J458" t="e">
            <v>#DIV/0!</v>
          </cell>
          <cell r="K458">
            <v>1</v>
          </cell>
        </row>
        <row r="459">
          <cell r="B459" t="e">
            <v>#DIV/0!</v>
          </cell>
          <cell r="C459">
            <v>1</v>
          </cell>
          <cell r="E459" t="e">
            <v>#N/A</v>
          </cell>
          <cell r="G459" t="e">
            <v>#N/A</v>
          </cell>
          <cell r="J459" t="e">
            <v>#DIV/0!</v>
          </cell>
          <cell r="K459">
            <v>1</v>
          </cell>
        </row>
        <row r="460">
          <cell r="B460" t="e">
            <v>#DIV/0!</v>
          </cell>
          <cell r="C460">
            <v>1</v>
          </cell>
          <cell r="E460" t="e">
            <v>#N/A</v>
          </cell>
          <cell r="G460" t="e">
            <v>#N/A</v>
          </cell>
          <cell r="J460" t="e">
            <v>#DIV/0!</v>
          </cell>
          <cell r="K460">
            <v>1</v>
          </cell>
        </row>
        <row r="461">
          <cell r="B461" t="e">
            <v>#DIV/0!</v>
          </cell>
          <cell r="C461">
            <v>1</v>
          </cell>
          <cell r="E461" t="e">
            <v>#N/A</v>
          </cell>
          <cell r="G461" t="e">
            <v>#N/A</v>
          </cell>
          <cell r="J461" t="e">
            <v>#DIV/0!</v>
          </cell>
          <cell r="K461">
            <v>1</v>
          </cell>
        </row>
        <row r="462">
          <cell r="B462" t="e">
            <v>#DIV/0!</v>
          </cell>
          <cell r="C462">
            <v>1</v>
          </cell>
          <cell r="E462" t="e">
            <v>#N/A</v>
          </cell>
          <cell r="G462" t="e">
            <v>#N/A</v>
          </cell>
          <cell r="J462" t="e">
            <v>#DIV/0!</v>
          </cell>
          <cell r="K462">
            <v>1</v>
          </cell>
        </row>
        <row r="463">
          <cell r="B463" t="e">
            <v>#DIV/0!</v>
          </cell>
          <cell r="C463">
            <v>1</v>
          </cell>
          <cell r="E463" t="e">
            <v>#N/A</v>
          </cell>
          <cell r="G463" t="e">
            <v>#N/A</v>
          </cell>
          <cell r="J463" t="e">
            <v>#DIV/0!</v>
          </cell>
          <cell r="K463">
            <v>1</v>
          </cell>
        </row>
        <row r="464">
          <cell r="B464" t="e">
            <v>#DIV/0!</v>
          </cell>
          <cell r="C464">
            <v>1</v>
          </cell>
          <cell r="E464" t="e">
            <v>#N/A</v>
          </cell>
          <cell r="G464" t="e">
            <v>#N/A</v>
          </cell>
          <cell r="J464" t="e">
            <v>#DIV/0!</v>
          </cell>
          <cell r="K464">
            <v>1</v>
          </cell>
        </row>
        <row r="465">
          <cell r="B465" t="e">
            <v>#DIV/0!</v>
          </cell>
          <cell r="C465">
            <v>1</v>
          </cell>
          <cell r="E465" t="e">
            <v>#N/A</v>
          </cell>
          <cell r="G465" t="e">
            <v>#N/A</v>
          </cell>
          <cell r="J465" t="e">
            <v>#DIV/0!</v>
          </cell>
          <cell r="K465">
            <v>1</v>
          </cell>
        </row>
        <row r="466">
          <cell r="B466" t="e">
            <v>#DIV/0!</v>
          </cell>
          <cell r="C466">
            <v>1</v>
          </cell>
          <cell r="E466" t="e">
            <v>#N/A</v>
          </cell>
          <cell r="G466" t="e">
            <v>#N/A</v>
          </cell>
          <cell r="J466" t="e">
            <v>#DIV/0!</v>
          </cell>
          <cell r="K466">
            <v>1</v>
          </cell>
        </row>
        <row r="467">
          <cell r="B467" t="e">
            <v>#DIV/0!</v>
          </cell>
          <cell r="C467">
            <v>1</v>
          </cell>
          <cell r="E467" t="e">
            <v>#N/A</v>
          </cell>
          <cell r="G467" t="e">
            <v>#N/A</v>
          </cell>
          <cell r="J467" t="e">
            <v>#DIV/0!</v>
          </cell>
          <cell r="K467">
            <v>1</v>
          </cell>
        </row>
        <row r="468">
          <cell r="B468" t="e">
            <v>#DIV/0!</v>
          </cell>
          <cell r="C468">
            <v>1</v>
          </cell>
          <cell r="E468" t="e">
            <v>#N/A</v>
          </cell>
          <cell r="G468" t="e">
            <v>#N/A</v>
          </cell>
          <cell r="J468" t="e">
            <v>#DIV/0!</v>
          </cell>
          <cell r="K468">
            <v>1</v>
          </cell>
        </row>
        <row r="469">
          <cell r="B469" t="e">
            <v>#DIV/0!</v>
          </cell>
          <cell r="C469">
            <v>1</v>
          </cell>
          <cell r="E469" t="e">
            <v>#N/A</v>
          </cell>
          <cell r="G469" t="e">
            <v>#N/A</v>
          </cell>
          <cell r="J469" t="e">
            <v>#DIV/0!</v>
          </cell>
          <cell r="K469">
            <v>1</v>
          </cell>
        </row>
        <row r="470">
          <cell r="B470" t="e">
            <v>#DIV/0!</v>
          </cell>
          <cell r="C470">
            <v>1</v>
          </cell>
          <cell r="E470" t="e">
            <v>#N/A</v>
          </cell>
          <cell r="G470" t="e">
            <v>#N/A</v>
          </cell>
          <cell r="J470" t="e">
            <v>#DIV/0!</v>
          </cell>
          <cell r="K470">
            <v>1</v>
          </cell>
        </row>
        <row r="471">
          <cell r="B471" t="e">
            <v>#DIV/0!</v>
          </cell>
          <cell r="C471">
            <v>1</v>
          </cell>
          <cell r="E471" t="e">
            <v>#N/A</v>
          </cell>
          <cell r="G471" t="e">
            <v>#N/A</v>
          </cell>
          <cell r="J471" t="e">
            <v>#DIV/0!</v>
          </cell>
          <cell r="K471">
            <v>1</v>
          </cell>
        </row>
        <row r="472">
          <cell r="B472" t="e">
            <v>#DIV/0!</v>
          </cell>
          <cell r="C472">
            <v>1</v>
          </cell>
          <cell r="E472" t="e">
            <v>#N/A</v>
          </cell>
          <cell r="G472" t="e">
            <v>#N/A</v>
          </cell>
          <cell r="J472" t="e">
            <v>#DIV/0!</v>
          </cell>
          <cell r="K472">
            <v>1</v>
          </cell>
        </row>
        <row r="473">
          <cell r="B473" t="e">
            <v>#DIV/0!</v>
          </cell>
          <cell r="C473">
            <v>1</v>
          </cell>
          <cell r="E473" t="e">
            <v>#N/A</v>
          </cell>
          <cell r="G473" t="e">
            <v>#N/A</v>
          </cell>
          <cell r="J473" t="e">
            <v>#DIV/0!</v>
          </cell>
          <cell r="K473">
            <v>1</v>
          </cell>
        </row>
        <row r="474">
          <cell r="B474" t="e">
            <v>#DIV/0!</v>
          </cell>
          <cell r="C474">
            <v>1</v>
          </cell>
          <cell r="E474" t="e">
            <v>#N/A</v>
          </cell>
          <cell r="G474" t="e">
            <v>#N/A</v>
          </cell>
          <cell r="J474" t="e">
            <v>#DIV/0!</v>
          </cell>
          <cell r="K474">
            <v>1</v>
          </cell>
        </row>
        <row r="475">
          <cell r="B475" t="e">
            <v>#DIV/0!</v>
          </cell>
          <cell r="C475">
            <v>1</v>
          </cell>
          <cell r="E475" t="e">
            <v>#N/A</v>
          </cell>
          <cell r="G475" t="e">
            <v>#N/A</v>
          </cell>
          <cell r="J475" t="e">
            <v>#DIV/0!</v>
          </cell>
          <cell r="K475">
            <v>1</v>
          </cell>
        </row>
        <row r="476">
          <cell r="B476" t="e">
            <v>#DIV/0!</v>
          </cell>
          <cell r="C476">
            <v>1</v>
          </cell>
          <cell r="E476" t="e">
            <v>#N/A</v>
          </cell>
          <cell r="G476" t="e">
            <v>#N/A</v>
          </cell>
          <cell r="J476" t="e">
            <v>#DIV/0!</v>
          </cell>
          <cell r="K476">
            <v>1</v>
          </cell>
        </row>
        <row r="477">
          <cell r="B477" t="e">
            <v>#DIV/0!</v>
          </cell>
          <cell r="C477">
            <v>1</v>
          </cell>
          <cell r="E477" t="e">
            <v>#N/A</v>
          </cell>
          <cell r="G477" t="e">
            <v>#N/A</v>
          </cell>
          <cell r="J477" t="e">
            <v>#DIV/0!</v>
          </cell>
          <cell r="K477">
            <v>1</v>
          </cell>
        </row>
        <row r="478">
          <cell r="B478" t="e">
            <v>#DIV/0!</v>
          </cell>
          <cell r="C478">
            <v>1</v>
          </cell>
          <cell r="E478" t="e">
            <v>#N/A</v>
          </cell>
          <cell r="G478" t="e">
            <v>#N/A</v>
          </cell>
          <cell r="J478" t="e">
            <v>#DIV/0!</v>
          </cell>
          <cell r="K478">
            <v>1</v>
          </cell>
        </row>
        <row r="479">
          <cell r="B479" t="e">
            <v>#DIV/0!</v>
          </cell>
          <cell r="C479">
            <v>1</v>
          </cell>
          <cell r="E479" t="e">
            <v>#N/A</v>
          </cell>
          <cell r="G479" t="e">
            <v>#N/A</v>
          </cell>
          <cell r="J479" t="e">
            <v>#DIV/0!</v>
          </cell>
          <cell r="K479">
            <v>1</v>
          </cell>
        </row>
        <row r="480">
          <cell r="B480" t="e">
            <v>#DIV/0!</v>
          </cell>
          <cell r="C480">
            <v>1</v>
          </cell>
          <cell r="E480" t="e">
            <v>#N/A</v>
          </cell>
          <cell r="G480" t="e">
            <v>#N/A</v>
          </cell>
          <cell r="J480" t="e">
            <v>#DIV/0!</v>
          </cell>
          <cell r="K480">
            <v>1</v>
          </cell>
        </row>
        <row r="481">
          <cell r="B481" t="e">
            <v>#DIV/0!</v>
          </cell>
          <cell r="C481">
            <v>1</v>
          </cell>
          <cell r="E481" t="e">
            <v>#N/A</v>
          </cell>
          <cell r="G481" t="e">
            <v>#N/A</v>
          </cell>
          <cell r="J481" t="e">
            <v>#DIV/0!</v>
          </cell>
          <cell r="K481">
            <v>1</v>
          </cell>
        </row>
        <row r="482">
          <cell r="B482" t="e">
            <v>#DIV/0!</v>
          </cell>
          <cell r="C482">
            <v>1</v>
          </cell>
          <cell r="E482" t="e">
            <v>#N/A</v>
          </cell>
          <cell r="G482" t="e">
            <v>#N/A</v>
          </cell>
          <cell r="J482" t="e">
            <v>#DIV/0!</v>
          </cell>
          <cell r="K482">
            <v>1</v>
          </cell>
        </row>
        <row r="483">
          <cell r="B483" t="e">
            <v>#DIV/0!</v>
          </cell>
          <cell r="C483">
            <v>1</v>
          </cell>
          <cell r="E483" t="e">
            <v>#N/A</v>
          </cell>
          <cell r="G483" t="e">
            <v>#N/A</v>
          </cell>
          <cell r="J483" t="e">
            <v>#DIV/0!</v>
          </cell>
          <cell r="K483">
            <v>1</v>
          </cell>
        </row>
        <row r="484">
          <cell r="B484" t="e">
            <v>#DIV/0!</v>
          </cell>
          <cell r="C484">
            <v>1</v>
          </cell>
          <cell r="E484" t="e">
            <v>#N/A</v>
          </cell>
          <cell r="G484" t="e">
            <v>#N/A</v>
          </cell>
          <cell r="J484" t="e">
            <v>#DIV/0!</v>
          </cell>
          <cell r="K484">
            <v>1</v>
          </cell>
        </row>
        <row r="485">
          <cell r="B485" t="e">
            <v>#DIV/0!</v>
          </cell>
          <cell r="C485">
            <v>1</v>
          </cell>
          <cell r="E485" t="e">
            <v>#N/A</v>
          </cell>
          <cell r="G485" t="e">
            <v>#N/A</v>
          </cell>
          <cell r="J485" t="e">
            <v>#DIV/0!</v>
          </cell>
          <cell r="K485">
            <v>1</v>
          </cell>
        </row>
        <row r="486">
          <cell r="B486" t="e">
            <v>#DIV/0!</v>
          </cell>
          <cell r="C486">
            <v>1</v>
          </cell>
          <cell r="E486" t="e">
            <v>#N/A</v>
          </cell>
          <cell r="G486" t="e">
            <v>#N/A</v>
          </cell>
          <cell r="J486" t="e">
            <v>#DIV/0!</v>
          </cell>
          <cell r="K486">
            <v>1</v>
          </cell>
        </row>
        <row r="487">
          <cell r="B487" t="e">
            <v>#DIV/0!</v>
          </cell>
          <cell r="C487">
            <v>1</v>
          </cell>
          <cell r="E487" t="e">
            <v>#N/A</v>
          </cell>
          <cell r="G487" t="e">
            <v>#N/A</v>
          </cell>
          <cell r="J487" t="e">
            <v>#DIV/0!</v>
          </cell>
          <cell r="K487">
            <v>1</v>
          </cell>
        </row>
        <row r="488">
          <cell r="B488" t="e">
            <v>#DIV/0!</v>
          </cell>
          <cell r="C488">
            <v>1</v>
          </cell>
          <cell r="E488" t="e">
            <v>#N/A</v>
          </cell>
          <cell r="G488" t="e">
            <v>#N/A</v>
          </cell>
          <cell r="J488" t="e">
            <v>#DIV/0!</v>
          </cell>
          <cell r="K488">
            <v>1</v>
          </cell>
        </row>
        <row r="489">
          <cell r="B489" t="e">
            <v>#DIV/0!</v>
          </cell>
          <cell r="C489">
            <v>1</v>
          </cell>
          <cell r="E489" t="e">
            <v>#N/A</v>
          </cell>
          <cell r="G489" t="e">
            <v>#N/A</v>
          </cell>
          <cell r="J489" t="e">
            <v>#DIV/0!</v>
          </cell>
          <cell r="K489">
            <v>1</v>
          </cell>
        </row>
        <row r="490">
          <cell r="B490" t="e">
            <v>#DIV/0!</v>
          </cell>
          <cell r="C490">
            <v>1</v>
          </cell>
          <cell r="E490" t="e">
            <v>#N/A</v>
          </cell>
          <cell r="G490" t="e">
            <v>#N/A</v>
          </cell>
          <cell r="J490" t="e">
            <v>#DIV/0!</v>
          </cell>
          <cell r="K490">
            <v>1</v>
          </cell>
        </row>
        <row r="491">
          <cell r="B491" t="e">
            <v>#DIV/0!</v>
          </cell>
          <cell r="C491">
            <v>1</v>
          </cell>
          <cell r="E491" t="e">
            <v>#N/A</v>
          </cell>
          <cell r="G491" t="e">
            <v>#N/A</v>
          </cell>
          <cell r="J491" t="e">
            <v>#DIV/0!</v>
          </cell>
          <cell r="K491">
            <v>1</v>
          </cell>
        </row>
        <row r="492">
          <cell r="B492" t="e">
            <v>#DIV/0!</v>
          </cell>
          <cell r="C492">
            <v>1</v>
          </cell>
          <cell r="E492" t="e">
            <v>#N/A</v>
          </cell>
          <cell r="G492" t="e">
            <v>#N/A</v>
          </cell>
          <cell r="J492" t="e">
            <v>#DIV/0!</v>
          </cell>
          <cell r="K492">
            <v>1</v>
          </cell>
        </row>
        <row r="493">
          <cell r="B493" t="e">
            <v>#DIV/0!</v>
          </cell>
          <cell r="C493">
            <v>1</v>
          </cell>
          <cell r="E493" t="e">
            <v>#N/A</v>
          </cell>
          <cell r="G493" t="e">
            <v>#N/A</v>
          </cell>
          <cell r="J493" t="e">
            <v>#DIV/0!</v>
          </cell>
          <cell r="K493">
            <v>1</v>
          </cell>
        </row>
        <row r="494">
          <cell r="B494" t="e">
            <v>#DIV/0!</v>
          </cell>
          <cell r="C494">
            <v>1</v>
          </cell>
          <cell r="E494" t="e">
            <v>#N/A</v>
          </cell>
          <cell r="G494" t="e">
            <v>#N/A</v>
          </cell>
          <cell r="J494" t="e">
            <v>#DIV/0!</v>
          </cell>
          <cell r="K494">
            <v>1</v>
          </cell>
        </row>
        <row r="495">
          <cell r="B495" t="e">
            <v>#DIV/0!</v>
          </cell>
          <cell r="C495">
            <v>1</v>
          </cell>
          <cell r="E495" t="e">
            <v>#N/A</v>
          </cell>
          <cell r="G495" t="e">
            <v>#N/A</v>
          </cell>
          <cell r="J495" t="e">
            <v>#DIV/0!</v>
          </cell>
          <cell r="K495">
            <v>1</v>
          </cell>
        </row>
        <row r="496">
          <cell r="B496" t="e">
            <v>#DIV/0!</v>
          </cell>
          <cell r="C496">
            <v>1</v>
          </cell>
          <cell r="E496" t="e">
            <v>#N/A</v>
          </cell>
          <cell r="G496" t="e">
            <v>#N/A</v>
          </cell>
          <cell r="J496" t="e">
            <v>#DIV/0!</v>
          </cell>
          <cell r="K496">
            <v>1</v>
          </cell>
        </row>
        <row r="497">
          <cell r="B497" t="e">
            <v>#DIV/0!</v>
          </cell>
          <cell r="C497">
            <v>1</v>
          </cell>
          <cell r="E497" t="e">
            <v>#N/A</v>
          </cell>
          <cell r="G497" t="e">
            <v>#N/A</v>
          </cell>
          <cell r="J497" t="e">
            <v>#DIV/0!</v>
          </cell>
          <cell r="K497">
            <v>1</v>
          </cell>
        </row>
        <row r="498">
          <cell r="B498" t="e">
            <v>#DIV/0!</v>
          </cell>
          <cell r="C498">
            <v>1</v>
          </cell>
          <cell r="E498" t="e">
            <v>#N/A</v>
          </cell>
          <cell r="G498" t="e">
            <v>#N/A</v>
          </cell>
          <cell r="J498" t="e">
            <v>#DIV/0!</v>
          </cell>
          <cell r="K498">
            <v>1</v>
          </cell>
        </row>
        <row r="499">
          <cell r="B499" t="e">
            <v>#DIV/0!</v>
          </cell>
          <cell r="C499">
            <v>1</v>
          </cell>
          <cell r="E499" t="e">
            <v>#N/A</v>
          </cell>
          <cell r="G499" t="e">
            <v>#N/A</v>
          </cell>
          <cell r="J499" t="e">
            <v>#DIV/0!</v>
          </cell>
          <cell r="K499">
            <v>1</v>
          </cell>
        </row>
        <row r="500">
          <cell r="B500" t="e">
            <v>#DIV/0!</v>
          </cell>
          <cell r="C500">
            <v>1</v>
          </cell>
          <cell r="E500" t="e">
            <v>#N/A</v>
          </cell>
          <cell r="G500" t="e">
            <v>#N/A</v>
          </cell>
          <cell r="J500" t="e">
            <v>#DIV/0!</v>
          </cell>
          <cell r="K500">
            <v>1</v>
          </cell>
        </row>
        <row r="501">
          <cell r="B501" t="e">
            <v>#DIV/0!</v>
          </cell>
          <cell r="C501">
            <v>1</v>
          </cell>
          <cell r="E501" t="e">
            <v>#N/A</v>
          </cell>
          <cell r="G501" t="e">
            <v>#N/A</v>
          </cell>
          <cell r="J501" t="e">
            <v>#DIV/0!</v>
          </cell>
          <cell r="K501">
            <v>1</v>
          </cell>
        </row>
        <row r="502">
          <cell r="B502" t="e">
            <v>#DIV/0!</v>
          </cell>
          <cell r="C502">
            <v>1</v>
          </cell>
          <cell r="E502" t="e">
            <v>#N/A</v>
          </cell>
          <cell r="G502" t="e">
            <v>#N/A</v>
          </cell>
          <cell r="J502" t="e">
            <v>#DIV/0!</v>
          </cell>
          <cell r="K502">
            <v>1</v>
          </cell>
        </row>
        <row r="503">
          <cell r="B503" t="e">
            <v>#DIV/0!</v>
          </cell>
          <cell r="C503">
            <v>1</v>
          </cell>
          <cell r="E503" t="e">
            <v>#N/A</v>
          </cell>
          <cell r="G503" t="e">
            <v>#N/A</v>
          </cell>
          <cell r="J503" t="e">
            <v>#DIV/0!</v>
          </cell>
          <cell r="K503">
            <v>1</v>
          </cell>
        </row>
        <row r="504">
          <cell r="B504" t="e">
            <v>#DIV/0!</v>
          </cell>
          <cell r="C504">
            <v>1</v>
          </cell>
          <cell r="E504" t="e">
            <v>#N/A</v>
          </cell>
          <cell r="G504" t="e">
            <v>#N/A</v>
          </cell>
          <cell r="J504" t="e">
            <v>#DIV/0!</v>
          </cell>
          <cell r="K504">
            <v>1</v>
          </cell>
        </row>
        <row r="505">
          <cell r="B505" t="e">
            <v>#DIV/0!</v>
          </cell>
          <cell r="C505">
            <v>1</v>
          </cell>
          <cell r="E505" t="e">
            <v>#N/A</v>
          </cell>
          <cell r="G505" t="e">
            <v>#N/A</v>
          </cell>
          <cell r="J505" t="e">
            <v>#DIV/0!</v>
          </cell>
          <cell r="K505">
            <v>1</v>
          </cell>
        </row>
        <row r="506">
          <cell r="B506" t="e">
            <v>#DIV/0!</v>
          </cell>
          <cell r="C506">
            <v>1</v>
          </cell>
          <cell r="E506" t="e">
            <v>#N/A</v>
          </cell>
          <cell r="G506" t="e">
            <v>#N/A</v>
          </cell>
          <cell r="J506" t="e">
            <v>#DIV/0!</v>
          </cell>
          <cell r="K506">
            <v>1</v>
          </cell>
        </row>
        <row r="507">
          <cell r="B507" t="e">
            <v>#DIV/0!</v>
          </cell>
          <cell r="C507">
            <v>1</v>
          </cell>
          <cell r="E507" t="e">
            <v>#N/A</v>
          </cell>
          <cell r="G507" t="e">
            <v>#N/A</v>
          </cell>
          <cell r="J507" t="e">
            <v>#DIV/0!</v>
          </cell>
          <cell r="K507">
            <v>1</v>
          </cell>
        </row>
        <row r="508">
          <cell r="B508" t="e">
            <v>#DIV/0!</v>
          </cell>
          <cell r="C508">
            <v>1</v>
          </cell>
          <cell r="E508" t="e">
            <v>#N/A</v>
          </cell>
          <cell r="G508" t="e">
            <v>#N/A</v>
          </cell>
          <cell r="J508" t="e">
            <v>#DIV/0!</v>
          </cell>
          <cell r="K508">
            <v>1</v>
          </cell>
        </row>
        <row r="509">
          <cell r="B509" t="e">
            <v>#DIV/0!</v>
          </cell>
          <cell r="C509">
            <v>1</v>
          </cell>
          <cell r="E509" t="e">
            <v>#N/A</v>
          </cell>
          <cell r="G509" t="e">
            <v>#N/A</v>
          </cell>
          <cell r="J509" t="e">
            <v>#DIV/0!</v>
          </cell>
          <cell r="K509">
            <v>1</v>
          </cell>
        </row>
        <row r="510">
          <cell r="B510" t="e">
            <v>#DIV/0!</v>
          </cell>
          <cell r="C510">
            <v>1</v>
          </cell>
          <cell r="E510" t="e">
            <v>#N/A</v>
          </cell>
          <cell r="G510" t="e">
            <v>#N/A</v>
          </cell>
          <cell r="J510" t="e">
            <v>#DIV/0!</v>
          </cell>
          <cell r="K510">
            <v>1</v>
          </cell>
        </row>
        <row r="511">
          <cell r="B511" t="e">
            <v>#DIV/0!</v>
          </cell>
          <cell r="C511">
            <v>1</v>
          </cell>
          <cell r="E511" t="e">
            <v>#N/A</v>
          </cell>
          <cell r="G511" t="e">
            <v>#N/A</v>
          </cell>
          <cell r="J511" t="e">
            <v>#DIV/0!</v>
          </cell>
          <cell r="K511">
            <v>1</v>
          </cell>
        </row>
        <row r="512">
          <cell r="B512" t="e">
            <v>#DIV/0!</v>
          </cell>
          <cell r="C512">
            <v>1</v>
          </cell>
          <cell r="E512" t="e">
            <v>#N/A</v>
          </cell>
          <cell r="G512" t="e">
            <v>#N/A</v>
          </cell>
          <cell r="J512" t="e">
            <v>#DIV/0!</v>
          </cell>
          <cell r="K512">
            <v>1</v>
          </cell>
        </row>
        <row r="513">
          <cell r="B513" t="e">
            <v>#DIV/0!</v>
          </cell>
          <cell r="C513">
            <v>1</v>
          </cell>
          <cell r="E513" t="e">
            <v>#N/A</v>
          </cell>
          <cell r="G513" t="e">
            <v>#N/A</v>
          </cell>
          <cell r="J513" t="e">
            <v>#DIV/0!</v>
          </cell>
          <cell r="K513">
            <v>1</v>
          </cell>
        </row>
        <row r="514">
          <cell r="B514" t="e">
            <v>#DIV/0!</v>
          </cell>
          <cell r="C514">
            <v>1</v>
          </cell>
          <cell r="E514" t="e">
            <v>#N/A</v>
          </cell>
          <cell r="G514" t="e">
            <v>#N/A</v>
          </cell>
          <cell r="J514" t="e">
            <v>#DIV/0!</v>
          </cell>
          <cell r="K514">
            <v>1</v>
          </cell>
        </row>
        <row r="515">
          <cell r="B515" t="e">
            <v>#DIV/0!</v>
          </cell>
          <cell r="C515">
            <v>1</v>
          </cell>
          <cell r="E515" t="e">
            <v>#N/A</v>
          </cell>
          <cell r="G515" t="e">
            <v>#N/A</v>
          </cell>
          <cell r="J515" t="e">
            <v>#DIV/0!</v>
          </cell>
          <cell r="K515">
            <v>1</v>
          </cell>
        </row>
        <row r="516">
          <cell r="B516" t="e">
            <v>#DIV/0!</v>
          </cell>
          <cell r="C516">
            <v>1</v>
          </cell>
          <cell r="E516" t="e">
            <v>#N/A</v>
          </cell>
          <cell r="G516" t="e">
            <v>#N/A</v>
          </cell>
          <cell r="J516" t="e">
            <v>#DIV/0!</v>
          </cell>
          <cell r="K516">
            <v>1</v>
          </cell>
        </row>
        <row r="517">
          <cell r="B517" t="e">
            <v>#DIV/0!</v>
          </cell>
          <cell r="C517">
            <v>1</v>
          </cell>
          <cell r="E517" t="e">
            <v>#N/A</v>
          </cell>
          <cell r="G517" t="e">
            <v>#N/A</v>
          </cell>
          <cell r="J517" t="e">
            <v>#DIV/0!</v>
          </cell>
          <cell r="K517">
            <v>1</v>
          </cell>
        </row>
        <row r="518">
          <cell r="B518" t="e">
            <v>#DIV/0!</v>
          </cell>
          <cell r="C518">
            <v>1</v>
          </cell>
          <cell r="E518" t="e">
            <v>#N/A</v>
          </cell>
          <cell r="G518" t="e">
            <v>#N/A</v>
          </cell>
          <cell r="J518" t="e">
            <v>#DIV/0!</v>
          </cell>
          <cell r="K518">
            <v>1</v>
          </cell>
        </row>
        <row r="519">
          <cell r="B519" t="e">
            <v>#DIV/0!</v>
          </cell>
          <cell r="C519">
            <v>1</v>
          </cell>
          <cell r="E519" t="e">
            <v>#N/A</v>
          </cell>
          <cell r="G519" t="e">
            <v>#N/A</v>
          </cell>
          <cell r="J519" t="e">
            <v>#DIV/0!</v>
          </cell>
          <cell r="K519">
            <v>1</v>
          </cell>
        </row>
        <row r="520">
          <cell r="B520" t="e">
            <v>#DIV/0!</v>
          </cell>
          <cell r="C520">
            <v>1</v>
          </cell>
          <cell r="E520" t="e">
            <v>#N/A</v>
          </cell>
          <cell r="G520" t="e">
            <v>#N/A</v>
          </cell>
          <cell r="J520" t="e">
            <v>#DIV/0!</v>
          </cell>
          <cell r="K520">
            <v>1</v>
          </cell>
        </row>
        <row r="521">
          <cell r="B521" t="e">
            <v>#DIV/0!</v>
          </cell>
          <cell r="C521">
            <v>1</v>
          </cell>
          <cell r="E521" t="e">
            <v>#N/A</v>
          </cell>
          <cell r="G521" t="e">
            <v>#N/A</v>
          </cell>
          <cell r="J521" t="e">
            <v>#DIV/0!</v>
          </cell>
          <cell r="K521">
            <v>1</v>
          </cell>
        </row>
        <row r="522">
          <cell r="B522" t="e">
            <v>#DIV/0!</v>
          </cell>
          <cell r="C522">
            <v>1</v>
          </cell>
          <cell r="E522" t="e">
            <v>#N/A</v>
          </cell>
          <cell r="G522" t="e">
            <v>#N/A</v>
          </cell>
          <cell r="J522" t="e">
            <v>#DIV/0!</v>
          </cell>
          <cell r="K522">
            <v>1</v>
          </cell>
        </row>
        <row r="523">
          <cell r="B523" t="e">
            <v>#DIV/0!</v>
          </cell>
          <cell r="C523">
            <v>1</v>
          </cell>
          <cell r="E523" t="e">
            <v>#N/A</v>
          </cell>
          <cell r="G523" t="e">
            <v>#N/A</v>
          </cell>
          <cell r="J523" t="e">
            <v>#DIV/0!</v>
          </cell>
          <cell r="K523">
            <v>1</v>
          </cell>
        </row>
        <row r="524">
          <cell r="B524" t="e">
            <v>#DIV/0!</v>
          </cell>
          <cell r="C524">
            <v>1</v>
          </cell>
          <cell r="E524" t="e">
            <v>#N/A</v>
          </cell>
          <cell r="G524" t="e">
            <v>#N/A</v>
          </cell>
          <cell r="J524" t="e">
            <v>#DIV/0!</v>
          </cell>
          <cell r="K524">
            <v>1</v>
          </cell>
        </row>
        <row r="525">
          <cell r="B525" t="e">
            <v>#DIV/0!</v>
          </cell>
          <cell r="C525">
            <v>1</v>
          </cell>
          <cell r="E525" t="e">
            <v>#N/A</v>
          </cell>
          <cell r="G525" t="e">
            <v>#N/A</v>
          </cell>
          <cell r="J525" t="e">
            <v>#DIV/0!</v>
          </cell>
          <cell r="K525">
            <v>1</v>
          </cell>
        </row>
        <row r="526">
          <cell r="B526" t="e">
            <v>#DIV/0!</v>
          </cell>
          <cell r="C526">
            <v>1</v>
          </cell>
          <cell r="E526" t="e">
            <v>#N/A</v>
          </cell>
          <cell r="G526" t="e">
            <v>#N/A</v>
          </cell>
          <cell r="J526" t="e">
            <v>#DIV/0!</v>
          </cell>
          <cell r="K526">
            <v>1</v>
          </cell>
        </row>
        <row r="527">
          <cell r="B527" t="e">
            <v>#DIV/0!</v>
          </cell>
          <cell r="C527">
            <v>1</v>
          </cell>
          <cell r="E527" t="e">
            <v>#N/A</v>
          </cell>
          <cell r="G527" t="e">
            <v>#N/A</v>
          </cell>
          <cell r="J527" t="e">
            <v>#DIV/0!</v>
          </cell>
          <cell r="K527">
            <v>1</v>
          </cell>
        </row>
        <row r="528">
          <cell r="B528" t="e">
            <v>#DIV/0!</v>
          </cell>
          <cell r="C528">
            <v>1</v>
          </cell>
          <cell r="E528" t="e">
            <v>#N/A</v>
          </cell>
          <cell r="G528" t="e">
            <v>#N/A</v>
          </cell>
          <cell r="J528" t="e">
            <v>#DIV/0!</v>
          </cell>
          <cell r="K528">
            <v>1</v>
          </cell>
        </row>
        <row r="529">
          <cell r="B529" t="e">
            <v>#DIV/0!</v>
          </cell>
          <cell r="C529">
            <v>1</v>
          </cell>
          <cell r="E529" t="e">
            <v>#N/A</v>
          </cell>
          <cell r="G529" t="e">
            <v>#N/A</v>
          </cell>
          <cell r="J529" t="e">
            <v>#DIV/0!</v>
          </cell>
          <cell r="K529">
            <v>1</v>
          </cell>
        </row>
        <row r="530">
          <cell r="B530" t="e">
            <v>#DIV/0!</v>
          </cell>
          <cell r="C530">
            <v>1</v>
          </cell>
          <cell r="E530" t="e">
            <v>#N/A</v>
          </cell>
          <cell r="G530" t="e">
            <v>#N/A</v>
          </cell>
          <cell r="J530" t="e">
            <v>#DIV/0!</v>
          </cell>
          <cell r="K530">
            <v>1</v>
          </cell>
        </row>
        <row r="531">
          <cell r="B531" t="e">
            <v>#DIV/0!</v>
          </cell>
          <cell r="C531">
            <v>1</v>
          </cell>
          <cell r="E531" t="e">
            <v>#N/A</v>
          </cell>
          <cell r="G531" t="e">
            <v>#N/A</v>
          </cell>
          <cell r="J531" t="e">
            <v>#DIV/0!</v>
          </cell>
          <cell r="K531">
            <v>1</v>
          </cell>
        </row>
        <row r="532">
          <cell r="B532" t="e">
            <v>#DIV/0!</v>
          </cell>
          <cell r="C532">
            <v>1</v>
          </cell>
          <cell r="E532" t="e">
            <v>#N/A</v>
          </cell>
          <cell r="G532" t="e">
            <v>#N/A</v>
          </cell>
          <cell r="J532" t="e">
            <v>#DIV/0!</v>
          </cell>
          <cell r="K532">
            <v>1</v>
          </cell>
        </row>
        <row r="533">
          <cell r="B533" t="e">
            <v>#DIV/0!</v>
          </cell>
          <cell r="C533">
            <v>1</v>
          </cell>
          <cell r="E533" t="e">
            <v>#N/A</v>
          </cell>
          <cell r="G533" t="e">
            <v>#N/A</v>
          </cell>
          <cell r="J533" t="e">
            <v>#DIV/0!</v>
          </cell>
          <cell r="K533">
            <v>1</v>
          </cell>
        </row>
        <row r="534">
          <cell r="B534" t="e">
            <v>#DIV/0!</v>
          </cell>
          <cell r="C534">
            <v>1</v>
          </cell>
          <cell r="E534" t="e">
            <v>#N/A</v>
          </cell>
          <cell r="G534" t="e">
            <v>#N/A</v>
          </cell>
          <cell r="J534" t="e">
            <v>#DIV/0!</v>
          </cell>
          <cell r="K534">
            <v>1</v>
          </cell>
        </row>
        <row r="535">
          <cell r="B535" t="e">
            <v>#DIV/0!</v>
          </cell>
          <cell r="C535">
            <v>1</v>
          </cell>
          <cell r="E535" t="e">
            <v>#N/A</v>
          </cell>
          <cell r="G535" t="e">
            <v>#N/A</v>
          </cell>
          <cell r="J535" t="e">
            <v>#DIV/0!</v>
          </cell>
          <cell r="K535">
            <v>1</v>
          </cell>
        </row>
        <row r="536">
          <cell r="B536" t="e">
            <v>#DIV/0!</v>
          </cell>
          <cell r="C536">
            <v>1</v>
          </cell>
          <cell r="E536" t="e">
            <v>#N/A</v>
          </cell>
          <cell r="G536" t="e">
            <v>#N/A</v>
          </cell>
          <cell r="J536" t="e">
            <v>#DIV/0!</v>
          </cell>
          <cell r="K536">
            <v>1</v>
          </cell>
        </row>
        <row r="537">
          <cell r="B537" t="e">
            <v>#DIV/0!</v>
          </cell>
          <cell r="C537">
            <v>1</v>
          </cell>
          <cell r="E537" t="e">
            <v>#N/A</v>
          </cell>
          <cell r="G537" t="e">
            <v>#N/A</v>
          </cell>
          <cell r="J537" t="e">
            <v>#DIV/0!</v>
          </cell>
          <cell r="K537">
            <v>1</v>
          </cell>
        </row>
        <row r="538">
          <cell r="B538" t="e">
            <v>#DIV/0!</v>
          </cell>
          <cell r="C538">
            <v>1</v>
          </cell>
          <cell r="E538" t="e">
            <v>#N/A</v>
          </cell>
          <cell r="G538" t="e">
            <v>#N/A</v>
          </cell>
          <cell r="J538" t="e">
            <v>#DIV/0!</v>
          </cell>
          <cell r="K538">
            <v>1</v>
          </cell>
        </row>
        <row r="539">
          <cell r="B539" t="e">
            <v>#DIV/0!</v>
          </cell>
          <cell r="C539">
            <v>1</v>
          </cell>
          <cell r="E539" t="e">
            <v>#N/A</v>
          </cell>
          <cell r="G539" t="e">
            <v>#N/A</v>
          </cell>
          <cell r="J539" t="e">
            <v>#DIV/0!</v>
          </cell>
          <cell r="K539">
            <v>1</v>
          </cell>
        </row>
        <row r="540">
          <cell r="B540" t="e">
            <v>#DIV/0!</v>
          </cell>
          <cell r="C540">
            <v>1</v>
          </cell>
          <cell r="E540" t="e">
            <v>#N/A</v>
          </cell>
          <cell r="G540" t="e">
            <v>#N/A</v>
          </cell>
          <cell r="J540" t="e">
            <v>#DIV/0!</v>
          </cell>
          <cell r="K540">
            <v>1</v>
          </cell>
        </row>
        <row r="541">
          <cell r="B541" t="e">
            <v>#DIV/0!</v>
          </cell>
          <cell r="C541">
            <v>1</v>
          </cell>
          <cell r="E541" t="e">
            <v>#N/A</v>
          </cell>
          <cell r="G541" t="e">
            <v>#N/A</v>
          </cell>
          <cell r="J541" t="e">
            <v>#DIV/0!</v>
          </cell>
          <cell r="K541">
            <v>1</v>
          </cell>
        </row>
        <row r="542">
          <cell r="B542" t="e">
            <v>#DIV/0!</v>
          </cell>
          <cell r="C542">
            <v>1</v>
          </cell>
          <cell r="E542" t="e">
            <v>#N/A</v>
          </cell>
          <cell r="G542" t="e">
            <v>#N/A</v>
          </cell>
          <cell r="J542" t="e">
            <v>#DIV/0!</v>
          </cell>
          <cell r="K542">
            <v>1</v>
          </cell>
        </row>
        <row r="543">
          <cell r="B543" t="e">
            <v>#DIV/0!</v>
          </cell>
          <cell r="C543">
            <v>1</v>
          </cell>
          <cell r="E543" t="e">
            <v>#N/A</v>
          </cell>
          <cell r="G543" t="e">
            <v>#N/A</v>
          </cell>
          <cell r="J543" t="e">
            <v>#DIV/0!</v>
          </cell>
          <cell r="K543">
            <v>1</v>
          </cell>
        </row>
        <row r="544">
          <cell r="B544" t="e">
            <v>#DIV/0!</v>
          </cell>
          <cell r="C544">
            <v>1</v>
          </cell>
          <cell r="E544" t="e">
            <v>#N/A</v>
          </cell>
          <cell r="G544" t="e">
            <v>#N/A</v>
          </cell>
          <cell r="J544" t="e">
            <v>#DIV/0!</v>
          </cell>
          <cell r="K544">
            <v>1</v>
          </cell>
        </row>
        <row r="545">
          <cell r="B545" t="e">
            <v>#DIV/0!</v>
          </cell>
          <cell r="C545">
            <v>1</v>
          </cell>
          <cell r="E545" t="e">
            <v>#N/A</v>
          </cell>
          <cell r="G545" t="e">
            <v>#N/A</v>
          </cell>
          <cell r="J545" t="e">
            <v>#DIV/0!</v>
          </cell>
          <cell r="K545">
            <v>1</v>
          </cell>
        </row>
        <row r="546">
          <cell r="B546" t="e">
            <v>#DIV/0!</v>
          </cell>
          <cell r="C546">
            <v>1</v>
          </cell>
          <cell r="E546" t="e">
            <v>#N/A</v>
          </cell>
          <cell r="G546" t="e">
            <v>#N/A</v>
          </cell>
          <cell r="J546" t="e">
            <v>#DIV/0!</v>
          </cell>
          <cell r="K546">
            <v>1</v>
          </cell>
        </row>
        <row r="547">
          <cell r="B547" t="e">
            <v>#DIV/0!</v>
          </cell>
          <cell r="C547">
            <v>1</v>
          </cell>
          <cell r="E547" t="e">
            <v>#N/A</v>
          </cell>
          <cell r="G547" t="e">
            <v>#N/A</v>
          </cell>
          <cell r="J547" t="e">
            <v>#DIV/0!</v>
          </cell>
          <cell r="K547">
            <v>1</v>
          </cell>
        </row>
        <row r="548">
          <cell r="B548" t="e">
            <v>#DIV/0!</v>
          </cell>
          <cell r="C548">
            <v>1</v>
          </cell>
          <cell r="E548" t="e">
            <v>#N/A</v>
          </cell>
          <cell r="G548" t="e">
            <v>#N/A</v>
          </cell>
          <cell r="J548" t="e">
            <v>#DIV/0!</v>
          </cell>
          <cell r="K548">
            <v>1</v>
          </cell>
        </row>
        <row r="549">
          <cell r="B549" t="e">
            <v>#DIV/0!</v>
          </cell>
          <cell r="C549">
            <v>1</v>
          </cell>
          <cell r="E549" t="e">
            <v>#N/A</v>
          </cell>
          <cell r="G549" t="e">
            <v>#N/A</v>
          </cell>
          <cell r="J549" t="e">
            <v>#DIV/0!</v>
          </cell>
          <cell r="K549">
            <v>1</v>
          </cell>
        </row>
        <row r="550">
          <cell r="B550" t="e">
            <v>#DIV/0!</v>
          </cell>
          <cell r="C550">
            <v>1</v>
          </cell>
          <cell r="E550" t="e">
            <v>#N/A</v>
          </cell>
          <cell r="G550" t="e">
            <v>#N/A</v>
          </cell>
          <cell r="J550" t="e">
            <v>#DIV/0!</v>
          </cell>
          <cell r="K550">
            <v>1</v>
          </cell>
        </row>
        <row r="551">
          <cell r="B551" t="e">
            <v>#DIV/0!</v>
          </cell>
          <cell r="C551">
            <v>1</v>
          </cell>
          <cell r="E551" t="e">
            <v>#N/A</v>
          </cell>
          <cell r="G551" t="e">
            <v>#N/A</v>
          </cell>
          <cell r="J551" t="e">
            <v>#DIV/0!</v>
          </cell>
          <cell r="K551">
            <v>1</v>
          </cell>
        </row>
        <row r="552">
          <cell r="B552" t="e">
            <v>#DIV/0!</v>
          </cell>
          <cell r="C552">
            <v>1</v>
          </cell>
          <cell r="E552" t="e">
            <v>#N/A</v>
          </cell>
          <cell r="G552" t="e">
            <v>#N/A</v>
          </cell>
          <cell r="J552" t="e">
            <v>#DIV/0!</v>
          </cell>
          <cell r="K552">
            <v>1</v>
          </cell>
        </row>
        <row r="553">
          <cell r="B553" t="e">
            <v>#DIV/0!</v>
          </cell>
          <cell r="C553">
            <v>1</v>
          </cell>
          <cell r="E553" t="e">
            <v>#N/A</v>
          </cell>
          <cell r="G553" t="e">
            <v>#N/A</v>
          </cell>
          <cell r="J553" t="e">
            <v>#DIV/0!</v>
          </cell>
          <cell r="K553">
            <v>1</v>
          </cell>
        </row>
        <row r="554">
          <cell r="B554" t="e">
            <v>#DIV/0!</v>
          </cell>
          <cell r="C554">
            <v>1</v>
          </cell>
          <cell r="E554" t="e">
            <v>#N/A</v>
          </cell>
          <cell r="G554" t="e">
            <v>#N/A</v>
          </cell>
          <cell r="J554" t="e">
            <v>#DIV/0!</v>
          </cell>
          <cell r="K554">
            <v>1</v>
          </cell>
        </row>
        <row r="555">
          <cell r="B555" t="e">
            <v>#DIV/0!</v>
          </cell>
          <cell r="C555">
            <v>1</v>
          </cell>
          <cell r="E555" t="e">
            <v>#N/A</v>
          </cell>
          <cell r="G555" t="e">
            <v>#N/A</v>
          </cell>
          <cell r="J555" t="e">
            <v>#DIV/0!</v>
          </cell>
          <cell r="K555">
            <v>1</v>
          </cell>
        </row>
        <row r="556">
          <cell r="B556" t="e">
            <v>#DIV/0!</v>
          </cell>
          <cell r="C556">
            <v>1</v>
          </cell>
          <cell r="E556" t="e">
            <v>#N/A</v>
          </cell>
          <cell r="G556" t="e">
            <v>#N/A</v>
          </cell>
          <cell r="J556" t="e">
            <v>#DIV/0!</v>
          </cell>
          <cell r="K556">
            <v>1</v>
          </cell>
        </row>
        <row r="557">
          <cell r="B557" t="e">
            <v>#DIV/0!</v>
          </cell>
          <cell r="C557">
            <v>1</v>
          </cell>
          <cell r="E557" t="e">
            <v>#N/A</v>
          </cell>
          <cell r="G557" t="e">
            <v>#N/A</v>
          </cell>
          <cell r="J557" t="e">
            <v>#DIV/0!</v>
          </cell>
          <cell r="K557">
            <v>1</v>
          </cell>
        </row>
        <row r="558">
          <cell r="B558" t="e">
            <v>#DIV/0!</v>
          </cell>
          <cell r="C558">
            <v>1</v>
          </cell>
          <cell r="E558" t="e">
            <v>#N/A</v>
          </cell>
          <cell r="G558" t="e">
            <v>#N/A</v>
          </cell>
          <cell r="J558" t="e">
            <v>#DIV/0!</v>
          </cell>
          <cell r="K558">
            <v>1</v>
          </cell>
        </row>
        <row r="559">
          <cell r="B559" t="e">
            <v>#DIV/0!</v>
          </cell>
          <cell r="C559">
            <v>1</v>
          </cell>
          <cell r="E559" t="e">
            <v>#N/A</v>
          </cell>
          <cell r="G559" t="e">
            <v>#N/A</v>
          </cell>
          <cell r="J559" t="e">
            <v>#DIV/0!</v>
          </cell>
          <cell r="K559">
            <v>1</v>
          </cell>
        </row>
        <row r="560">
          <cell r="B560" t="e">
            <v>#DIV/0!</v>
          </cell>
          <cell r="C560">
            <v>1</v>
          </cell>
          <cell r="E560" t="e">
            <v>#N/A</v>
          </cell>
          <cell r="G560" t="e">
            <v>#N/A</v>
          </cell>
          <cell r="J560" t="e">
            <v>#DIV/0!</v>
          </cell>
          <cell r="K560">
            <v>1</v>
          </cell>
        </row>
        <row r="561">
          <cell r="B561" t="e">
            <v>#DIV/0!</v>
          </cell>
          <cell r="C561">
            <v>1</v>
          </cell>
          <cell r="E561" t="e">
            <v>#N/A</v>
          </cell>
          <cell r="G561" t="e">
            <v>#N/A</v>
          </cell>
          <cell r="J561" t="e">
            <v>#DIV/0!</v>
          </cell>
          <cell r="K561">
            <v>1</v>
          </cell>
        </row>
        <row r="562">
          <cell r="B562" t="e">
            <v>#DIV/0!</v>
          </cell>
          <cell r="C562">
            <v>1</v>
          </cell>
          <cell r="E562" t="e">
            <v>#N/A</v>
          </cell>
          <cell r="G562" t="e">
            <v>#N/A</v>
          </cell>
          <cell r="J562" t="e">
            <v>#DIV/0!</v>
          </cell>
          <cell r="K562">
            <v>1</v>
          </cell>
        </row>
        <row r="563">
          <cell r="B563" t="e">
            <v>#DIV/0!</v>
          </cell>
          <cell r="C563">
            <v>1</v>
          </cell>
          <cell r="E563" t="e">
            <v>#N/A</v>
          </cell>
          <cell r="G563" t="e">
            <v>#N/A</v>
          </cell>
          <cell r="J563" t="e">
            <v>#DIV/0!</v>
          </cell>
          <cell r="K563">
            <v>1</v>
          </cell>
        </row>
        <row r="564">
          <cell r="B564" t="e">
            <v>#DIV/0!</v>
          </cell>
          <cell r="C564">
            <v>1</v>
          </cell>
          <cell r="E564" t="e">
            <v>#N/A</v>
          </cell>
          <cell r="G564" t="e">
            <v>#N/A</v>
          </cell>
          <cell r="J564" t="e">
            <v>#DIV/0!</v>
          </cell>
          <cell r="K564">
            <v>1</v>
          </cell>
        </row>
        <row r="565">
          <cell r="B565" t="e">
            <v>#DIV/0!</v>
          </cell>
          <cell r="C565">
            <v>1</v>
          </cell>
          <cell r="E565" t="e">
            <v>#N/A</v>
          </cell>
          <cell r="G565" t="e">
            <v>#N/A</v>
          </cell>
          <cell r="J565" t="e">
            <v>#DIV/0!</v>
          </cell>
          <cell r="K565">
            <v>1</v>
          </cell>
        </row>
        <row r="566">
          <cell r="B566" t="e">
            <v>#DIV/0!</v>
          </cell>
          <cell r="C566">
            <v>1</v>
          </cell>
          <cell r="E566" t="e">
            <v>#N/A</v>
          </cell>
          <cell r="G566" t="e">
            <v>#N/A</v>
          </cell>
          <cell r="J566" t="e">
            <v>#DIV/0!</v>
          </cell>
          <cell r="K566">
            <v>1</v>
          </cell>
        </row>
        <row r="567">
          <cell r="B567" t="e">
            <v>#DIV/0!</v>
          </cell>
          <cell r="C567">
            <v>1</v>
          </cell>
          <cell r="E567" t="e">
            <v>#N/A</v>
          </cell>
          <cell r="G567" t="e">
            <v>#N/A</v>
          </cell>
          <cell r="J567" t="e">
            <v>#DIV/0!</v>
          </cell>
          <cell r="K567">
            <v>1</v>
          </cell>
        </row>
        <row r="568">
          <cell r="B568" t="e">
            <v>#DIV/0!</v>
          </cell>
          <cell r="C568">
            <v>1</v>
          </cell>
          <cell r="E568" t="e">
            <v>#N/A</v>
          </cell>
          <cell r="G568" t="e">
            <v>#N/A</v>
          </cell>
          <cell r="J568" t="e">
            <v>#DIV/0!</v>
          </cell>
          <cell r="K568">
            <v>1</v>
          </cell>
        </row>
        <row r="569">
          <cell r="B569" t="e">
            <v>#DIV/0!</v>
          </cell>
          <cell r="C569">
            <v>1</v>
          </cell>
          <cell r="E569" t="e">
            <v>#N/A</v>
          </cell>
          <cell r="G569" t="e">
            <v>#N/A</v>
          </cell>
          <cell r="J569" t="e">
            <v>#DIV/0!</v>
          </cell>
          <cell r="K569">
            <v>1</v>
          </cell>
        </row>
        <row r="570">
          <cell r="B570" t="e">
            <v>#DIV/0!</v>
          </cell>
          <cell r="C570">
            <v>1</v>
          </cell>
          <cell r="E570" t="e">
            <v>#N/A</v>
          </cell>
          <cell r="G570" t="e">
            <v>#N/A</v>
          </cell>
          <cell r="J570" t="e">
            <v>#DIV/0!</v>
          </cell>
          <cell r="K570">
            <v>1</v>
          </cell>
        </row>
        <row r="571">
          <cell r="B571" t="e">
            <v>#DIV/0!</v>
          </cell>
          <cell r="C571">
            <v>1</v>
          </cell>
          <cell r="E571" t="e">
            <v>#N/A</v>
          </cell>
          <cell r="G571" t="e">
            <v>#N/A</v>
          </cell>
          <cell r="J571" t="e">
            <v>#DIV/0!</v>
          </cell>
          <cell r="K571">
            <v>1</v>
          </cell>
        </row>
        <row r="572">
          <cell r="B572" t="e">
            <v>#DIV/0!</v>
          </cell>
          <cell r="C572">
            <v>1</v>
          </cell>
          <cell r="E572" t="e">
            <v>#N/A</v>
          </cell>
          <cell r="G572" t="e">
            <v>#N/A</v>
          </cell>
          <cell r="J572" t="e">
            <v>#DIV/0!</v>
          </cell>
          <cell r="K572">
            <v>1</v>
          </cell>
        </row>
        <row r="573">
          <cell r="B573" t="e">
            <v>#DIV/0!</v>
          </cell>
          <cell r="C573">
            <v>1</v>
          </cell>
          <cell r="E573" t="e">
            <v>#N/A</v>
          </cell>
          <cell r="G573" t="e">
            <v>#N/A</v>
          </cell>
          <cell r="J573" t="e">
            <v>#DIV/0!</v>
          </cell>
          <cell r="K573">
            <v>1</v>
          </cell>
        </row>
        <row r="574">
          <cell r="B574" t="e">
            <v>#DIV/0!</v>
          </cell>
          <cell r="C574">
            <v>1</v>
          </cell>
          <cell r="E574" t="e">
            <v>#N/A</v>
          </cell>
          <cell r="G574" t="e">
            <v>#N/A</v>
          </cell>
          <cell r="J574" t="e">
            <v>#DIV/0!</v>
          </cell>
          <cell r="K574">
            <v>1</v>
          </cell>
        </row>
        <row r="575">
          <cell r="B575" t="e">
            <v>#DIV/0!</v>
          </cell>
          <cell r="C575">
            <v>1</v>
          </cell>
          <cell r="E575" t="e">
            <v>#N/A</v>
          </cell>
          <cell r="G575" t="e">
            <v>#N/A</v>
          </cell>
          <cell r="J575" t="e">
            <v>#DIV/0!</v>
          </cell>
          <cell r="K575">
            <v>1</v>
          </cell>
        </row>
        <row r="576">
          <cell r="B576" t="e">
            <v>#DIV/0!</v>
          </cell>
          <cell r="C576">
            <v>1</v>
          </cell>
          <cell r="E576" t="e">
            <v>#N/A</v>
          </cell>
          <cell r="G576" t="e">
            <v>#N/A</v>
          </cell>
          <cell r="J576" t="e">
            <v>#DIV/0!</v>
          </cell>
          <cell r="K576">
            <v>1</v>
          </cell>
        </row>
        <row r="577">
          <cell r="B577" t="e">
            <v>#DIV/0!</v>
          </cell>
          <cell r="C577">
            <v>1</v>
          </cell>
          <cell r="E577" t="e">
            <v>#N/A</v>
          </cell>
          <cell r="G577" t="e">
            <v>#N/A</v>
          </cell>
          <cell r="J577" t="e">
            <v>#DIV/0!</v>
          </cell>
          <cell r="K577">
            <v>1</v>
          </cell>
        </row>
        <row r="578">
          <cell r="B578" t="e">
            <v>#DIV/0!</v>
          </cell>
          <cell r="C578">
            <v>1</v>
          </cell>
          <cell r="E578" t="e">
            <v>#N/A</v>
          </cell>
          <cell r="G578" t="e">
            <v>#N/A</v>
          </cell>
          <cell r="J578" t="e">
            <v>#DIV/0!</v>
          </cell>
          <cell r="K578">
            <v>1</v>
          </cell>
        </row>
        <row r="579">
          <cell r="B579" t="e">
            <v>#DIV/0!</v>
          </cell>
          <cell r="C579">
            <v>1</v>
          </cell>
          <cell r="E579" t="e">
            <v>#N/A</v>
          </cell>
          <cell r="G579" t="e">
            <v>#N/A</v>
          </cell>
          <cell r="J579" t="e">
            <v>#DIV/0!</v>
          </cell>
          <cell r="K579">
            <v>1</v>
          </cell>
        </row>
        <row r="580">
          <cell r="B580" t="e">
            <v>#DIV/0!</v>
          </cell>
          <cell r="C580">
            <v>1</v>
          </cell>
          <cell r="E580" t="e">
            <v>#N/A</v>
          </cell>
          <cell r="G580" t="e">
            <v>#N/A</v>
          </cell>
          <cell r="J580" t="e">
            <v>#DIV/0!</v>
          </cell>
          <cell r="K580">
            <v>1</v>
          </cell>
        </row>
        <row r="581">
          <cell r="B581" t="e">
            <v>#DIV/0!</v>
          </cell>
          <cell r="C581">
            <v>1</v>
          </cell>
          <cell r="E581" t="e">
            <v>#N/A</v>
          </cell>
          <cell r="G581" t="e">
            <v>#N/A</v>
          </cell>
          <cell r="J581" t="e">
            <v>#DIV/0!</v>
          </cell>
          <cell r="K581">
            <v>1</v>
          </cell>
        </row>
        <row r="582">
          <cell r="B582" t="e">
            <v>#DIV/0!</v>
          </cell>
          <cell r="C582">
            <v>1</v>
          </cell>
          <cell r="E582" t="e">
            <v>#N/A</v>
          </cell>
          <cell r="G582" t="e">
            <v>#N/A</v>
          </cell>
          <cell r="J582" t="e">
            <v>#DIV/0!</v>
          </cell>
          <cell r="K582">
            <v>1</v>
          </cell>
        </row>
        <row r="583">
          <cell r="B583" t="e">
            <v>#DIV/0!</v>
          </cell>
          <cell r="C583">
            <v>1</v>
          </cell>
          <cell r="E583" t="e">
            <v>#N/A</v>
          </cell>
          <cell r="G583" t="e">
            <v>#N/A</v>
          </cell>
          <cell r="J583" t="e">
            <v>#DIV/0!</v>
          </cell>
          <cell r="K583">
            <v>1</v>
          </cell>
        </row>
        <row r="584">
          <cell r="B584" t="e">
            <v>#DIV/0!</v>
          </cell>
          <cell r="C584">
            <v>1</v>
          </cell>
          <cell r="E584" t="e">
            <v>#N/A</v>
          </cell>
          <cell r="G584" t="e">
            <v>#N/A</v>
          </cell>
          <cell r="J584" t="e">
            <v>#DIV/0!</v>
          </cell>
          <cell r="K584">
            <v>1</v>
          </cell>
        </row>
        <row r="585">
          <cell r="B585" t="e">
            <v>#DIV/0!</v>
          </cell>
          <cell r="C585">
            <v>1</v>
          </cell>
          <cell r="E585" t="e">
            <v>#N/A</v>
          </cell>
          <cell r="G585" t="e">
            <v>#N/A</v>
          </cell>
          <cell r="J585" t="e">
            <v>#DIV/0!</v>
          </cell>
          <cell r="K585">
            <v>1</v>
          </cell>
        </row>
        <row r="586">
          <cell r="B586" t="e">
            <v>#DIV/0!</v>
          </cell>
          <cell r="C586">
            <v>1</v>
          </cell>
          <cell r="E586" t="e">
            <v>#N/A</v>
          </cell>
          <cell r="G586" t="e">
            <v>#N/A</v>
          </cell>
          <cell r="J586" t="e">
            <v>#DIV/0!</v>
          </cell>
          <cell r="K586">
            <v>1</v>
          </cell>
        </row>
        <row r="587">
          <cell r="B587" t="e">
            <v>#DIV/0!</v>
          </cell>
          <cell r="C587">
            <v>1</v>
          </cell>
          <cell r="E587" t="e">
            <v>#N/A</v>
          </cell>
          <cell r="G587" t="e">
            <v>#N/A</v>
          </cell>
          <cell r="J587" t="e">
            <v>#DIV/0!</v>
          </cell>
          <cell r="K587">
            <v>1</v>
          </cell>
        </row>
        <row r="588">
          <cell r="B588" t="e">
            <v>#DIV/0!</v>
          </cell>
          <cell r="C588">
            <v>1</v>
          </cell>
          <cell r="E588" t="e">
            <v>#N/A</v>
          </cell>
          <cell r="G588" t="e">
            <v>#N/A</v>
          </cell>
          <cell r="J588" t="e">
            <v>#DIV/0!</v>
          </cell>
          <cell r="K588">
            <v>1</v>
          </cell>
        </row>
        <row r="589">
          <cell r="B589" t="e">
            <v>#DIV/0!</v>
          </cell>
          <cell r="C589">
            <v>1</v>
          </cell>
          <cell r="E589" t="e">
            <v>#N/A</v>
          </cell>
          <cell r="G589" t="e">
            <v>#N/A</v>
          </cell>
          <cell r="J589" t="e">
            <v>#DIV/0!</v>
          </cell>
          <cell r="K589">
            <v>1</v>
          </cell>
        </row>
        <row r="590">
          <cell r="B590" t="e">
            <v>#DIV/0!</v>
          </cell>
          <cell r="C590">
            <v>1</v>
          </cell>
          <cell r="E590" t="e">
            <v>#N/A</v>
          </cell>
          <cell r="G590" t="e">
            <v>#N/A</v>
          </cell>
          <cell r="J590" t="e">
            <v>#DIV/0!</v>
          </cell>
          <cell r="K590">
            <v>1</v>
          </cell>
        </row>
        <row r="591">
          <cell r="B591" t="e">
            <v>#DIV/0!</v>
          </cell>
          <cell r="C591">
            <v>1</v>
          </cell>
          <cell r="E591" t="e">
            <v>#N/A</v>
          </cell>
          <cell r="G591" t="e">
            <v>#N/A</v>
          </cell>
          <cell r="J591" t="e">
            <v>#DIV/0!</v>
          </cell>
          <cell r="K591">
            <v>1</v>
          </cell>
        </row>
        <row r="592">
          <cell r="B592" t="e">
            <v>#DIV/0!</v>
          </cell>
          <cell r="C592">
            <v>1</v>
          </cell>
          <cell r="E592" t="e">
            <v>#N/A</v>
          </cell>
          <cell r="G592" t="e">
            <v>#N/A</v>
          </cell>
          <cell r="J592" t="e">
            <v>#DIV/0!</v>
          </cell>
          <cell r="K592">
            <v>1</v>
          </cell>
        </row>
        <row r="593">
          <cell r="B593" t="e">
            <v>#DIV/0!</v>
          </cell>
          <cell r="C593">
            <v>1</v>
          </cell>
          <cell r="E593" t="e">
            <v>#N/A</v>
          </cell>
          <cell r="G593" t="e">
            <v>#N/A</v>
          </cell>
          <cell r="J593" t="e">
            <v>#DIV/0!</v>
          </cell>
          <cell r="K593">
            <v>1</v>
          </cell>
        </row>
        <row r="594">
          <cell r="B594" t="e">
            <v>#DIV/0!</v>
          </cell>
          <cell r="C594">
            <v>1</v>
          </cell>
          <cell r="E594" t="e">
            <v>#N/A</v>
          </cell>
          <cell r="G594" t="e">
            <v>#N/A</v>
          </cell>
          <cell r="J594" t="e">
            <v>#DIV/0!</v>
          </cell>
          <cell r="K594">
            <v>1</v>
          </cell>
        </row>
        <row r="595">
          <cell r="B595" t="e">
            <v>#DIV/0!</v>
          </cell>
          <cell r="C595">
            <v>1</v>
          </cell>
          <cell r="E595" t="e">
            <v>#N/A</v>
          </cell>
          <cell r="G595" t="e">
            <v>#N/A</v>
          </cell>
          <cell r="J595" t="e">
            <v>#DIV/0!</v>
          </cell>
          <cell r="K595">
            <v>1</v>
          </cell>
        </row>
        <row r="596">
          <cell r="B596" t="e">
            <v>#DIV/0!</v>
          </cell>
          <cell r="C596">
            <v>1</v>
          </cell>
          <cell r="E596" t="e">
            <v>#N/A</v>
          </cell>
          <cell r="G596" t="e">
            <v>#N/A</v>
          </cell>
          <cell r="J596" t="e">
            <v>#DIV/0!</v>
          </cell>
          <cell r="K596">
            <v>1</v>
          </cell>
        </row>
        <row r="597">
          <cell r="B597" t="e">
            <v>#DIV/0!</v>
          </cell>
          <cell r="C597">
            <v>1</v>
          </cell>
          <cell r="E597" t="e">
            <v>#N/A</v>
          </cell>
          <cell r="G597" t="e">
            <v>#N/A</v>
          </cell>
          <cell r="J597" t="e">
            <v>#DIV/0!</v>
          </cell>
          <cell r="K597">
            <v>1</v>
          </cell>
        </row>
        <row r="598">
          <cell r="B598" t="e">
            <v>#DIV/0!</v>
          </cell>
          <cell r="C598">
            <v>1</v>
          </cell>
          <cell r="E598" t="e">
            <v>#N/A</v>
          </cell>
          <cell r="G598" t="e">
            <v>#N/A</v>
          </cell>
          <cell r="J598" t="e">
            <v>#DIV/0!</v>
          </cell>
          <cell r="K598">
            <v>1</v>
          </cell>
        </row>
        <row r="599">
          <cell r="B599" t="e">
            <v>#DIV/0!</v>
          </cell>
          <cell r="C599">
            <v>1</v>
          </cell>
          <cell r="E599" t="e">
            <v>#N/A</v>
          </cell>
          <cell r="G599" t="e">
            <v>#N/A</v>
          </cell>
          <cell r="J599" t="e">
            <v>#DIV/0!</v>
          </cell>
          <cell r="K599">
            <v>1</v>
          </cell>
        </row>
        <row r="600">
          <cell r="B600" t="e">
            <v>#DIV/0!</v>
          </cell>
          <cell r="C600">
            <v>1</v>
          </cell>
          <cell r="E600" t="e">
            <v>#N/A</v>
          </cell>
          <cell r="G600" t="e">
            <v>#N/A</v>
          </cell>
          <cell r="J600" t="e">
            <v>#DIV/0!</v>
          </cell>
          <cell r="K600">
            <v>1</v>
          </cell>
        </row>
        <row r="601">
          <cell r="B601" t="e">
            <v>#DIV/0!</v>
          </cell>
          <cell r="C601">
            <v>1</v>
          </cell>
          <cell r="E601" t="e">
            <v>#N/A</v>
          </cell>
          <cell r="G601" t="e">
            <v>#N/A</v>
          </cell>
          <cell r="J601" t="e">
            <v>#DIV/0!</v>
          </cell>
          <cell r="K601">
            <v>1</v>
          </cell>
        </row>
        <row r="602">
          <cell r="B602" t="e">
            <v>#DIV/0!</v>
          </cell>
          <cell r="C602">
            <v>1</v>
          </cell>
          <cell r="E602" t="e">
            <v>#N/A</v>
          </cell>
          <cell r="G602" t="e">
            <v>#N/A</v>
          </cell>
          <cell r="J602" t="e">
            <v>#DIV/0!</v>
          </cell>
          <cell r="K602">
            <v>1</v>
          </cell>
        </row>
        <row r="603">
          <cell r="B603" t="e">
            <v>#DIV/0!</v>
          </cell>
          <cell r="C603">
            <v>1</v>
          </cell>
          <cell r="E603" t="e">
            <v>#N/A</v>
          </cell>
          <cell r="G603" t="e">
            <v>#N/A</v>
          </cell>
          <cell r="J603" t="e">
            <v>#DIV/0!</v>
          </cell>
          <cell r="K603">
            <v>1</v>
          </cell>
        </row>
        <row r="604">
          <cell r="B604" t="e">
            <v>#DIV/0!</v>
          </cell>
          <cell r="C604">
            <v>1</v>
          </cell>
          <cell r="E604" t="e">
            <v>#N/A</v>
          </cell>
          <cell r="G604" t="e">
            <v>#N/A</v>
          </cell>
          <cell r="J604" t="e">
            <v>#DIV/0!</v>
          </cell>
          <cell r="K604">
            <v>1</v>
          </cell>
        </row>
        <row r="605">
          <cell r="B605" t="e">
            <v>#DIV/0!</v>
          </cell>
          <cell r="C605">
            <v>1</v>
          </cell>
          <cell r="E605" t="e">
            <v>#N/A</v>
          </cell>
          <cell r="G605" t="e">
            <v>#N/A</v>
          </cell>
          <cell r="J605" t="e">
            <v>#DIV/0!</v>
          </cell>
          <cell r="K605">
            <v>1</v>
          </cell>
        </row>
        <row r="606">
          <cell r="B606" t="e">
            <v>#DIV/0!</v>
          </cell>
          <cell r="C606">
            <v>1</v>
          </cell>
          <cell r="E606" t="e">
            <v>#N/A</v>
          </cell>
          <cell r="G606" t="e">
            <v>#N/A</v>
          </cell>
          <cell r="J606" t="e">
            <v>#DIV/0!</v>
          </cell>
          <cell r="K606">
            <v>1</v>
          </cell>
        </row>
        <row r="607">
          <cell r="B607" t="e">
            <v>#DIV/0!</v>
          </cell>
          <cell r="C607">
            <v>1</v>
          </cell>
          <cell r="E607" t="e">
            <v>#N/A</v>
          </cell>
          <cell r="G607" t="e">
            <v>#N/A</v>
          </cell>
          <cell r="J607" t="e">
            <v>#DIV/0!</v>
          </cell>
          <cell r="K607">
            <v>1</v>
          </cell>
        </row>
        <row r="608">
          <cell r="B608" t="e">
            <v>#DIV/0!</v>
          </cell>
          <cell r="C608">
            <v>1</v>
          </cell>
          <cell r="E608" t="e">
            <v>#N/A</v>
          </cell>
          <cell r="G608" t="e">
            <v>#N/A</v>
          </cell>
          <cell r="J608" t="e">
            <v>#DIV/0!</v>
          </cell>
          <cell r="K608">
            <v>1</v>
          </cell>
        </row>
        <row r="609">
          <cell r="B609" t="e">
            <v>#DIV/0!</v>
          </cell>
          <cell r="C609">
            <v>1</v>
          </cell>
          <cell r="E609" t="e">
            <v>#N/A</v>
          </cell>
          <cell r="G609" t="e">
            <v>#N/A</v>
          </cell>
          <cell r="J609" t="e">
            <v>#DIV/0!</v>
          </cell>
          <cell r="K609">
            <v>1</v>
          </cell>
        </row>
        <row r="610">
          <cell r="B610" t="e">
            <v>#DIV/0!</v>
          </cell>
          <cell r="C610">
            <v>1</v>
          </cell>
          <cell r="E610" t="e">
            <v>#N/A</v>
          </cell>
          <cell r="G610" t="e">
            <v>#N/A</v>
          </cell>
          <cell r="J610" t="e">
            <v>#DIV/0!</v>
          </cell>
          <cell r="K610">
            <v>1</v>
          </cell>
        </row>
        <row r="611">
          <cell r="B611" t="e">
            <v>#DIV/0!</v>
          </cell>
          <cell r="C611">
            <v>1</v>
          </cell>
          <cell r="E611" t="e">
            <v>#N/A</v>
          </cell>
          <cell r="G611" t="e">
            <v>#N/A</v>
          </cell>
          <cell r="J611" t="e">
            <v>#DIV/0!</v>
          </cell>
          <cell r="K611">
            <v>1</v>
          </cell>
        </row>
        <row r="612">
          <cell r="B612" t="e">
            <v>#DIV/0!</v>
          </cell>
          <cell r="C612">
            <v>1</v>
          </cell>
          <cell r="E612" t="e">
            <v>#N/A</v>
          </cell>
          <cell r="G612" t="e">
            <v>#N/A</v>
          </cell>
          <cell r="J612" t="e">
            <v>#DIV/0!</v>
          </cell>
          <cell r="K612">
            <v>1</v>
          </cell>
        </row>
        <row r="613">
          <cell r="B613" t="e">
            <v>#DIV/0!</v>
          </cell>
          <cell r="C613">
            <v>1</v>
          </cell>
          <cell r="E613" t="e">
            <v>#N/A</v>
          </cell>
          <cell r="G613" t="e">
            <v>#N/A</v>
          </cell>
          <cell r="J613" t="e">
            <v>#DIV/0!</v>
          </cell>
          <cell r="K613">
            <v>1</v>
          </cell>
        </row>
        <row r="614">
          <cell r="B614" t="e">
            <v>#DIV/0!</v>
          </cell>
          <cell r="C614">
            <v>1</v>
          </cell>
          <cell r="E614" t="e">
            <v>#N/A</v>
          </cell>
          <cell r="G614" t="e">
            <v>#N/A</v>
          </cell>
          <cell r="J614" t="e">
            <v>#DIV/0!</v>
          </cell>
          <cell r="K614">
            <v>1</v>
          </cell>
        </row>
        <row r="615">
          <cell r="B615" t="e">
            <v>#DIV/0!</v>
          </cell>
          <cell r="C615">
            <v>1</v>
          </cell>
          <cell r="E615" t="e">
            <v>#N/A</v>
          </cell>
          <cell r="G615" t="e">
            <v>#N/A</v>
          </cell>
          <cell r="J615" t="e">
            <v>#DIV/0!</v>
          </cell>
          <cell r="K615">
            <v>1</v>
          </cell>
        </row>
        <row r="616">
          <cell r="B616" t="e">
            <v>#DIV/0!</v>
          </cell>
          <cell r="C616">
            <v>1</v>
          </cell>
          <cell r="E616" t="e">
            <v>#N/A</v>
          </cell>
          <cell r="G616" t="e">
            <v>#N/A</v>
          </cell>
          <cell r="J616" t="e">
            <v>#DIV/0!</v>
          </cell>
          <cell r="K616">
            <v>1</v>
          </cell>
        </row>
        <row r="617">
          <cell r="B617" t="e">
            <v>#DIV/0!</v>
          </cell>
          <cell r="C617">
            <v>1</v>
          </cell>
          <cell r="E617" t="e">
            <v>#N/A</v>
          </cell>
          <cell r="G617" t="e">
            <v>#N/A</v>
          </cell>
          <cell r="J617" t="e">
            <v>#DIV/0!</v>
          </cell>
          <cell r="K617">
            <v>1</v>
          </cell>
        </row>
        <row r="618">
          <cell r="B618" t="e">
            <v>#DIV/0!</v>
          </cell>
          <cell r="C618">
            <v>1</v>
          </cell>
          <cell r="E618" t="e">
            <v>#N/A</v>
          </cell>
          <cell r="G618" t="e">
            <v>#N/A</v>
          </cell>
          <cell r="J618" t="e">
            <v>#DIV/0!</v>
          </cell>
          <cell r="K618">
            <v>1</v>
          </cell>
        </row>
        <row r="619">
          <cell r="B619" t="e">
            <v>#DIV/0!</v>
          </cell>
          <cell r="C619">
            <v>1</v>
          </cell>
          <cell r="E619" t="e">
            <v>#N/A</v>
          </cell>
          <cell r="G619" t="e">
            <v>#N/A</v>
          </cell>
          <cell r="J619" t="e">
            <v>#DIV/0!</v>
          </cell>
          <cell r="K619">
            <v>1</v>
          </cell>
        </row>
        <row r="620">
          <cell r="B620" t="e">
            <v>#DIV/0!</v>
          </cell>
          <cell r="C620">
            <v>1</v>
          </cell>
          <cell r="E620" t="e">
            <v>#N/A</v>
          </cell>
          <cell r="G620" t="e">
            <v>#N/A</v>
          </cell>
          <cell r="J620" t="e">
            <v>#DIV/0!</v>
          </cell>
          <cell r="K620">
            <v>1</v>
          </cell>
        </row>
        <row r="621">
          <cell r="B621" t="e">
            <v>#DIV/0!</v>
          </cell>
          <cell r="C621">
            <v>1</v>
          </cell>
          <cell r="E621" t="e">
            <v>#N/A</v>
          </cell>
          <cell r="G621" t="e">
            <v>#N/A</v>
          </cell>
          <cell r="J621" t="e">
            <v>#DIV/0!</v>
          </cell>
          <cell r="K621">
            <v>1</v>
          </cell>
        </row>
        <row r="622">
          <cell r="B622" t="e">
            <v>#DIV/0!</v>
          </cell>
          <cell r="C622">
            <v>1</v>
          </cell>
          <cell r="E622" t="e">
            <v>#N/A</v>
          </cell>
          <cell r="G622" t="e">
            <v>#N/A</v>
          </cell>
          <cell r="J622" t="e">
            <v>#DIV/0!</v>
          </cell>
          <cell r="K622">
            <v>1</v>
          </cell>
        </row>
        <row r="623">
          <cell r="B623" t="e">
            <v>#DIV/0!</v>
          </cell>
          <cell r="C623">
            <v>1</v>
          </cell>
          <cell r="E623" t="e">
            <v>#N/A</v>
          </cell>
          <cell r="G623" t="e">
            <v>#N/A</v>
          </cell>
          <cell r="J623" t="e">
            <v>#DIV/0!</v>
          </cell>
          <cell r="K623">
            <v>1</v>
          </cell>
        </row>
        <row r="624">
          <cell r="B624" t="e">
            <v>#DIV/0!</v>
          </cell>
          <cell r="C624">
            <v>1</v>
          </cell>
          <cell r="E624" t="e">
            <v>#N/A</v>
          </cell>
          <cell r="G624" t="e">
            <v>#N/A</v>
          </cell>
          <cell r="J624" t="e">
            <v>#DIV/0!</v>
          </cell>
          <cell r="K624">
            <v>1</v>
          </cell>
        </row>
        <row r="625">
          <cell r="B625" t="e">
            <v>#DIV/0!</v>
          </cell>
          <cell r="C625">
            <v>1</v>
          </cell>
          <cell r="E625" t="e">
            <v>#N/A</v>
          </cell>
          <cell r="G625" t="e">
            <v>#N/A</v>
          </cell>
          <cell r="J625" t="e">
            <v>#DIV/0!</v>
          </cell>
          <cell r="K625">
            <v>1</v>
          </cell>
        </row>
        <row r="626">
          <cell r="B626" t="e">
            <v>#DIV/0!</v>
          </cell>
          <cell r="C626">
            <v>1</v>
          </cell>
          <cell r="E626" t="e">
            <v>#N/A</v>
          </cell>
          <cell r="G626" t="e">
            <v>#N/A</v>
          </cell>
          <cell r="J626" t="e">
            <v>#DIV/0!</v>
          </cell>
          <cell r="K626">
            <v>1</v>
          </cell>
        </row>
        <row r="627">
          <cell r="B627" t="e">
            <v>#DIV/0!</v>
          </cell>
          <cell r="C627">
            <v>1</v>
          </cell>
          <cell r="E627" t="e">
            <v>#N/A</v>
          </cell>
          <cell r="G627" t="e">
            <v>#N/A</v>
          </cell>
          <cell r="J627" t="e">
            <v>#DIV/0!</v>
          </cell>
          <cell r="K627">
            <v>1</v>
          </cell>
        </row>
        <row r="628">
          <cell r="B628" t="e">
            <v>#DIV/0!</v>
          </cell>
          <cell r="C628">
            <v>1</v>
          </cell>
          <cell r="E628" t="e">
            <v>#N/A</v>
          </cell>
          <cell r="G628" t="e">
            <v>#N/A</v>
          </cell>
          <cell r="J628" t="e">
            <v>#DIV/0!</v>
          </cell>
          <cell r="K628">
            <v>1</v>
          </cell>
        </row>
        <row r="629">
          <cell r="B629" t="e">
            <v>#DIV/0!</v>
          </cell>
          <cell r="C629">
            <v>1</v>
          </cell>
          <cell r="E629" t="e">
            <v>#N/A</v>
          </cell>
          <cell r="G629" t="e">
            <v>#N/A</v>
          </cell>
          <cell r="J629" t="e">
            <v>#DIV/0!</v>
          </cell>
          <cell r="K629">
            <v>1</v>
          </cell>
        </row>
        <row r="630">
          <cell r="B630" t="e">
            <v>#DIV/0!</v>
          </cell>
          <cell r="C630">
            <v>1</v>
          </cell>
          <cell r="E630" t="e">
            <v>#N/A</v>
          </cell>
          <cell r="G630" t="e">
            <v>#N/A</v>
          </cell>
          <cell r="J630" t="e">
            <v>#DIV/0!</v>
          </cell>
          <cell r="K630">
            <v>1</v>
          </cell>
        </row>
        <row r="631">
          <cell r="B631" t="e">
            <v>#DIV/0!</v>
          </cell>
          <cell r="C631">
            <v>1</v>
          </cell>
          <cell r="E631" t="e">
            <v>#N/A</v>
          </cell>
          <cell r="G631" t="e">
            <v>#N/A</v>
          </cell>
          <cell r="J631" t="e">
            <v>#DIV/0!</v>
          </cell>
          <cell r="K631">
            <v>1</v>
          </cell>
        </row>
        <row r="632">
          <cell r="B632" t="e">
            <v>#DIV/0!</v>
          </cell>
          <cell r="C632">
            <v>1</v>
          </cell>
          <cell r="E632" t="e">
            <v>#N/A</v>
          </cell>
          <cell r="G632" t="e">
            <v>#N/A</v>
          </cell>
          <cell r="J632" t="e">
            <v>#DIV/0!</v>
          </cell>
          <cell r="K632">
            <v>1</v>
          </cell>
        </row>
        <row r="633">
          <cell r="B633" t="e">
            <v>#DIV/0!</v>
          </cell>
          <cell r="C633">
            <v>1</v>
          </cell>
          <cell r="E633" t="e">
            <v>#N/A</v>
          </cell>
          <cell r="G633" t="e">
            <v>#N/A</v>
          </cell>
          <cell r="J633" t="e">
            <v>#DIV/0!</v>
          </cell>
          <cell r="K633">
            <v>1</v>
          </cell>
        </row>
        <row r="634">
          <cell r="B634" t="e">
            <v>#DIV/0!</v>
          </cell>
          <cell r="C634">
            <v>1</v>
          </cell>
          <cell r="E634" t="e">
            <v>#N/A</v>
          </cell>
          <cell r="G634" t="e">
            <v>#N/A</v>
          </cell>
          <cell r="J634" t="e">
            <v>#DIV/0!</v>
          </cell>
          <cell r="K634">
            <v>1</v>
          </cell>
        </row>
        <row r="635">
          <cell r="B635" t="e">
            <v>#DIV/0!</v>
          </cell>
          <cell r="C635">
            <v>1</v>
          </cell>
          <cell r="E635" t="e">
            <v>#N/A</v>
          </cell>
          <cell r="G635" t="e">
            <v>#N/A</v>
          </cell>
          <cell r="J635" t="e">
            <v>#DIV/0!</v>
          </cell>
          <cell r="K635">
            <v>1</v>
          </cell>
        </row>
        <row r="636">
          <cell r="B636" t="e">
            <v>#DIV/0!</v>
          </cell>
          <cell r="C636">
            <v>1</v>
          </cell>
          <cell r="E636" t="e">
            <v>#N/A</v>
          </cell>
          <cell r="G636" t="e">
            <v>#N/A</v>
          </cell>
          <cell r="J636" t="e">
            <v>#DIV/0!</v>
          </cell>
          <cell r="K636">
            <v>1</v>
          </cell>
        </row>
        <row r="637">
          <cell r="B637" t="e">
            <v>#DIV/0!</v>
          </cell>
          <cell r="C637">
            <v>1</v>
          </cell>
          <cell r="E637" t="e">
            <v>#N/A</v>
          </cell>
          <cell r="G637" t="e">
            <v>#N/A</v>
          </cell>
          <cell r="J637" t="e">
            <v>#DIV/0!</v>
          </cell>
          <cell r="K637">
            <v>1</v>
          </cell>
        </row>
        <row r="638">
          <cell r="B638" t="e">
            <v>#DIV/0!</v>
          </cell>
          <cell r="C638">
            <v>1</v>
          </cell>
          <cell r="E638" t="e">
            <v>#N/A</v>
          </cell>
          <cell r="G638" t="e">
            <v>#N/A</v>
          </cell>
          <cell r="J638" t="e">
            <v>#DIV/0!</v>
          </cell>
          <cell r="K638">
            <v>1</v>
          </cell>
        </row>
        <row r="639">
          <cell r="B639" t="e">
            <v>#DIV/0!</v>
          </cell>
          <cell r="C639">
            <v>1</v>
          </cell>
          <cell r="E639" t="e">
            <v>#N/A</v>
          </cell>
          <cell r="G639" t="e">
            <v>#N/A</v>
          </cell>
          <cell r="J639" t="e">
            <v>#DIV/0!</v>
          </cell>
          <cell r="K639">
            <v>1</v>
          </cell>
        </row>
        <row r="640">
          <cell r="B640" t="e">
            <v>#DIV/0!</v>
          </cell>
          <cell r="C640">
            <v>1</v>
          </cell>
          <cell r="E640" t="e">
            <v>#N/A</v>
          </cell>
          <cell r="G640" t="e">
            <v>#N/A</v>
          </cell>
          <cell r="J640" t="e">
            <v>#DIV/0!</v>
          </cell>
          <cell r="K640">
            <v>1</v>
          </cell>
        </row>
        <row r="641">
          <cell r="B641" t="e">
            <v>#DIV/0!</v>
          </cell>
          <cell r="C641">
            <v>1</v>
          </cell>
          <cell r="E641" t="e">
            <v>#N/A</v>
          </cell>
          <cell r="G641" t="e">
            <v>#N/A</v>
          </cell>
          <cell r="J641" t="e">
            <v>#DIV/0!</v>
          </cell>
          <cell r="K641">
            <v>1</v>
          </cell>
        </row>
        <row r="642">
          <cell r="B642" t="e">
            <v>#DIV/0!</v>
          </cell>
          <cell r="C642">
            <v>1</v>
          </cell>
          <cell r="E642" t="e">
            <v>#N/A</v>
          </cell>
          <cell r="G642" t="e">
            <v>#N/A</v>
          </cell>
          <cell r="J642" t="e">
            <v>#DIV/0!</v>
          </cell>
          <cell r="K642">
            <v>1</v>
          </cell>
        </row>
        <row r="643">
          <cell r="B643" t="e">
            <v>#DIV/0!</v>
          </cell>
          <cell r="C643">
            <v>1</v>
          </cell>
          <cell r="E643" t="e">
            <v>#N/A</v>
          </cell>
          <cell r="G643" t="e">
            <v>#N/A</v>
          </cell>
          <cell r="J643" t="e">
            <v>#DIV/0!</v>
          </cell>
          <cell r="K643">
            <v>1</v>
          </cell>
        </row>
        <row r="644">
          <cell r="B644" t="e">
            <v>#DIV/0!</v>
          </cell>
          <cell r="C644">
            <v>1</v>
          </cell>
          <cell r="E644" t="e">
            <v>#N/A</v>
          </cell>
          <cell r="G644" t="e">
            <v>#N/A</v>
          </cell>
          <cell r="J644" t="e">
            <v>#DIV/0!</v>
          </cell>
          <cell r="K644">
            <v>1</v>
          </cell>
        </row>
        <row r="645">
          <cell r="B645" t="e">
            <v>#DIV/0!</v>
          </cell>
          <cell r="C645">
            <v>1</v>
          </cell>
          <cell r="E645" t="e">
            <v>#N/A</v>
          </cell>
          <cell r="G645" t="e">
            <v>#N/A</v>
          </cell>
          <cell r="J645" t="e">
            <v>#DIV/0!</v>
          </cell>
          <cell r="K645">
            <v>1</v>
          </cell>
        </row>
        <row r="646">
          <cell r="B646" t="e">
            <v>#DIV/0!</v>
          </cell>
          <cell r="C646">
            <v>1</v>
          </cell>
          <cell r="E646" t="e">
            <v>#N/A</v>
          </cell>
          <cell r="G646" t="e">
            <v>#N/A</v>
          </cell>
          <cell r="J646" t="e">
            <v>#DIV/0!</v>
          </cell>
          <cell r="K646">
            <v>1</v>
          </cell>
        </row>
        <row r="647">
          <cell r="B647" t="e">
            <v>#DIV/0!</v>
          </cell>
          <cell r="C647">
            <v>1</v>
          </cell>
          <cell r="E647" t="e">
            <v>#N/A</v>
          </cell>
          <cell r="G647" t="e">
            <v>#N/A</v>
          </cell>
          <cell r="J647" t="e">
            <v>#DIV/0!</v>
          </cell>
          <cell r="K647">
            <v>1</v>
          </cell>
        </row>
        <row r="648">
          <cell r="B648" t="e">
            <v>#DIV/0!</v>
          </cell>
          <cell r="C648">
            <v>1</v>
          </cell>
          <cell r="E648" t="e">
            <v>#N/A</v>
          </cell>
          <cell r="G648" t="e">
            <v>#N/A</v>
          </cell>
          <cell r="J648" t="e">
            <v>#DIV/0!</v>
          </cell>
          <cell r="K648">
            <v>1</v>
          </cell>
        </row>
        <row r="649">
          <cell r="B649" t="e">
            <v>#DIV/0!</v>
          </cell>
          <cell r="C649">
            <v>1</v>
          </cell>
          <cell r="E649" t="e">
            <v>#N/A</v>
          </cell>
          <cell r="G649" t="e">
            <v>#N/A</v>
          </cell>
          <cell r="J649" t="e">
            <v>#DIV/0!</v>
          </cell>
          <cell r="K649">
            <v>1</v>
          </cell>
        </row>
        <row r="650">
          <cell r="B650" t="e">
            <v>#DIV/0!</v>
          </cell>
          <cell r="C650">
            <v>1</v>
          </cell>
          <cell r="E650" t="e">
            <v>#N/A</v>
          </cell>
          <cell r="G650" t="e">
            <v>#N/A</v>
          </cell>
          <cell r="J650" t="e">
            <v>#DIV/0!</v>
          </cell>
          <cell r="K650">
            <v>1</v>
          </cell>
        </row>
        <row r="651">
          <cell r="B651" t="e">
            <v>#DIV/0!</v>
          </cell>
          <cell r="C651">
            <v>1</v>
          </cell>
          <cell r="E651" t="e">
            <v>#N/A</v>
          </cell>
          <cell r="G651" t="e">
            <v>#N/A</v>
          </cell>
          <cell r="J651" t="e">
            <v>#DIV/0!</v>
          </cell>
          <cell r="K651">
            <v>1</v>
          </cell>
        </row>
        <row r="652">
          <cell r="B652" t="e">
            <v>#DIV/0!</v>
          </cell>
          <cell r="C652">
            <v>1</v>
          </cell>
          <cell r="E652" t="e">
            <v>#N/A</v>
          </cell>
          <cell r="G652" t="e">
            <v>#N/A</v>
          </cell>
          <cell r="J652" t="e">
            <v>#DIV/0!</v>
          </cell>
          <cell r="K652">
            <v>1</v>
          </cell>
        </row>
        <row r="653">
          <cell r="B653" t="e">
            <v>#DIV/0!</v>
          </cell>
          <cell r="C653">
            <v>1</v>
          </cell>
          <cell r="E653" t="e">
            <v>#N/A</v>
          </cell>
          <cell r="G653" t="e">
            <v>#N/A</v>
          </cell>
          <cell r="J653" t="e">
            <v>#DIV/0!</v>
          </cell>
          <cell r="K653">
            <v>1</v>
          </cell>
        </row>
        <row r="654">
          <cell r="B654" t="e">
            <v>#DIV/0!</v>
          </cell>
          <cell r="C654">
            <v>1</v>
          </cell>
          <cell r="E654" t="e">
            <v>#N/A</v>
          </cell>
          <cell r="G654" t="e">
            <v>#N/A</v>
          </cell>
          <cell r="J654" t="e">
            <v>#DIV/0!</v>
          </cell>
          <cell r="K654">
            <v>1</v>
          </cell>
        </row>
        <row r="655">
          <cell r="B655" t="e">
            <v>#DIV/0!</v>
          </cell>
          <cell r="C655">
            <v>1</v>
          </cell>
          <cell r="E655" t="e">
            <v>#N/A</v>
          </cell>
          <cell r="G655" t="e">
            <v>#N/A</v>
          </cell>
          <cell r="J655" t="e">
            <v>#DIV/0!</v>
          </cell>
          <cell r="K655">
            <v>1</v>
          </cell>
        </row>
        <row r="656">
          <cell r="B656" t="e">
            <v>#DIV/0!</v>
          </cell>
          <cell r="C656">
            <v>1</v>
          </cell>
          <cell r="E656" t="e">
            <v>#N/A</v>
          </cell>
          <cell r="G656" t="e">
            <v>#N/A</v>
          </cell>
          <cell r="J656" t="e">
            <v>#DIV/0!</v>
          </cell>
          <cell r="K656">
            <v>1</v>
          </cell>
        </row>
        <row r="657">
          <cell r="B657" t="e">
            <v>#DIV/0!</v>
          </cell>
          <cell r="C657">
            <v>1</v>
          </cell>
          <cell r="E657" t="e">
            <v>#N/A</v>
          </cell>
          <cell r="G657" t="e">
            <v>#N/A</v>
          </cell>
          <cell r="J657" t="e">
            <v>#DIV/0!</v>
          </cell>
          <cell r="K657">
            <v>1</v>
          </cell>
        </row>
        <row r="658">
          <cell r="B658" t="e">
            <v>#DIV/0!</v>
          </cell>
          <cell r="C658">
            <v>1</v>
          </cell>
          <cell r="E658" t="e">
            <v>#N/A</v>
          </cell>
          <cell r="G658" t="e">
            <v>#N/A</v>
          </cell>
          <cell r="J658" t="e">
            <v>#DIV/0!</v>
          </cell>
          <cell r="K658">
            <v>1</v>
          </cell>
        </row>
        <row r="659">
          <cell r="B659" t="e">
            <v>#DIV/0!</v>
          </cell>
          <cell r="C659">
            <v>1</v>
          </cell>
          <cell r="E659" t="e">
            <v>#N/A</v>
          </cell>
          <cell r="G659" t="e">
            <v>#N/A</v>
          </cell>
          <cell r="J659" t="e">
            <v>#DIV/0!</v>
          </cell>
          <cell r="K659">
            <v>1</v>
          </cell>
        </row>
        <row r="660">
          <cell r="B660" t="e">
            <v>#DIV/0!</v>
          </cell>
          <cell r="C660">
            <v>1</v>
          </cell>
          <cell r="E660" t="e">
            <v>#N/A</v>
          </cell>
          <cell r="G660" t="e">
            <v>#N/A</v>
          </cell>
          <cell r="J660" t="e">
            <v>#DIV/0!</v>
          </cell>
          <cell r="K660">
            <v>1</v>
          </cell>
        </row>
        <row r="661">
          <cell r="B661" t="e">
            <v>#DIV/0!</v>
          </cell>
          <cell r="C661">
            <v>1</v>
          </cell>
          <cell r="E661" t="e">
            <v>#N/A</v>
          </cell>
          <cell r="G661" t="e">
            <v>#N/A</v>
          </cell>
          <cell r="J661" t="e">
            <v>#DIV/0!</v>
          </cell>
          <cell r="K661">
            <v>1</v>
          </cell>
        </row>
        <row r="662">
          <cell r="B662" t="e">
            <v>#DIV/0!</v>
          </cell>
          <cell r="C662">
            <v>1</v>
          </cell>
          <cell r="E662" t="e">
            <v>#N/A</v>
          </cell>
          <cell r="G662" t="e">
            <v>#N/A</v>
          </cell>
          <cell r="J662" t="e">
            <v>#DIV/0!</v>
          </cell>
          <cell r="K662">
            <v>1</v>
          </cell>
        </row>
        <row r="663">
          <cell r="B663" t="e">
            <v>#DIV/0!</v>
          </cell>
          <cell r="C663">
            <v>1</v>
          </cell>
          <cell r="E663" t="e">
            <v>#N/A</v>
          </cell>
          <cell r="G663" t="e">
            <v>#N/A</v>
          </cell>
          <cell r="J663" t="e">
            <v>#DIV/0!</v>
          </cell>
          <cell r="K663">
            <v>1</v>
          </cell>
        </row>
        <row r="664">
          <cell r="B664" t="e">
            <v>#DIV/0!</v>
          </cell>
          <cell r="C664">
            <v>1</v>
          </cell>
          <cell r="E664" t="e">
            <v>#N/A</v>
          </cell>
          <cell r="G664" t="e">
            <v>#N/A</v>
          </cell>
          <cell r="J664" t="e">
            <v>#DIV/0!</v>
          </cell>
          <cell r="K664">
            <v>1</v>
          </cell>
        </row>
        <row r="665">
          <cell r="B665" t="e">
            <v>#DIV/0!</v>
          </cell>
          <cell r="C665">
            <v>1</v>
          </cell>
          <cell r="E665" t="e">
            <v>#N/A</v>
          </cell>
          <cell r="G665" t="e">
            <v>#N/A</v>
          </cell>
          <cell r="J665" t="e">
            <v>#DIV/0!</v>
          </cell>
          <cell r="K665">
            <v>1</v>
          </cell>
        </row>
        <row r="666">
          <cell r="B666" t="e">
            <v>#DIV/0!</v>
          </cell>
          <cell r="C666">
            <v>1</v>
          </cell>
          <cell r="E666" t="e">
            <v>#N/A</v>
          </cell>
          <cell r="G666" t="e">
            <v>#N/A</v>
          </cell>
          <cell r="J666" t="e">
            <v>#DIV/0!</v>
          </cell>
          <cell r="K666">
            <v>1</v>
          </cell>
        </row>
        <row r="667">
          <cell r="B667" t="e">
            <v>#DIV/0!</v>
          </cell>
          <cell r="C667">
            <v>1</v>
          </cell>
          <cell r="E667" t="e">
            <v>#N/A</v>
          </cell>
          <cell r="G667" t="e">
            <v>#N/A</v>
          </cell>
          <cell r="J667" t="e">
            <v>#DIV/0!</v>
          </cell>
          <cell r="K667">
            <v>1</v>
          </cell>
        </row>
        <row r="668">
          <cell r="B668" t="e">
            <v>#DIV/0!</v>
          </cell>
          <cell r="C668">
            <v>1</v>
          </cell>
          <cell r="E668" t="e">
            <v>#N/A</v>
          </cell>
          <cell r="G668" t="e">
            <v>#N/A</v>
          </cell>
          <cell r="J668" t="e">
            <v>#DIV/0!</v>
          </cell>
          <cell r="K668">
            <v>1</v>
          </cell>
        </row>
        <row r="669">
          <cell r="B669" t="e">
            <v>#DIV/0!</v>
          </cell>
          <cell r="C669">
            <v>1</v>
          </cell>
          <cell r="E669" t="e">
            <v>#N/A</v>
          </cell>
          <cell r="G669" t="e">
            <v>#N/A</v>
          </cell>
          <cell r="J669" t="e">
            <v>#DIV/0!</v>
          </cell>
          <cell r="K669">
            <v>1</v>
          </cell>
        </row>
        <row r="670">
          <cell r="B670" t="e">
            <v>#DIV/0!</v>
          </cell>
          <cell r="C670">
            <v>1</v>
          </cell>
          <cell r="E670" t="e">
            <v>#N/A</v>
          </cell>
          <cell r="G670" t="e">
            <v>#N/A</v>
          </cell>
          <cell r="J670" t="e">
            <v>#DIV/0!</v>
          </cell>
          <cell r="K670">
            <v>1</v>
          </cell>
        </row>
        <row r="671">
          <cell r="B671" t="e">
            <v>#DIV/0!</v>
          </cell>
          <cell r="C671">
            <v>1</v>
          </cell>
          <cell r="E671" t="e">
            <v>#N/A</v>
          </cell>
          <cell r="G671" t="e">
            <v>#N/A</v>
          </cell>
          <cell r="J671" t="e">
            <v>#DIV/0!</v>
          </cell>
          <cell r="K671">
            <v>1</v>
          </cell>
        </row>
        <row r="672">
          <cell r="B672" t="e">
            <v>#DIV/0!</v>
          </cell>
          <cell r="C672">
            <v>1</v>
          </cell>
          <cell r="E672" t="e">
            <v>#N/A</v>
          </cell>
          <cell r="G672" t="e">
            <v>#N/A</v>
          </cell>
          <cell r="J672" t="e">
            <v>#DIV/0!</v>
          </cell>
          <cell r="K672">
            <v>1</v>
          </cell>
        </row>
        <row r="673">
          <cell r="B673" t="e">
            <v>#DIV/0!</v>
          </cell>
          <cell r="C673">
            <v>1</v>
          </cell>
          <cell r="E673" t="e">
            <v>#N/A</v>
          </cell>
          <cell r="G673" t="e">
            <v>#N/A</v>
          </cell>
          <cell r="J673" t="e">
            <v>#DIV/0!</v>
          </cell>
          <cell r="K673">
            <v>1</v>
          </cell>
        </row>
        <row r="674">
          <cell r="B674" t="e">
            <v>#DIV/0!</v>
          </cell>
          <cell r="C674">
            <v>1</v>
          </cell>
          <cell r="E674" t="e">
            <v>#N/A</v>
          </cell>
          <cell r="G674" t="e">
            <v>#N/A</v>
          </cell>
          <cell r="J674" t="e">
            <v>#DIV/0!</v>
          </cell>
          <cell r="K674">
            <v>1</v>
          </cell>
        </row>
        <row r="675">
          <cell r="B675" t="e">
            <v>#DIV/0!</v>
          </cell>
          <cell r="C675">
            <v>1</v>
          </cell>
          <cell r="E675" t="e">
            <v>#N/A</v>
          </cell>
          <cell r="G675" t="e">
            <v>#N/A</v>
          </cell>
          <cell r="J675" t="e">
            <v>#DIV/0!</v>
          </cell>
          <cell r="K675">
            <v>1</v>
          </cell>
        </row>
        <row r="676">
          <cell r="B676" t="e">
            <v>#DIV/0!</v>
          </cell>
          <cell r="C676">
            <v>1</v>
          </cell>
          <cell r="E676" t="e">
            <v>#N/A</v>
          </cell>
          <cell r="G676" t="e">
            <v>#N/A</v>
          </cell>
          <cell r="J676" t="e">
            <v>#DIV/0!</v>
          </cell>
          <cell r="K676">
            <v>1</v>
          </cell>
        </row>
        <row r="677">
          <cell r="B677" t="e">
            <v>#DIV/0!</v>
          </cell>
          <cell r="C677">
            <v>1</v>
          </cell>
          <cell r="E677" t="e">
            <v>#N/A</v>
          </cell>
          <cell r="G677" t="e">
            <v>#N/A</v>
          </cell>
          <cell r="J677" t="e">
            <v>#DIV/0!</v>
          </cell>
          <cell r="K677">
            <v>1</v>
          </cell>
        </row>
        <row r="678">
          <cell r="B678" t="e">
            <v>#DIV/0!</v>
          </cell>
          <cell r="C678">
            <v>1</v>
          </cell>
          <cell r="E678" t="e">
            <v>#N/A</v>
          </cell>
          <cell r="G678" t="e">
            <v>#N/A</v>
          </cell>
          <cell r="J678" t="e">
            <v>#DIV/0!</v>
          </cell>
          <cell r="K678">
            <v>1</v>
          </cell>
        </row>
        <row r="679">
          <cell r="B679" t="e">
            <v>#DIV/0!</v>
          </cell>
          <cell r="C679">
            <v>1</v>
          </cell>
          <cell r="E679" t="e">
            <v>#N/A</v>
          </cell>
          <cell r="G679" t="e">
            <v>#N/A</v>
          </cell>
          <cell r="J679" t="e">
            <v>#DIV/0!</v>
          </cell>
          <cell r="K679">
            <v>1</v>
          </cell>
        </row>
        <row r="680">
          <cell r="B680" t="e">
            <v>#DIV/0!</v>
          </cell>
          <cell r="C680">
            <v>1</v>
          </cell>
          <cell r="E680" t="e">
            <v>#N/A</v>
          </cell>
          <cell r="G680" t="e">
            <v>#N/A</v>
          </cell>
          <cell r="J680" t="e">
            <v>#DIV/0!</v>
          </cell>
          <cell r="K680">
            <v>1</v>
          </cell>
        </row>
        <row r="681">
          <cell r="B681" t="e">
            <v>#DIV/0!</v>
          </cell>
          <cell r="C681">
            <v>1</v>
          </cell>
          <cell r="E681" t="e">
            <v>#N/A</v>
          </cell>
          <cell r="G681" t="e">
            <v>#N/A</v>
          </cell>
          <cell r="J681" t="e">
            <v>#DIV/0!</v>
          </cell>
          <cell r="K681">
            <v>1</v>
          </cell>
        </row>
        <row r="682">
          <cell r="B682" t="e">
            <v>#DIV/0!</v>
          </cell>
          <cell r="C682">
            <v>1</v>
          </cell>
          <cell r="E682" t="e">
            <v>#N/A</v>
          </cell>
          <cell r="G682" t="e">
            <v>#N/A</v>
          </cell>
          <cell r="J682" t="e">
            <v>#DIV/0!</v>
          </cell>
          <cell r="K682">
            <v>1</v>
          </cell>
        </row>
        <row r="683">
          <cell r="B683" t="e">
            <v>#DIV/0!</v>
          </cell>
          <cell r="C683">
            <v>1</v>
          </cell>
          <cell r="E683" t="e">
            <v>#N/A</v>
          </cell>
          <cell r="G683" t="e">
            <v>#N/A</v>
          </cell>
          <cell r="J683" t="e">
            <v>#DIV/0!</v>
          </cell>
          <cell r="K683">
            <v>1</v>
          </cell>
        </row>
        <row r="684">
          <cell r="B684" t="e">
            <v>#DIV/0!</v>
          </cell>
          <cell r="C684">
            <v>1</v>
          </cell>
          <cell r="E684" t="e">
            <v>#N/A</v>
          </cell>
          <cell r="G684" t="e">
            <v>#N/A</v>
          </cell>
          <cell r="J684" t="e">
            <v>#DIV/0!</v>
          </cell>
          <cell r="K684">
            <v>1</v>
          </cell>
        </row>
        <row r="685">
          <cell r="B685" t="e">
            <v>#DIV/0!</v>
          </cell>
          <cell r="C685">
            <v>1</v>
          </cell>
          <cell r="E685" t="e">
            <v>#N/A</v>
          </cell>
          <cell r="G685" t="e">
            <v>#N/A</v>
          </cell>
          <cell r="J685" t="e">
            <v>#DIV/0!</v>
          </cell>
          <cell r="K685">
            <v>1</v>
          </cell>
        </row>
        <row r="686">
          <cell r="B686" t="e">
            <v>#DIV/0!</v>
          </cell>
          <cell r="C686">
            <v>1</v>
          </cell>
          <cell r="E686" t="e">
            <v>#N/A</v>
          </cell>
          <cell r="G686" t="e">
            <v>#N/A</v>
          </cell>
          <cell r="J686" t="e">
            <v>#DIV/0!</v>
          </cell>
          <cell r="K686">
            <v>1</v>
          </cell>
        </row>
        <row r="687">
          <cell r="B687" t="e">
            <v>#DIV/0!</v>
          </cell>
          <cell r="C687">
            <v>1</v>
          </cell>
          <cell r="E687" t="e">
            <v>#N/A</v>
          </cell>
          <cell r="G687" t="e">
            <v>#N/A</v>
          </cell>
          <cell r="J687" t="e">
            <v>#DIV/0!</v>
          </cell>
          <cell r="K687">
            <v>1</v>
          </cell>
        </row>
        <row r="688">
          <cell r="B688" t="e">
            <v>#DIV/0!</v>
          </cell>
          <cell r="C688">
            <v>1</v>
          </cell>
          <cell r="E688" t="e">
            <v>#N/A</v>
          </cell>
          <cell r="G688" t="e">
            <v>#N/A</v>
          </cell>
          <cell r="J688" t="e">
            <v>#DIV/0!</v>
          </cell>
          <cell r="K688">
            <v>1</v>
          </cell>
        </row>
        <row r="689">
          <cell r="B689" t="e">
            <v>#DIV/0!</v>
          </cell>
          <cell r="C689">
            <v>1</v>
          </cell>
          <cell r="E689" t="e">
            <v>#N/A</v>
          </cell>
          <cell r="G689" t="e">
            <v>#N/A</v>
          </cell>
          <cell r="J689" t="e">
            <v>#DIV/0!</v>
          </cell>
          <cell r="K689">
            <v>1</v>
          </cell>
        </row>
        <row r="690">
          <cell r="B690" t="e">
            <v>#DIV/0!</v>
          </cell>
          <cell r="C690">
            <v>1</v>
          </cell>
          <cell r="E690" t="e">
            <v>#N/A</v>
          </cell>
          <cell r="G690" t="e">
            <v>#N/A</v>
          </cell>
          <cell r="J690" t="e">
            <v>#DIV/0!</v>
          </cell>
          <cell r="K690">
            <v>1</v>
          </cell>
        </row>
        <row r="691">
          <cell r="B691" t="e">
            <v>#DIV/0!</v>
          </cell>
          <cell r="C691">
            <v>1</v>
          </cell>
          <cell r="E691" t="e">
            <v>#N/A</v>
          </cell>
          <cell r="G691" t="e">
            <v>#N/A</v>
          </cell>
          <cell r="J691" t="e">
            <v>#DIV/0!</v>
          </cell>
          <cell r="K691">
            <v>1</v>
          </cell>
        </row>
        <row r="692">
          <cell r="B692" t="e">
            <v>#DIV/0!</v>
          </cell>
          <cell r="C692">
            <v>1</v>
          </cell>
          <cell r="E692" t="e">
            <v>#N/A</v>
          </cell>
          <cell r="G692" t="e">
            <v>#N/A</v>
          </cell>
          <cell r="J692" t="e">
            <v>#DIV/0!</v>
          </cell>
          <cell r="K692">
            <v>1</v>
          </cell>
        </row>
        <row r="693">
          <cell r="B693" t="e">
            <v>#DIV/0!</v>
          </cell>
          <cell r="C693">
            <v>1</v>
          </cell>
          <cell r="E693" t="e">
            <v>#N/A</v>
          </cell>
          <cell r="G693" t="e">
            <v>#N/A</v>
          </cell>
          <cell r="J693" t="e">
            <v>#DIV/0!</v>
          </cell>
          <cell r="K693">
            <v>1</v>
          </cell>
        </row>
        <row r="694">
          <cell r="B694" t="e">
            <v>#DIV/0!</v>
          </cell>
          <cell r="C694">
            <v>1</v>
          </cell>
          <cell r="E694" t="e">
            <v>#N/A</v>
          </cell>
          <cell r="G694" t="e">
            <v>#N/A</v>
          </cell>
          <cell r="J694" t="e">
            <v>#DIV/0!</v>
          </cell>
          <cell r="K694">
            <v>1</v>
          </cell>
        </row>
        <row r="695">
          <cell r="B695" t="e">
            <v>#DIV/0!</v>
          </cell>
          <cell r="C695">
            <v>1</v>
          </cell>
          <cell r="E695" t="e">
            <v>#N/A</v>
          </cell>
          <cell r="G695" t="e">
            <v>#N/A</v>
          </cell>
          <cell r="J695" t="e">
            <v>#DIV/0!</v>
          </cell>
          <cell r="K695">
            <v>1</v>
          </cell>
        </row>
        <row r="696">
          <cell r="B696" t="e">
            <v>#DIV/0!</v>
          </cell>
          <cell r="C696">
            <v>1</v>
          </cell>
          <cell r="E696" t="e">
            <v>#N/A</v>
          </cell>
          <cell r="G696" t="e">
            <v>#N/A</v>
          </cell>
          <cell r="J696" t="e">
            <v>#DIV/0!</v>
          </cell>
          <cell r="K696">
            <v>1</v>
          </cell>
        </row>
        <row r="697">
          <cell r="B697" t="e">
            <v>#DIV/0!</v>
          </cell>
          <cell r="C697">
            <v>1</v>
          </cell>
          <cell r="E697" t="e">
            <v>#N/A</v>
          </cell>
          <cell r="G697" t="e">
            <v>#N/A</v>
          </cell>
          <cell r="J697" t="e">
            <v>#DIV/0!</v>
          </cell>
          <cell r="K697">
            <v>1</v>
          </cell>
        </row>
        <row r="698">
          <cell r="B698" t="e">
            <v>#DIV/0!</v>
          </cell>
          <cell r="C698">
            <v>1</v>
          </cell>
          <cell r="E698" t="e">
            <v>#N/A</v>
          </cell>
          <cell r="G698" t="e">
            <v>#N/A</v>
          </cell>
          <cell r="J698" t="e">
            <v>#DIV/0!</v>
          </cell>
          <cell r="K698">
            <v>1</v>
          </cell>
        </row>
        <row r="699">
          <cell r="B699" t="e">
            <v>#DIV/0!</v>
          </cell>
          <cell r="C699">
            <v>1</v>
          </cell>
          <cell r="E699" t="e">
            <v>#N/A</v>
          </cell>
          <cell r="G699" t="e">
            <v>#N/A</v>
          </cell>
          <cell r="J699" t="e">
            <v>#DIV/0!</v>
          </cell>
          <cell r="K699">
            <v>1</v>
          </cell>
        </row>
        <row r="700">
          <cell r="B700" t="e">
            <v>#DIV/0!</v>
          </cell>
          <cell r="C700">
            <v>1</v>
          </cell>
          <cell r="E700" t="e">
            <v>#N/A</v>
          </cell>
          <cell r="G700" t="e">
            <v>#N/A</v>
          </cell>
          <cell r="J700" t="e">
            <v>#DIV/0!</v>
          </cell>
          <cell r="K700">
            <v>1</v>
          </cell>
        </row>
        <row r="701">
          <cell r="B701" t="e">
            <v>#DIV/0!</v>
          </cell>
          <cell r="C701">
            <v>1</v>
          </cell>
          <cell r="E701" t="e">
            <v>#N/A</v>
          </cell>
          <cell r="G701" t="e">
            <v>#N/A</v>
          </cell>
          <cell r="J701" t="e">
            <v>#DIV/0!</v>
          </cell>
          <cell r="K701">
            <v>1</v>
          </cell>
        </row>
        <row r="702">
          <cell r="B702" t="e">
            <v>#DIV/0!</v>
          </cell>
          <cell r="C702">
            <v>1</v>
          </cell>
          <cell r="E702" t="e">
            <v>#N/A</v>
          </cell>
          <cell r="G702" t="e">
            <v>#N/A</v>
          </cell>
          <cell r="J702" t="e">
            <v>#DIV/0!</v>
          </cell>
          <cell r="K702">
            <v>1</v>
          </cell>
        </row>
        <row r="703">
          <cell r="B703" t="e">
            <v>#DIV/0!</v>
          </cell>
          <cell r="C703">
            <v>1</v>
          </cell>
          <cell r="E703" t="e">
            <v>#N/A</v>
          </cell>
          <cell r="G703" t="e">
            <v>#N/A</v>
          </cell>
          <cell r="J703" t="e">
            <v>#DIV/0!</v>
          </cell>
          <cell r="K703">
            <v>1</v>
          </cell>
        </row>
        <row r="704">
          <cell r="B704" t="e">
            <v>#DIV/0!</v>
          </cell>
          <cell r="C704">
            <v>1</v>
          </cell>
          <cell r="E704" t="e">
            <v>#N/A</v>
          </cell>
          <cell r="G704" t="e">
            <v>#N/A</v>
          </cell>
          <cell r="J704" t="e">
            <v>#DIV/0!</v>
          </cell>
          <cell r="K704">
            <v>1</v>
          </cell>
        </row>
        <row r="705">
          <cell r="B705" t="e">
            <v>#DIV/0!</v>
          </cell>
          <cell r="C705">
            <v>1</v>
          </cell>
          <cell r="E705" t="e">
            <v>#N/A</v>
          </cell>
          <cell r="G705" t="e">
            <v>#N/A</v>
          </cell>
          <cell r="J705" t="e">
            <v>#DIV/0!</v>
          </cell>
          <cell r="K705">
            <v>1</v>
          </cell>
        </row>
        <row r="706">
          <cell r="B706" t="e">
            <v>#DIV/0!</v>
          </cell>
          <cell r="C706">
            <v>1</v>
          </cell>
          <cell r="E706" t="e">
            <v>#N/A</v>
          </cell>
          <cell r="G706" t="e">
            <v>#N/A</v>
          </cell>
          <cell r="J706" t="e">
            <v>#DIV/0!</v>
          </cell>
          <cell r="K706">
            <v>1</v>
          </cell>
        </row>
        <row r="707">
          <cell r="B707" t="e">
            <v>#DIV/0!</v>
          </cell>
          <cell r="C707">
            <v>1</v>
          </cell>
          <cell r="E707" t="e">
            <v>#N/A</v>
          </cell>
          <cell r="G707" t="e">
            <v>#N/A</v>
          </cell>
          <cell r="J707" t="e">
            <v>#DIV/0!</v>
          </cell>
          <cell r="K707">
            <v>1</v>
          </cell>
        </row>
        <row r="708">
          <cell r="B708" t="e">
            <v>#DIV/0!</v>
          </cell>
          <cell r="C708">
            <v>1</v>
          </cell>
          <cell r="E708" t="e">
            <v>#N/A</v>
          </cell>
          <cell r="G708" t="e">
            <v>#N/A</v>
          </cell>
          <cell r="J708" t="e">
            <v>#DIV/0!</v>
          </cell>
          <cell r="K708">
            <v>1</v>
          </cell>
        </row>
        <row r="709">
          <cell r="B709" t="e">
            <v>#DIV/0!</v>
          </cell>
          <cell r="C709">
            <v>1</v>
          </cell>
          <cell r="E709" t="e">
            <v>#N/A</v>
          </cell>
          <cell r="G709" t="e">
            <v>#N/A</v>
          </cell>
          <cell r="J709" t="e">
            <v>#DIV/0!</v>
          </cell>
          <cell r="K709">
            <v>1</v>
          </cell>
        </row>
        <row r="710">
          <cell r="B710" t="e">
            <v>#DIV/0!</v>
          </cell>
          <cell r="C710">
            <v>1</v>
          </cell>
          <cell r="E710" t="e">
            <v>#N/A</v>
          </cell>
          <cell r="G710" t="e">
            <v>#N/A</v>
          </cell>
          <cell r="J710" t="e">
            <v>#DIV/0!</v>
          </cell>
          <cell r="K710">
            <v>1</v>
          </cell>
        </row>
        <row r="711">
          <cell r="B711" t="e">
            <v>#DIV/0!</v>
          </cell>
          <cell r="C711">
            <v>1</v>
          </cell>
          <cell r="E711" t="e">
            <v>#N/A</v>
          </cell>
          <cell r="G711" t="e">
            <v>#N/A</v>
          </cell>
          <cell r="J711" t="e">
            <v>#DIV/0!</v>
          </cell>
          <cell r="K711">
            <v>1</v>
          </cell>
        </row>
        <row r="712">
          <cell r="B712" t="e">
            <v>#DIV/0!</v>
          </cell>
          <cell r="C712">
            <v>1</v>
          </cell>
          <cell r="E712" t="e">
            <v>#N/A</v>
          </cell>
          <cell r="G712" t="e">
            <v>#N/A</v>
          </cell>
          <cell r="J712" t="e">
            <v>#DIV/0!</v>
          </cell>
          <cell r="K712">
            <v>1</v>
          </cell>
        </row>
        <row r="713">
          <cell r="B713" t="e">
            <v>#DIV/0!</v>
          </cell>
          <cell r="C713">
            <v>1</v>
          </cell>
          <cell r="E713" t="e">
            <v>#N/A</v>
          </cell>
          <cell r="G713" t="e">
            <v>#N/A</v>
          </cell>
          <cell r="J713" t="e">
            <v>#DIV/0!</v>
          </cell>
          <cell r="K713">
            <v>1</v>
          </cell>
        </row>
        <row r="714">
          <cell r="B714" t="e">
            <v>#DIV/0!</v>
          </cell>
          <cell r="C714">
            <v>1</v>
          </cell>
          <cell r="E714" t="e">
            <v>#N/A</v>
          </cell>
          <cell r="G714" t="e">
            <v>#N/A</v>
          </cell>
          <cell r="J714" t="e">
            <v>#DIV/0!</v>
          </cell>
          <cell r="K714">
            <v>1</v>
          </cell>
        </row>
        <row r="715">
          <cell r="B715" t="e">
            <v>#DIV/0!</v>
          </cell>
          <cell r="C715">
            <v>1</v>
          </cell>
          <cell r="E715" t="e">
            <v>#N/A</v>
          </cell>
          <cell r="G715" t="e">
            <v>#N/A</v>
          </cell>
          <cell r="J715" t="e">
            <v>#DIV/0!</v>
          </cell>
          <cell r="K715">
            <v>1</v>
          </cell>
        </row>
        <row r="716">
          <cell r="B716" t="e">
            <v>#DIV/0!</v>
          </cell>
          <cell r="C716">
            <v>1</v>
          </cell>
          <cell r="E716" t="e">
            <v>#N/A</v>
          </cell>
          <cell r="G716" t="e">
            <v>#N/A</v>
          </cell>
          <cell r="J716" t="e">
            <v>#DIV/0!</v>
          </cell>
          <cell r="K716">
            <v>1</v>
          </cell>
        </row>
        <row r="717">
          <cell r="B717" t="e">
            <v>#DIV/0!</v>
          </cell>
          <cell r="C717">
            <v>1</v>
          </cell>
          <cell r="E717" t="e">
            <v>#N/A</v>
          </cell>
          <cell r="G717" t="e">
            <v>#N/A</v>
          </cell>
          <cell r="J717" t="e">
            <v>#DIV/0!</v>
          </cell>
          <cell r="K717">
            <v>1</v>
          </cell>
        </row>
        <row r="718">
          <cell r="B718" t="e">
            <v>#DIV/0!</v>
          </cell>
          <cell r="C718">
            <v>1</v>
          </cell>
          <cell r="E718" t="e">
            <v>#N/A</v>
          </cell>
          <cell r="G718" t="e">
            <v>#N/A</v>
          </cell>
          <cell r="J718" t="e">
            <v>#DIV/0!</v>
          </cell>
          <cell r="K718">
            <v>1</v>
          </cell>
        </row>
        <row r="719">
          <cell r="B719" t="e">
            <v>#DIV/0!</v>
          </cell>
          <cell r="C719">
            <v>1</v>
          </cell>
          <cell r="E719" t="e">
            <v>#N/A</v>
          </cell>
          <cell r="G719" t="e">
            <v>#N/A</v>
          </cell>
          <cell r="J719" t="e">
            <v>#DIV/0!</v>
          </cell>
          <cell r="K719">
            <v>1</v>
          </cell>
        </row>
        <row r="720">
          <cell r="B720" t="e">
            <v>#DIV/0!</v>
          </cell>
          <cell r="C720">
            <v>1</v>
          </cell>
          <cell r="E720" t="e">
            <v>#N/A</v>
          </cell>
          <cell r="G720" t="e">
            <v>#N/A</v>
          </cell>
          <cell r="J720" t="e">
            <v>#DIV/0!</v>
          </cell>
          <cell r="K720">
            <v>1</v>
          </cell>
        </row>
        <row r="721">
          <cell r="B721" t="e">
            <v>#DIV/0!</v>
          </cell>
          <cell r="C721">
            <v>1</v>
          </cell>
          <cell r="E721" t="e">
            <v>#N/A</v>
          </cell>
          <cell r="G721" t="e">
            <v>#N/A</v>
          </cell>
          <cell r="J721" t="e">
            <v>#DIV/0!</v>
          </cell>
          <cell r="K721">
            <v>1</v>
          </cell>
        </row>
        <row r="722">
          <cell r="B722" t="e">
            <v>#DIV/0!</v>
          </cell>
          <cell r="C722">
            <v>1</v>
          </cell>
          <cell r="E722" t="e">
            <v>#N/A</v>
          </cell>
          <cell r="G722" t="e">
            <v>#N/A</v>
          </cell>
          <cell r="J722" t="e">
            <v>#DIV/0!</v>
          </cell>
          <cell r="K722">
            <v>1</v>
          </cell>
        </row>
        <row r="723">
          <cell r="B723" t="e">
            <v>#DIV/0!</v>
          </cell>
          <cell r="C723">
            <v>1</v>
          </cell>
          <cell r="E723" t="e">
            <v>#N/A</v>
          </cell>
          <cell r="G723" t="e">
            <v>#N/A</v>
          </cell>
          <cell r="J723" t="e">
            <v>#DIV/0!</v>
          </cell>
          <cell r="K723">
            <v>1</v>
          </cell>
        </row>
        <row r="724">
          <cell r="B724" t="e">
            <v>#DIV/0!</v>
          </cell>
          <cell r="C724">
            <v>1</v>
          </cell>
          <cell r="E724" t="e">
            <v>#N/A</v>
          </cell>
          <cell r="G724" t="e">
            <v>#N/A</v>
          </cell>
          <cell r="J724" t="e">
            <v>#DIV/0!</v>
          </cell>
          <cell r="K724">
            <v>1</v>
          </cell>
        </row>
        <row r="725">
          <cell r="B725" t="e">
            <v>#DIV/0!</v>
          </cell>
          <cell r="C725">
            <v>1</v>
          </cell>
          <cell r="E725" t="e">
            <v>#N/A</v>
          </cell>
          <cell r="G725" t="e">
            <v>#N/A</v>
          </cell>
          <cell r="J725" t="e">
            <v>#DIV/0!</v>
          </cell>
          <cell r="K725">
            <v>1</v>
          </cell>
        </row>
        <row r="726">
          <cell r="B726" t="e">
            <v>#DIV/0!</v>
          </cell>
          <cell r="C726">
            <v>1</v>
          </cell>
          <cell r="E726" t="e">
            <v>#N/A</v>
          </cell>
          <cell r="G726" t="e">
            <v>#N/A</v>
          </cell>
          <cell r="J726" t="e">
            <v>#DIV/0!</v>
          </cell>
          <cell r="K726">
            <v>1</v>
          </cell>
        </row>
        <row r="727">
          <cell r="B727" t="e">
            <v>#DIV/0!</v>
          </cell>
          <cell r="C727">
            <v>1</v>
          </cell>
          <cell r="E727" t="e">
            <v>#N/A</v>
          </cell>
          <cell r="G727" t="e">
            <v>#N/A</v>
          </cell>
          <cell r="J727" t="e">
            <v>#DIV/0!</v>
          </cell>
          <cell r="K727">
            <v>1</v>
          </cell>
        </row>
        <row r="728">
          <cell r="B728" t="e">
            <v>#DIV/0!</v>
          </cell>
          <cell r="C728">
            <v>1</v>
          </cell>
          <cell r="E728" t="e">
            <v>#N/A</v>
          </cell>
          <cell r="G728" t="e">
            <v>#N/A</v>
          </cell>
          <cell r="J728" t="e">
            <v>#DIV/0!</v>
          </cell>
          <cell r="K728">
            <v>1</v>
          </cell>
        </row>
        <row r="729">
          <cell r="B729" t="e">
            <v>#DIV/0!</v>
          </cell>
          <cell r="C729">
            <v>1</v>
          </cell>
          <cell r="E729" t="e">
            <v>#N/A</v>
          </cell>
          <cell r="G729" t="e">
            <v>#N/A</v>
          </cell>
          <cell r="J729" t="e">
            <v>#DIV/0!</v>
          </cell>
          <cell r="K729">
            <v>1</v>
          </cell>
        </row>
        <row r="730">
          <cell r="B730" t="e">
            <v>#DIV/0!</v>
          </cell>
          <cell r="C730">
            <v>1</v>
          </cell>
          <cell r="E730" t="e">
            <v>#N/A</v>
          </cell>
          <cell r="G730" t="e">
            <v>#N/A</v>
          </cell>
          <cell r="J730" t="e">
            <v>#DIV/0!</v>
          </cell>
          <cell r="K730">
            <v>1</v>
          </cell>
        </row>
        <row r="731">
          <cell r="B731" t="e">
            <v>#DIV/0!</v>
          </cell>
          <cell r="C731">
            <v>1</v>
          </cell>
          <cell r="E731" t="e">
            <v>#N/A</v>
          </cell>
          <cell r="G731" t="e">
            <v>#N/A</v>
          </cell>
          <cell r="J731" t="e">
            <v>#DIV/0!</v>
          </cell>
          <cell r="K731">
            <v>1</v>
          </cell>
        </row>
        <row r="732">
          <cell r="B732" t="e">
            <v>#DIV/0!</v>
          </cell>
          <cell r="C732">
            <v>1</v>
          </cell>
          <cell r="E732" t="e">
            <v>#N/A</v>
          </cell>
          <cell r="G732" t="e">
            <v>#N/A</v>
          </cell>
          <cell r="J732" t="e">
            <v>#DIV/0!</v>
          </cell>
          <cell r="K732">
            <v>1</v>
          </cell>
        </row>
        <row r="733">
          <cell r="B733" t="e">
            <v>#DIV/0!</v>
          </cell>
          <cell r="C733">
            <v>1</v>
          </cell>
          <cell r="E733" t="e">
            <v>#N/A</v>
          </cell>
          <cell r="G733" t="e">
            <v>#N/A</v>
          </cell>
          <cell r="J733" t="e">
            <v>#DIV/0!</v>
          </cell>
          <cell r="K733">
            <v>1</v>
          </cell>
        </row>
        <row r="734">
          <cell r="B734" t="e">
            <v>#DIV/0!</v>
          </cell>
          <cell r="C734">
            <v>1</v>
          </cell>
          <cell r="E734" t="e">
            <v>#N/A</v>
          </cell>
          <cell r="G734" t="e">
            <v>#N/A</v>
          </cell>
          <cell r="J734" t="e">
            <v>#DIV/0!</v>
          </cell>
          <cell r="K734">
            <v>1</v>
          </cell>
        </row>
        <row r="735">
          <cell r="B735" t="e">
            <v>#DIV/0!</v>
          </cell>
          <cell r="C735">
            <v>1</v>
          </cell>
          <cell r="E735" t="e">
            <v>#N/A</v>
          </cell>
          <cell r="G735" t="e">
            <v>#N/A</v>
          </cell>
          <cell r="J735" t="e">
            <v>#DIV/0!</v>
          </cell>
          <cell r="K735">
            <v>1</v>
          </cell>
        </row>
        <row r="736">
          <cell r="B736" t="e">
            <v>#DIV/0!</v>
          </cell>
          <cell r="C736">
            <v>1</v>
          </cell>
          <cell r="E736" t="e">
            <v>#N/A</v>
          </cell>
          <cell r="G736" t="e">
            <v>#N/A</v>
          </cell>
          <cell r="J736" t="e">
            <v>#DIV/0!</v>
          </cell>
          <cell r="K736">
            <v>1</v>
          </cell>
        </row>
        <row r="737">
          <cell r="B737" t="e">
            <v>#DIV/0!</v>
          </cell>
          <cell r="C737">
            <v>1</v>
          </cell>
          <cell r="E737" t="e">
            <v>#N/A</v>
          </cell>
          <cell r="G737" t="e">
            <v>#N/A</v>
          </cell>
          <cell r="J737" t="e">
            <v>#DIV/0!</v>
          </cell>
          <cell r="K737">
            <v>1</v>
          </cell>
        </row>
        <row r="738">
          <cell r="B738" t="e">
            <v>#DIV/0!</v>
          </cell>
          <cell r="C738">
            <v>1</v>
          </cell>
          <cell r="E738" t="e">
            <v>#N/A</v>
          </cell>
          <cell r="G738" t="e">
            <v>#N/A</v>
          </cell>
          <cell r="J738" t="e">
            <v>#DIV/0!</v>
          </cell>
          <cell r="K738">
            <v>1</v>
          </cell>
        </row>
        <row r="739">
          <cell r="B739" t="e">
            <v>#DIV/0!</v>
          </cell>
          <cell r="C739">
            <v>1</v>
          </cell>
          <cell r="E739" t="e">
            <v>#N/A</v>
          </cell>
          <cell r="G739" t="e">
            <v>#N/A</v>
          </cell>
          <cell r="J739" t="e">
            <v>#DIV/0!</v>
          </cell>
          <cell r="K739">
            <v>1</v>
          </cell>
        </row>
        <row r="740">
          <cell r="B740" t="e">
            <v>#DIV/0!</v>
          </cell>
          <cell r="C740">
            <v>1</v>
          </cell>
          <cell r="E740" t="e">
            <v>#N/A</v>
          </cell>
          <cell r="G740" t="e">
            <v>#N/A</v>
          </cell>
          <cell r="J740" t="e">
            <v>#DIV/0!</v>
          </cell>
          <cell r="K740">
            <v>1</v>
          </cell>
        </row>
        <row r="741">
          <cell r="B741" t="e">
            <v>#DIV/0!</v>
          </cell>
          <cell r="C741">
            <v>1</v>
          </cell>
          <cell r="E741" t="e">
            <v>#N/A</v>
          </cell>
          <cell r="G741" t="e">
            <v>#N/A</v>
          </cell>
          <cell r="J741" t="e">
            <v>#DIV/0!</v>
          </cell>
          <cell r="K741">
            <v>1</v>
          </cell>
        </row>
        <row r="742">
          <cell r="B742" t="e">
            <v>#DIV/0!</v>
          </cell>
          <cell r="C742">
            <v>1</v>
          </cell>
          <cell r="E742" t="e">
            <v>#N/A</v>
          </cell>
          <cell r="G742" t="e">
            <v>#N/A</v>
          </cell>
          <cell r="J742" t="e">
            <v>#DIV/0!</v>
          </cell>
          <cell r="K742">
            <v>1</v>
          </cell>
        </row>
        <row r="743">
          <cell r="B743" t="e">
            <v>#DIV/0!</v>
          </cell>
          <cell r="C743">
            <v>1</v>
          </cell>
          <cell r="E743" t="e">
            <v>#N/A</v>
          </cell>
          <cell r="G743" t="e">
            <v>#N/A</v>
          </cell>
          <cell r="J743" t="e">
            <v>#DIV/0!</v>
          </cell>
          <cell r="K743">
            <v>1</v>
          </cell>
        </row>
        <row r="744">
          <cell r="B744" t="e">
            <v>#DIV/0!</v>
          </cell>
          <cell r="C744">
            <v>1</v>
          </cell>
          <cell r="E744" t="e">
            <v>#N/A</v>
          </cell>
          <cell r="G744" t="e">
            <v>#N/A</v>
          </cell>
          <cell r="J744" t="e">
            <v>#DIV/0!</v>
          </cell>
          <cell r="K744">
            <v>1</v>
          </cell>
        </row>
        <row r="745">
          <cell r="B745" t="e">
            <v>#DIV/0!</v>
          </cell>
          <cell r="C745">
            <v>1</v>
          </cell>
          <cell r="E745" t="e">
            <v>#N/A</v>
          </cell>
          <cell r="G745" t="e">
            <v>#N/A</v>
          </cell>
          <cell r="J745" t="e">
            <v>#DIV/0!</v>
          </cell>
          <cell r="K745">
            <v>1</v>
          </cell>
        </row>
        <row r="746">
          <cell r="B746" t="e">
            <v>#DIV/0!</v>
          </cell>
          <cell r="C746">
            <v>1</v>
          </cell>
          <cell r="E746" t="e">
            <v>#N/A</v>
          </cell>
          <cell r="G746" t="e">
            <v>#N/A</v>
          </cell>
          <cell r="J746" t="e">
            <v>#DIV/0!</v>
          </cell>
          <cell r="K746">
            <v>1</v>
          </cell>
        </row>
        <row r="747">
          <cell r="B747" t="e">
            <v>#DIV/0!</v>
          </cell>
          <cell r="C747">
            <v>1</v>
          </cell>
          <cell r="E747" t="e">
            <v>#N/A</v>
          </cell>
          <cell r="G747" t="e">
            <v>#N/A</v>
          </cell>
          <cell r="J747" t="e">
            <v>#DIV/0!</v>
          </cell>
          <cell r="K747">
            <v>1</v>
          </cell>
        </row>
        <row r="748">
          <cell r="B748" t="e">
            <v>#DIV/0!</v>
          </cell>
          <cell r="C748">
            <v>1</v>
          </cell>
          <cell r="E748" t="e">
            <v>#N/A</v>
          </cell>
          <cell r="G748" t="e">
            <v>#N/A</v>
          </cell>
          <cell r="J748" t="e">
            <v>#DIV/0!</v>
          </cell>
          <cell r="K748">
            <v>1</v>
          </cell>
        </row>
        <row r="749">
          <cell r="B749" t="e">
            <v>#DIV/0!</v>
          </cell>
          <cell r="C749">
            <v>1</v>
          </cell>
          <cell r="E749" t="e">
            <v>#N/A</v>
          </cell>
          <cell r="G749" t="e">
            <v>#N/A</v>
          </cell>
          <cell r="J749" t="e">
            <v>#DIV/0!</v>
          </cell>
          <cell r="K749">
            <v>1</v>
          </cell>
        </row>
        <row r="750">
          <cell r="B750" t="e">
            <v>#DIV/0!</v>
          </cell>
          <cell r="C750">
            <v>1</v>
          </cell>
          <cell r="E750" t="e">
            <v>#N/A</v>
          </cell>
          <cell r="G750" t="e">
            <v>#N/A</v>
          </cell>
          <cell r="J750" t="e">
            <v>#DIV/0!</v>
          </cell>
          <cell r="K750">
            <v>1</v>
          </cell>
        </row>
        <row r="751">
          <cell r="B751" t="e">
            <v>#DIV/0!</v>
          </cell>
          <cell r="C751">
            <v>1</v>
          </cell>
          <cell r="E751" t="e">
            <v>#N/A</v>
          </cell>
          <cell r="G751" t="e">
            <v>#N/A</v>
          </cell>
          <cell r="J751" t="e">
            <v>#DIV/0!</v>
          </cell>
          <cell r="K751">
            <v>1</v>
          </cell>
        </row>
        <row r="752">
          <cell r="B752" t="e">
            <v>#DIV/0!</v>
          </cell>
          <cell r="C752">
            <v>1</v>
          </cell>
          <cell r="E752" t="e">
            <v>#N/A</v>
          </cell>
          <cell r="G752" t="e">
            <v>#N/A</v>
          </cell>
          <cell r="J752" t="e">
            <v>#DIV/0!</v>
          </cell>
          <cell r="K752">
            <v>1</v>
          </cell>
        </row>
        <row r="753">
          <cell r="B753" t="e">
            <v>#DIV/0!</v>
          </cell>
          <cell r="C753">
            <v>1</v>
          </cell>
          <cell r="E753" t="e">
            <v>#N/A</v>
          </cell>
          <cell r="G753" t="e">
            <v>#N/A</v>
          </cell>
          <cell r="J753" t="e">
            <v>#DIV/0!</v>
          </cell>
          <cell r="K753">
            <v>1</v>
          </cell>
        </row>
        <row r="754">
          <cell r="B754" t="e">
            <v>#DIV/0!</v>
          </cell>
          <cell r="C754">
            <v>1</v>
          </cell>
          <cell r="E754" t="e">
            <v>#N/A</v>
          </cell>
          <cell r="G754" t="e">
            <v>#N/A</v>
          </cell>
          <cell r="J754" t="e">
            <v>#DIV/0!</v>
          </cell>
          <cell r="K754">
            <v>1</v>
          </cell>
        </row>
        <row r="755">
          <cell r="B755" t="e">
            <v>#DIV/0!</v>
          </cell>
          <cell r="C755">
            <v>1</v>
          </cell>
          <cell r="E755" t="e">
            <v>#N/A</v>
          </cell>
          <cell r="G755" t="e">
            <v>#N/A</v>
          </cell>
          <cell r="J755" t="e">
            <v>#DIV/0!</v>
          </cell>
          <cell r="K755">
            <v>1</v>
          </cell>
        </row>
        <row r="756">
          <cell r="B756" t="e">
            <v>#DIV/0!</v>
          </cell>
          <cell r="C756">
            <v>1</v>
          </cell>
          <cell r="E756" t="e">
            <v>#N/A</v>
          </cell>
          <cell r="G756" t="e">
            <v>#N/A</v>
          </cell>
          <cell r="J756" t="e">
            <v>#DIV/0!</v>
          </cell>
          <cell r="K756">
            <v>1</v>
          </cell>
        </row>
        <row r="757">
          <cell r="B757" t="e">
            <v>#DIV/0!</v>
          </cell>
          <cell r="C757">
            <v>1</v>
          </cell>
          <cell r="E757" t="e">
            <v>#N/A</v>
          </cell>
          <cell r="G757" t="e">
            <v>#N/A</v>
          </cell>
          <cell r="J757" t="e">
            <v>#DIV/0!</v>
          </cell>
          <cell r="K757">
            <v>1</v>
          </cell>
        </row>
        <row r="758">
          <cell r="B758" t="e">
            <v>#DIV/0!</v>
          </cell>
          <cell r="C758">
            <v>1</v>
          </cell>
          <cell r="E758" t="e">
            <v>#N/A</v>
          </cell>
          <cell r="G758" t="e">
            <v>#N/A</v>
          </cell>
          <cell r="J758" t="e">
            <v>#DIV/0!</v>
          </cell>
          <cell r="K758">
            <v>1</v>
          </cell>
        </row>
        <row r="759">
          <cell r="B759" t="e">
            <v>#DIV/0!</v>
          </cell>
          <cell r="C759">
            <v>1</v>
          </cell>
          <cell r="E759" t="e">
            <v>#N/A</v>
          </cell>
          <cell r="G759" t="e">
            <v>#N/A</v>
          </cell>
          <cell r="J759" t="e">
            <v>#DIV/0!</v>
          </cell>
          <cell r="K759">
            <v>1</v>
          </cell>
        </row>
        <row r="760">
          <cell r="B760" t="e">
            <v>#DIV/0!</v>
          </cell>
          <cell r="C760">
            <v>1</v>
          </cell>
          <cell r="E760" t="e">
            <v>#N/A</v>
          </cell>
          <cell r="G760" t="e">
            <v>#N/A</v>
          </cell>
          <cell r="J760" t="e">
            <v>#DIV/0!</v>
          </cell>
          <cell r="K760">
            <v>1</v>
          </cell>
        </row>
        <row r="761">
          <cell r="B761" t="e">
            <v>#DIV/0!</v>
          </cell>
          <cell r="C761">
            <v>1</v>
          </cell>
          <cell r="E761" t="e">
            <v>#N/A</v>
          </cell>
          <cell r="G761" t="e">
            <v>#N/A</v>
          </cell>
          <cell r="J761" t="e">
            <v>#DIV/0!</v>
          </cell>
          <cell r="K761">
            <v>1</v>
          </cell>
        </row>
        <row r="762">
          <cell r="B762" t="e">
            <v>#DIV/0!</v>
          </cell>
          <cell r="C762">
            <v>1</v>
          </cell>
          <cell r="E762" t="e">
            <v>#N/A</v>
          </cell>
          <cell r="G762" t="e">
            <v>#N/A</v>
          </cell>
          <cell r="J762" t="e">
            <v>#DIV/0!</v>
          </cell>
          <cell r="K762">
            <v>1</v>
          </cell>
        </row>
        <row r="763">
          <cell r="B763" t="e">
            <v>#DIV/0!</v>
          </cell>
          <cell r="C763">
            <v>1</v>
          </cell>
          <cell r="E763" t="e">
            <v>#N/A</v>
          </cell>
          <cell r="G763" t="e">
            <v>#N/A</v>
          </cell>
          <cell r="J763" t="e">
            <v>#DIV/0!</v>
          </cell>
          <cell r="K763">
            <v>1</v>
          </cell>
        </row>
        <row r="764">
          <cell r="B764" t="e">
            <v>#DIV/0!</v>
          </cell>
          <cell r="C764">
            <v>1</v>
          </cell>
          <cell r="E764" t="e">
            <v>#N/A</v>
          </cell>
          <cell r="G764" t="e">
            <v>#N/A</v>
          </cell>
          <cell r="J764" t="e">
            <v>#DIV/0!</v>
          </cell>
          <cell r="K764">
            <v>1</v>
          </cell>
        </row>
        <row r="765">
          <cell r="B765" t="e">
            <v>#DIV/0!</v>
          </cell>
          <cell r="C765">
            <v>1</v>
          </cell>
          <cell r="E765" t="e">
            <v>#N/A</v>
          </cell>
          <cell r="G765" t="e">
            <v>#N/A</v>
          </cell>
          <cell r="J765" t="e">
            <v>#DIV/0!</v>
          </cell>
          <cell r="K765">
            <v>1</v>
          </cell>
        </row>
        <row r="766">
          <cell r="B766" t="e">
            <v>#DIV/0!</v>
          </cell>
          <cell r="C766">
            <v>1</v>
          </cell>
          <cell r="E766" t="e">
            <v>#N/A</v>
          </cell>
          <cell r="G766" t="e">
            <v>#N/A</v>
          </cell>
          <cell r="J766" t="e">
            <v>#DIV/0!</v>
          </cell>
          <cell r="K766">
            <v>1</v>
          </cell>
        </row>
        <row r="767">
          <cell r="B767" t="e">
            <v>#DIV/0!</v>
          </cell>
          <cell r="C767">
            <v>1</v>
          </cell>
          <cell r="E767" t="e">
            <v>#N/A</v>
          </cell>
          <cell r="G767" t="e">
            <v>#N/A</v>
          </cell>
          <cell r="J767" t="e">
            <v>#DIV/0!</v>
          </cell>
          <cell r="K767">
            <v>1</v>
          </cell>
        </row>
        <row r="768">
          <cell r="B768" t="e">
            <v>#DIV/0!</v>
          </cell>
          <cell r="C768">
            <v>1</v>
          </cell>
          <cell r="E768" t="e">
            <v>#N/A</v>
          </cell>
          <cell r="G768" t="e">
            <v>#N/A</v>
          </cell>
          <cell r="J768" t="e">
            <v>#DIV/0!</v>
          </cell>
          <cell r="K768">
            <v>1</v>
          </cell>
        </row>
        <row r="769">
          <cell r="B769" t="e">
            <v>#DIV/0!</v>
          </cell>
          <cell r="C769">
            <v>1</v>
          </cell>
          <cell r="E769" t="e">
            <v>#N/A</v>
          </cell>
          <cell r="G769" t="e">
            <v>#N/A</v>
          </cell>
          <cell r="J769" t="e">
            <v>#DIV/0!</v>
          </cell>
          <cell r="K769">
            <v>1</v>
          </cell>
        </row>
        <row r="770">
          <cell r="B770" t="e">
            <v>#DIV/0!</v>
          </cell>
          <cell r="C770">
            <v>1</v>
          </cell>
          <cell r="E770" t="e">
            <v>#N/A</v>
          </cell>
          <cell r="G770" t="e">
            <v>#N/A</v>
          </cell>
          <cell r="J770" t="e">
            <v>#DIV/0!</v>
          </cell>
          <cell r="K770">
            <v>1</v>
          </cell>
        </row>
        <row r="771">
          <cell r="B771" t="e">
            <v>#DIV/0!</v>
          </cell>
          <cell r="C771">
            <v>1</v>
          </cell>
          <cell r="E771" t="e">
            <v>#N/A</v>
          </cell>
          <cell r="G771" t="e">
            <v>#N/A</v>
          </cell>
          <cell r="J771" t="e">
            <v>#DIV/0!</v>
          </cell>
          <cell r="K771">
            <v>1</v>
          </cell>
        </row>
        <row r="772">
          <cell r="B772" t="e">
            <v>#DIV/0!</v>
          </cell>
          <cell r="C772">
            <v>1</v>
          </cell>
          <cell r="E772" t="e">
            <v>#N/A</v>
          </cell>
          <cell r="G772" t="e">
            <v>#N/A</v>
          </cell>
          <cell r="J772" t="e">
            <v>#DIV/0!</v>
          </cell>
          <cell r="K772">
            <v>1</v>
          </cell>
        </row>
        <row r="773">
          <cell r="B773" t="e">
            <v>#DIV/0!</v>
          </cell>
          <cell r="C773">
            <v>1</v>
          </cell>
          <cell r="E773" t="e">
            <v>#N/A</v>
          </cell>
          <cell r="G773" t="e">
            <v>#N/A</v>
          </cell>
          <cell r="J773" t="e">
            <v>#DIV/0!</v>
          </cell>
          <cell r="K773">
            <v>1</v>
          </cell>
        </row>
        <row r="774">
          <cell r="B774" t="e">
            <v>#DIV/0!</v>
          </cell>
          <cell r="C774">
            <v>1</v>
          </cell>
          <cell r="E774" t="e">
            <v>#N/A</v>
          </cell>
          <cell r="G774" t="e">
            <v>#N/A</v>
          </cell>
          <cell r="J774" t="e">
            <v>#DIV/0!</v>
          </cell>
          <cell r="K774">
            <v>1</v>
          </cell>
        </row>
        <row r="775">
          <cell r="B775" t="e">
            <v>#DIV/0!</v>
          </cell>
          <cell r="C775">
            <v>1</v>
          </cell>
          <cell r="E775" t="e">
            <v>#N/A</v>
          </cell>
          <cell r="G775" t="e">
            <v>#N/A</v>
          </cell>
          <cell r="J775" t="e">
            <v>#DIV/0!</v>
          </cell>
          <cell r="K775">
            <v>1</v>
          </cell>
        </row>
        <row r="776">
          <cell r="B776" t="e">
            <v>#DIV/0!</v>
          </cell>
          <cell r="C776">
            <v>1</v>
          </cell>
          <cell r="E776" t="e">
            <v>#N/A</v>
          </cell>
          <cell r="G776" t="e">
            <v>#N/A</v>
          </cell>
          <cell r="J776" t="e">
            <v>#DIV/0!</v>
          </cell>
          <cell r="K776">
            <v>1</v>
          </cell>
        </row>
        <row r="777">
          <cell r="B777" t="e">
            <v>#DIV/0!</v>
          </cell>
          <cell r="C777">
            <v>1</v>
          </cell>
          <cell r="E777" t="e">
            <v>#N/A</v>
          </cell>
          <cell r="G777" t="e">
            <v>#N/A</v>
          </cell>
          <cell r="J777" t="e">
            <v>#DIV/0!</v>
          </cell>
          <cell r="K777">
            <v>1</v>
          </cell>
        </row>
        <row r="778">
          <cell r="B778" t="e">
            <v>#DIV/0!</v>
          </cell>
          <cell r="C778">
            <v>1</v>
          </cell>
          <cell r="E778" t="e">
            <v>#N/A</v>
          </cell>
          <cell r="G778" t="e">
            <v>#N/A</v>
          </cell>
          <cell r="J778" t="e">
            <v>#DIV/0!</v>
          </cell>
          <cell r="K778">
            <v>1</v>
          </cell>
        </row>
        <row r="779">
          <cell r="B779" t="e">
            <v>#DIV/0!</v>
          </cell>
          <cell r="C779">
            <v>1</v>
          </cell>
          <cell r="E779" t="e">
            <v>#N/A</v>
          </cell>
          <cell r="G779" t="e">
            <v>#N/A</v>
          </cell>
          <cell r="J779" t="e">
            <v>#DIV/0!</v>
          </cell>
          <cell r="K779">
            <v>1</v>
          </cell>
        </row>
        <row r="780">
          <cell r="B780" t="e">
            <v>#DIV/0!</v>
          </cell>
          <cell r="C780">
            <v>1</v>
          </cell>
          <cell r="E780" t="e">
            <v>#N/A</v>
          </cell>
          <cell r="G780" t="e">
            <v>#N/A</v>
          </cell>
          <cell r="J780" t="e">
            <v>#DIV/0!</v>
          </cell>
          <cell r="K780">
            <v>1</v>
          </cell>
        </row>
        <row r="781">
          <cell r="B781" t="e">
            <v>#DIV/0!</v>
          </cell>
          <cell r="C781">
            <v>1</v>
          </cell>
          <cell r="E781" t="e">
            <v>#N/A</v>
          </cell>
          <cell r="G781" t="e">
            <v>#N/A</v>
          </cell>
          <cell r="J781" t="e">
            <v>#DIV/0!</v>
          </cell>
          <cell r="K781">
            <v>1</v>
          </cell>
        </row>
        <row r="782">
          <cell r="B782" t="e">
            <v>#DIV/0!</v>
          </cell>
          <cell r="C782">
            <v>1</v>
          </cell>
          <cell r="E782" t="e">
            <v>#N/A</v>
          </cell>
          <cell r="G782" t="e">
            <v>#N/A</v>
          </cell>
          <cell r="J782" t="e">
            <v>#DIV/0!</v>
          </cell>
          <cell r="K782">
            <v>1</v>
          </cell>
        </row>
        <row r="783">
          <cell r="B783" t="e">
            <v>#DIV/0!</v>
          </cell>
          <cell r="C783">
            <v>1</v>
          </cell>
          <cell r="E783" t="e">
            <v>#N/A</v>
          </cell>
          <cell r="G783" t="e">
            <v>#N/A</v>
          </cell>
          <cell r="J783" t="e">
            <v>#DIV/0!</v>
          </cell>
          <cell r="K783">
            <v>1</v>
          </cell>
        </row>
        <row r="784">
          <cell r="B784" t="e">
            <v>#DIV/0!</v>
          </cell>
          <cell r="C784">
            <v>1</v>
          </cell>
          <cell r="E784" t="e">
            <v>#N/A</v>
          </cell>
          <cell r="G784" t="e">
            <v>#N/A</v>
          </cell>
          <cell r="J784" t="e">
            <v>#DIV/0!</v>
          </cell>
          <cell r="K784">
            <v>1</v>
          </cell>
        </row>
        <row r="785">
          <cell r="B785" t="e">
            <v>#DIV/0!</v>
          </cell>
          <cell r="C785">
            <v>1</v>
          </cell>
          <cell r="E785" t="e">
            <v>#N/A</v>
          </cell>
          <cell r="G785" t="e">
            <v>#N/A</v>
          </cell>
          <cell r="J785" t="e">
            <v>#DIV/0!</v>
          </cell>
          <cell r="K785">
            <v>1</v>
          </cell>
        </row>
        <row r="786">
          <cell r="B786" t="e">
            <v>#DIV/0!</v>
          </cell>
          <cell r="C786">
            <v>1</v>
          </cell>
          <cell r="E786" t="e">
            <v>#N/A</v>
          </cell>
          <cell r="G786" t="e">
            <v>#N/A</v>
          </cell>
          <cell r="J786" t="e">
            <v>#DIV/0!</v>
          </cell>
          <cell r="K786">
            <v>1</v>
          </cell>
        </row>
        <row r="787">
          <cell r="B787" t="e">
            <v>#DIV/0!</v>
          </cell>
          <cell r="C787">
            <v>1</v>
          </cell>
          <cell r="E787" t="e">
            <v>#N/A</v>
          </cell>
          <cell r="G787" t="e">
            <v>#N/A</v>
          </cell>
          <cell r="J787" t="e">
            <v>#DIV/0!</v>
          </cell>
          <cell r="K787">
            <v>1</v>
          </cell>
        </row>
        <row r="788">
          <cell r="B788" t="e">
            <v>#DIV/0!</v>
          </cell>
          <cell r="C788">
            <v>1</v>
          </cell>
          <cell r="E788" t="e">
            <v>#N/A</v>
          </cell>
          <cell r="G788" t="e">
            <v>#N/A</v>
          </cell>
          <cell r="J788" t="e">
            <v>#DIV/0!</v>
          </cell>
          <cell r="K788">
            <v>1</v>
          </cell>
        </row>
        <row r="789">
          <cell r="B789" t="e">
            <v>#DIV/0!</v>
          </cell>
          <cell r="C789">
            <v>1</v>
          </cell>
          <cell r="E789" t="e">
            <v>#N/A</v>
          </cell>
          <cell r="G789" t="e">
            <v>#N/A</v>
          </cell>
          <cell r="J789" t="e">
            <v>#DIV/0!</v>
          </cell>
          <cell r="K789">
            <v>1</v>
          </cell>
        </row>
        <row r="790">
          <cell r="B790" t="e">
            <v>#DIV/0!</v>
          </cell>
          <cell r="C790">
            <v>1</v>
          </cell>
          <cell r="E790" t="e">
            <v>#N/A</v>
          </cell>
          <cell r="G790" t="e">
            <v>#N/A</v>
          </cell>
          <cell r="J790" t="e">
            <v>#DIV/0!</v>
          </cell>
          <cell r="K790">
            <v>1</v>
          </cell>
        </row>
        <row r="791">
          <cell r="B791" t="e">
            <v>#DIV/0!</v>
          </cell>
          <cell r="C791">
            <v>1</v>
          </cell>
          <cell r="E791" t="e">
            <v>#N/A</v>
          </cell>
          <cell r="G791" t="e">
            <v>#N/A</v>
          </cell>
          <cell r="J791" t="e">
            <v>#DIV/0!</v>
          </cell>
          <cell r="K791">
            <v>1</v>
          </cell>
        </row>
        <row r="792">
          <cell r="B792" t="e">
            <v>#DIV/0!</v>
          </cell>
          <cell r="C792">
            <v>1</v>
          </cell>
          <cell r="E792" t="e">
            <v>#N/A</v>
          </cell>
          <cell r="G792" t="e">
            <v>#N/A</v>
          </cell>
          <cell r="J792" t="e">
            <v>#DIV/0!</v>
          </cell>
          <cell r="K792">
            <v>1</v>
          </cell>
        </row>
        <row r="793">
          <cell r="B793" t="e">
            <v>#DIV/0!</v>
          </cell>
          <cell r="C793">
            <v>1</v>
          </cell>
          <cell r="E793" t="e">
            <v>#N/A</v>
          </cell>
          <cell r="G793" t="e">
            <v>#N/A</v>
          </cell>
          <cell r="J793" t="e">
            <v>#DIV/0!</v>
          </cell>
          <cell r="K793">
            <v>1</v>
          </cell>
        </row>
        <row r="794">
          <cell r="B794" t="e">
            <v>#DIV/0!</v>
          </cell>
          <cell r="C794">
            <v>1</v>
          </cell>
          <cell r="E794" t="e">
            <v>#N/A</v>
          </cell>
          <cell r="G794" t="e">
            <v>#N/A</v>
          </cell>
          <cell r="J794" t="e">
            <v>#DIV/0!</v>
          </cell>
          <cell r="K794">
            <v>1</v>
          </cell>
        </row>
        <row r="795">
          <cell r="B795" t="e">
            <v>#DIV/0!</v>
          </cell>
          <cell r="C795">
            <v>1</v>
          </cell>
          <cell r="E795" t="e">
            <v>#N/A</v>
          </cell>
          <cell r="G795" t="e">
            <v>#N/A</v>
          </cell>
          <cell r="J795" t="e">
            <v>#DIV/0!</v>
          </cell>
          <cell r="K795">
            <v>1</v>
          </cell>
        </row>
        <row r="796">
          <cell r="B796" t="e">
            <v>#DIV/0!</v>
          </cell>
          <cell r="C796">
            <v>1</v>
          </cell>
          <cell r="E796" t="e">
            <v>#N/A</v>
          </cell>
          <cell r="G796" t="e">
            <v>#N/A</v>
          </cell>
          <cell r="J796" t="e">
            <v>#DIV/0!</v>
          </cell>
          <cell r="K796">
            <v>1</v>
          </cell>
        </row>
        <row r="797">
          <cell r="B797" t="e">
            <v>#DIV/0!</v>
          </cell>
          <cell r="C797">
            <v>1</v>
          </cell>
          <cell r="E797" t="e">
            <v>#N/A</v>
          </cell>
          <cell r="G797" t="e">
            <v>#N/A</v>
          </cell>
          <cell r="J797" t="e">
            <v>#DIV/0!</v>
          </cell>
          <cell r="K797">
            <v>1</v>
          </cell>
        </row>
        <row r="798">
          <cell r="B798" t="e">
            <v>#DIV/0!</v>
          </cell>
          <cell r="C798">
            <v>1</v>
          </cell>
          <cell r="E798" t="e">
            <v>#N/A</v>
          </cell>
          <cell r="G798" t="e">
            <v>#N/A</v>
          </cell>
          <cell r="J798" t="e">
            <v>#DIV/0!</v>
          </cell>
          <cell r="K798">
            <v>1</v>
          </cell>
        </row>
        <row r="799">
          <cell r="B799" t="e">
            <v>#DIV/0!</v>
          </cell>
          <cell r="C799">
            <v>1</v>
          </cell>
          <cell r="E799" t="e">
            <v>#N/A</v>
          </cell>
          <cell r="G799" t="e">
            <v>#N/A</v>
          </cell>
          <cell r="J799" t="e">
            <v>#DIV/0!</v>
          </cell>
          <cell r="K799">
            <v>1</v>
          </cell>
        </row>
        <row r="800">
          <cell r="B800" t="e">
            <v>#DIV/0!</v>
          </cell>
          <cell r="C800">
            <v>1</v>
          </cell>
          <cell r="E800" t="e">
            <v>#N/A</v>
          </cell>
          <cell r="G800" t="e">
            <v>#N/A</v>
          </cell>
          <cell r="J800" t="e">
            <v>#DIV/0!</v>
          </cell>
          <cell r="K800">
            <v>1</v>
          </cell>
        </row>
        <row r="801">
          <cell r="B801" t="e">
            <v>#DIV/0!</v>
          </cell>
          <cell r="C801">
            <v>1</v>
          </cell>
          <cell r="E801" t="e">
            <v>#N/A</v>
          </cell>
          <cell r="G801" t="e">
            <v>#N/A</v>
          </cell>
          <cell r="J801" t="e">
            <v>#DIV/0!</v>
          </cell>
          <cell r="K801">
            <v>1</v>
          </cell>
        </row>
        <row r="802">
          <cell r="B802" t="e">
            <v>#DIV/0!</v>
          </cell>
          <cell r="C802">
            <v>1</v>
          </cell>
          <cell r="E802" t="e">
            <v>#N/A</v>
          </cell>
          <cell r="G802" t="e">
            <v>#N/A</v>
          </cell>
          <cell r="J802" t="e">
            <v>#DIV/0!</v>
          </cell>
          <cell r="K802">
            <v>1</v>
          </cell>
        </row>
        <row r="803">
          <cell r="B803" t="e">
            <v>#DIV/0!</v>
          </cell>
          <cell r="C803">
            <v>1</v>
          </cell>
          <cell r="E803" t="e">
            <v>#N/A</v>
          </cell>
          <cell r="G803" t="e">
            <v>#N/A</v>
          </cell>
          <cell r="J803" t="e">
            <v>#DIV/0!</v>
          </cell>
          <cell r="K803">
            <v>1</v>
          </cell>
        </row>
        <row r="804">
          <cell r="B804" t="e">
            <v>#DIV/0!</v>
          </cell>
          <cell r="C804">
            <v>1</v>
          </cell>
          <cell r="E804" t="e">
            <v>#N/A</v>
          </cell>
          <cell r="G804" t="e">
            <v>#N/A</v>
          </cell>
          <cell r="J804" t="e">
            <v>#DIV/0!</v>
          </cell>
          <cell r="K804">
            <v>1</v>
          </cell>
        </row>
        <row r="805">
          <cell r="B805" t="e">
            <v>#DIV/0!</v>
          </cell>
          <cell r="C805">
            <v>1</v>
          </cell>
          <cell r="E805" t="e">
            <v>#N/A</v>
          </cell>
          <cell r="G805" t="e">
            <v>#N/A</v>
          </cell>
          <cell r="J805" t="e">
            <v>#DIV/0!</v>
          </cell>
          <cell r="K805">
            <v>1</v>
          </cell>
        </row>
        <row r="806">
          <cell r="B806" t="e">
            <v>#DIV/0!</v>
          </cell>
          <cell r="C806">
            <v>1</v>
          </cell>
          <cell r="E806" t="e">
            <v>#N/A</v>
          </cell>
          <cell r="G806" t="e">
            <v>#N/A</v>
          </cell>
          <cell r="J806" t="e">
            <v>#DIV/0!</v>
          </cell>
          <cell r="K806">
            <v>1</v>
          </cell>
        </row>
        <row r="807">
          <cell r="B807" t="e">
            <v>#DIV/0!</v>
          </cell>
          <cell r="C807">
            <v>1</v>
          </cell>
          <cell r="E807" t="e">
            <v>#N/A</v>
          </cell>
          <cell r="G807" t="e">
            <v>#N/A</v>
          </cell>
          <cell r="J807" t="e">
            <v>#DIV/0!</v>
          </cell>
          <cell r="K807">
            <v>1</v>
          </cell>
        </row>
        <row r="808">
          <cell r="B808" t="e">
            <v>#DIV/0!</v>
          </cell>
          <cell r="C808">
            <v>1</v>
          </cell>
          <cell r="E808" t="e">
            <v>#N/A</v>
          </cell>
          <cell r="G808" t="e">
            <v>#N/A</v>
          </cell>
          <cell r="J808" t="e">
            <v>#DIV/0!</v>
          </cell>
          <cell r="K808">
            <v>1</v>
          </cell>
        </row>
        <row r="809">
          <cell r="B809" t="e">
            <v>#DIV/0!</v>
          </cell>
          <cell r="C809">
            <v>1</v>
          </cell>
          <cell r="E809" t="e">
            <v>#N/A</v>
          </cell>
          <cell r="G809" t="e">
            <v>#N/A</v>
          </cell>
          <cell r="J809" t="e">
            <v>#DIV/0!</v>
          </cell>
          <cell r="K809">
            <v>1</v>
          </cell>
        </row>
        <row r="810">
          <cell r="B810" t="e">
            <v>#DIV/0!</v>
          </cell>
          <cell r="C810">
            <v>1</v>
          </cell>
          <cell r="E810" t="e">
            <v>#N/A</v>
          </cell>
          <cell r="G810" t="e">
            <v>#N/A</v>
          </cell>
          <cell r="J810" t="e">
            <v>#DIV/0!</v>
          </cell>
          <cell r="K810">
            <v>1</v>
          </cell>
        </row>
        <row r="811">
          <cell r="B811" t="e">
            <v>#DIV/0!</v>
          </cell>
          <cell r="C811">
            <v>1</v>
          </cell>
          <cell r="E811" t="e">
            <v>#N/A</v>
          </cell>
          <cell r="G811" t="e">
            <v>#N/A</v>
          </cell>
          <cell r="J811" t="e">
            <v>#DIV/0!</v>
          </cell>
          <cell r="K811">
            <v>1</v>
          </cell>
        </row>
        <row r="812">
          <cell r="B812" t="e">
            <v>#DIV/0!</v>
          </cell>
          <cell r="C812">
            <v>1</v>
          </cell>
          <cell r="E812" t="e">
            <v>#N/A</v>
          </cell>
          <cell r="G812" t="e">
            <v>#N/A</v>
          </cell>
          <cell r="J812" t="e">
            <v>#DIV/0!</v>
          </cell>
          <cell r="K812">
            <v>1</v>
          </cell>
        </row>
        <row r="813">
          <cell r="B813" t="e">
            <v>#DIV/0!</v>
          </cell>
          <cell r="C813">
            <v>1</v>
          </cell>
          <cell r="E813" t="e">
            <v>#N/A</v>
          </cell>
          <cell r="G813" t="e">
            <v>#N/A</v>
          </cell>
          <cell r="J813" t="e">
            <v>#DIV/0!</v>
          </cell>
          <cell r="K813">
            <v>1</v>
          </cell>
        </row>
        <row r="814">
          <cell r="B814" t="e">
            <v>#DIV/0!</v>
          </cell>
          <cell r="C814">
            <v>1</v>
          </cell>
          <cell r="E814" t="e">
            <v>#N/A</v>
          </cell>
          <cell r="G814" t="e">
            <v>#N/A</v>
          </cell>
          <cell r="J814" t="e">
            <v>#DIV/0!</v>
          </cell>
          <cell r="K814">
            <v>1</v>
          </cell>
        </row>
        <row r="815">
          <cell r="B815" t="e">
            <v>#DIV/0!</v>
          </cell>
          <cell r="C815">
            <v>1</v>
          </cell>
          <cell r="E815" t="e">
            <v>#N/A</v>
          </cell>
          <cell r="G815" t="e">
            <v>#N/A</v>
          </cell>
          <cell r="J815" t="e">
            <v>#DIV/0!</v>
          </cell>
          <cell r="K815">
            <v>1</v>
          </cell>
        </row>
        <row r="816">
          <cell r="B816" t="e">
            <v>#DIV/0!</v>
          </cell>
          <cell r="C816">
            <v>1</v>
          </cell>
          <cell r="E816" t="e">
            <v>#N/A</v>
          </cell>
          <cell r="G816" t="e">
            <v>#N/A</v>
          </cell>
          <cell r="J816" t="e">
            <v>#DIV/0!</v>
          </cell>
          <cell r="K816">
            <v>1</v>
          </cell>
        </row>
        <row r="817">
          <cell r="B817" t="e">
            <v>#DIV/0!</v>
          </cell>
          <cell r="C817">
            <v>1</v>
          </cell>
          <cell r="E817" t="e">
            <v>#N/A</v>
          </cell>
          <cell r="G817" t="e">
            <v>#N/A</v>
          </cell>
          <cell r="J817" t="e">
            <v>#DIV/0!</v>
          </cell>
          <cell r="K817">
            <v>1</v>
          </cell>
        </row>
        <row r="818">
          <cell r="B818" t="e">
            <v>#DIV/0!</v>
          </cell>
          <cell r="C818">
            <v>1</v>
          </cell>
          <cell r="E818" t="e">
            <v>#N/A</v>
          </cell>
          <cell r="G818" t="e">
            <v>#N/A</v>
          </cell>
          <cell r="J818" t="e">
            <v>#DIV/0!</v>
          </cell>
          <cell r="K818">
            <v>1</v>
          </cell>
        </row>
        <row r="819">
          <cell r="B819" t="e">
            <v>#DIV/0!</v>
          </cell>
          <cell r="C819">
            <v>1</v>
          </cell>
          <cell r="E819" t="e">
            <v>#N/A</v>
          </cell>
          <cell r="G819" t="e">
            <v>#N/A</v>
          </cell>
          <cell r="J819" t="e">
            <v>#DIV/0!</v>
          </cell>
          <cell r="K819">
            <v>1</v>
          </cell>
        </row>
        <row r="820">
          <cell r="B820" t="e">
            <v>#DIV/0!</v>
          </cell>
          <cell r="C820">
            <v>1</v>
          </cell>
          <cell r="E820" t="e">
            <v>#N/A</v>
          </cell>
          <cell r="G820" t="e">
            <v>#N/A</v>
          </cell>
          <cell r="J820" t="e">
            <v>#DIV/0!</v>
          </cell>
          <cell r="K820">
            <v>1</v>
          </cell>
        </row>
        <row r="821">
          <cell r="B821" t="e">
            <v>#DIV/0!</v>
          </cell>
          <cell r="C821">
            <v>1</v>
          </cell>
          <cell r="E821" t="e">
            <v>#N/A</v>
          </cell>
          <cell r="G821" t="e">
            <v>#N/A</v>
          </cell>
          <cell r="J821" t="e">
            <v>#DIV/0!</v>
          </cell>
          <cell r="K821">
            <v>1</v>
          </cell>
        </row>
        <row r="822">
          <cell r="B822" t="e">
            <v>#DIV/0!</v>
          </cell>
          <cell r="C822">
            <v>1</v>
          </cell>
          <cell r="E822" t="e">
            <v>#N/A</v>
          </cell>
          <cell r="G822" t="e">
            <v>#N/A</v>
          </cell>
          <cell r="J822" t="e">
            <v>#DIV/0!</v>
          </cell>
          <cell r="K822">
            <v>1</v>
          </cell>
        </row>
        <row r="823">
          <cell r="B823" t="e">
            <v>#DIV/0!</v>
          </cell>
          <cell r="C823">
            <v>1</v>
          </cell>
          <cell r="E823" t="e">
            <v>#N/A</v>
          </cell>
          <cell r="G823" t="e">
            <v>#N/A</v>
          </cell>
          <cell r="J823" t="e">
            <v>#DIV/0!</v>
          </cell>
          <cell r="K823">
            <v>1</v>
          </cell>
        </row>
        <row r="824">
          <cell r="B824" t="e">
            <v>#DIV/0!</v>
          </cell>
          <cell r="C824">
            <v>1</v>
          </cell>
          <cell r="E824" t="e">
            <v>#N/A</v>
          </cell>
          <cell r="G824" t="e">
            <v>#N/A</v>
          </cell>
          <cell r="J824" t="e">
            <v>#DIV/0!</v>
          </cell>
          <cell r="K824">
            <v>1</v>
          </cell>
        </row>
        <row r="825">
          <cell r="B825" t="e">
            <v>#DIV/0!</v>
          </cell>
          <cell r="C825">
            <v>1</v>
          </cell>
          <cell r="E825" t="e">
            <v>#N/A</v>
          </cell>
          <cell r="G825" t="e">
            <v>#N/A</v>
          </cell>
          <cell r="J825" t="e">
            <v>#DIV/0!</v>
          </cell>
          <cell r="K825">
            <v>1</v>
          </cell>
        </row>
        <row r="826">
          <cell r="B826" t="e">
            <v>#DIV/0!</v>
          </cell>
          <cell r="C826">
            <v>1</v>
          </cell>
          <cell r="E826" t="e">
            <v>#N/A</v>
          </cell>
          <cell r="G826" t="e">
            <v>#N/A</v>
          </cell>
          <cell r="J826" t="e">
            <v>#DIV/0!</v>
          </cell>
          <cell r="K826">
            <v>1</v>
          </cell>
        </row>
        <row r="827">
          <cell r="B827" t="e">
            <v>#DIV/0!</v>
          </cell>
          <cell r="C827">
            <v>1</v>
          </cell>
          <cell r="E827" t="e">
            <v>#N/A</v>
          </cell>
          <cell r="G827" t="e">
            <v>#N/A</v>
          </cell>
          <cell r="J827" t="e">
            <v>#DIV/0!</v>
          </cell>
          <cell r="K827">
            <v>1</v>
          </cell>
        </row>
        <row r="828">
          <cell r="B828" t="e">
            <v>#DIV/0!</v>
          </cell>
          <cell r="C828">
            <v>1</v>
          </cell>
          <cell r="E828" t="e">
            <v>#N/A</v>
          </cell>
          <cell r="G828" t="e">
            <v>#N/A</v>
          </cell>
          <cell r="J828" t="e">
            <v>#DIV/0!</v>
          </cell>
          <cell r="K828">
            <v>1</v>
          </cell>
        </row>
        <row r="829">
          <cell r="B829" t="e">
            <v>#DIV/0!</v>
          </cell>
          <cell r="C829">
            <v>1</v>
          </cell>
          <cell r="E829" t="e">
            <v>#N/A</v>
          </cell>
          <cell r="G829" t="e">
            <v>#N/A</v>
          </cell>
          <cell r="J829" t="e">
            <v>#DIV/0!</v>
          </cell>
          <cell r="K829">
            <v>1</v>
          </cell>
        </row>
        <row r="830">
          <cell r="B830" t="e">
            <v>#DIV/0!</v>
          </cell>
          <cell r="C830">
            <v>1</v>
          </cell>
          <cell r="E830" t="e">
            <v>#N/A</v>
          </cell>
          <cell r="G830" t="e">
            <v>#N/A</v>
          </cell>
          <cell r="J830" t="e">
            <v>#DIV/0!</v>
          </cell>
          <cell r="K830">
            <v>1</v>
          </cell>
        </row>
        <row r="831">
          <cell r="B831" t="e">
            <v>#DIV/0!</v>
          </cell>
          <cell r="C831">
            <v>1</v>
          </cell>
          <cell r="E831" t="e">
            <v>#N/A</v>
          </cell>
          <cell r="G831" t="e">
            <v>#N/A</v>
          </cell>
          <cell r="J831" t="e">
            <v>#DIV/0!</v>
          </cell>
          <cell r="K831">
            <v>1</v>
          </cell>
        </row>
        <row r="832">
          <cell r="B832" t="e">
            <v>#DIV/0!</v>
          </cell>
          <cell r="C832">
            <v>1</v>
          </cell>
          <cell r="E832" t="e">
            <v>#N/A</v>
          </cell>
          <cell r="G832" t="e">
            <v>#N/A</v>
          </cell>
          <cell r="J832" t="e">
            <v>#DIV/0!</v>
          </cell>
          <cell r="K832">
            <v>1</v>
          </cell>
        </row>
        <row r="833">
          <cell r="B833" t="e">
            <v>#DIV/0!</v>
          </cell>
          <cell r="C833">
            <v>1</v>
          </cell>
          <cell r="E833" t="e">
            <v>#N/A</v>
          </cell>
          <cell r="G833" t="e">
            <v>#N/A</v>
          </cell>
          <cell r="J833" t="e">
            <v>#DIV/0!</v>
          </cell>
          <cell r="K833">
            <v>1</v>
          </cell>
        </row>
        <row r="834">
          <cell r="B834" t="e">
            <v>#DIV/0!</v>
          </cell>
          <cell r="C834">
            <v>1</v>
          </cell>
          <cell r="E834" t="e">
            <v>#N/A</v>
          </cell>
          <cell r="G834" t="e">
            <v>#N/A</v>
          </cell>
          <cell r="J834" t="e">
            <v>#DIV/0!</v>
          </cell>
          <cell r="K834">
            <v>1</v>
          </cell>
        </row>
        <row r="835">
          <cell r="B835" t="e">
            <v>#DIV/0!</v>
          </cell>
          <cell r="C835">
            <v>1</v>
          </cell>
          <cell r="E835" t="e">
            <v>#N/A</v>
          </cell>
          <cell r="G835" t="e">
            <v>#N/A</v>
          </cell>
          <cell r="J835" t="e">
            <v>#DIV/0!</v>
          </cell>
          <cell r="K835">
            <v>1</v>
          </cell>
        </row>
        <row r="836">
          <cell r="B836" t="e">
            <v>#DIV/0!</v>
          </cell>
          <cell r="C836">
            <v>1</v>
          </cell>
          <cell r="E836" t="e">
            <v>#N/A</v>
          </cell>
          <cell r="G836" t="e">
            <v>#N/A</v>
          </cell>
          <cell r="J836" t="e">
            <v>#DIV/0!</v>
          </cell>
          <cell r="K836">
            <v>1</v>
          </cell>
        </row>
        <row r="837">
          <cell r="B837" t="e">
            <v>#DIV/0!</v>
          </cell>
          <cell r="C837">
            <v>1</v>
          </cell>
          <cell r="E837" t="e">
            <v>#N/A</v>
          </cell>
          <cell r="G837" t="e">
            <v>#N/A</v>
          </cell>
          <cell r="J837" t="e">
            <v>#DIV/0!</v>
          </cell>
          <cell r="K837">
            <v>1</v>
          </cell>
        </row>
        <row r="838">
          <cell r="B838" t="e">
            <v>#DIV/0!</v>
          </cell>
          <cell r="C838">
            <v>1</v>
          </cell>
          <cell r="E838" t="e">
            <v>#N/A</v>
          </cell>
          <cell r="G838" t="e">
            <v>#N/A</v>
          </cell>
          <cell r="J838" t="e">
            <v>#DIV/0!</v>
          </cell>
          <cell r="K838">
            <v>1</v>
          </cell>
        </row>
        <row r="839">
          <cell r="B839" t="e">
            <v>#DIV/0!</v>
          </cell>
          <cell r="C839">
            <v>1</v>
          </cell>
          <cell r="E839" t="e">
            <v>#N/A</v>
          </cell>
          <cell r="G839" t="e">
            <v>#N/A</v>
          </cell>
          <cell r="J839" t="e">
            <v>#DIV/0!</v>
          </cell>
          <cell r="K839">
            <v>1</v>
          </cell>
        </row>
        <row r="840">
          <cell r="B840" t="e">
            <v>#DIV/0!</v>
          </cell>
          <cell r="C840">
            <v>1</v>
          </cell>
          <cell r="E840" t="e">
            <v>#N/A</v>
          </cell>
          <cell r="G840" t="e">
            <v>#N/A</v>
          </cell>
          <cell r="J840" t="e">
            <v>#DIV/0!</v>
          </cell>
          <cell r="K840">
            <v>1</v>
          </cell>
        </row>
        <row r="841">
          <cell r="B841" t="e">
            <v>#DIV/0!</v>
          </cell>
          <cell r="C841">
            <v>1</v>
          </cell>
          <cell r="E841" t="e">
            <v>#N/A</v>
          </cell>
          <cell r="G841" t="e">
            <v>#N/A</v>
          </cell>
          <cell r="J841" t="e">
            <v>#DIV/0!</v>
          </cell>
          <cell r="K841">
            <v>1</v>
          </cell>
        </row>
        <row r="842">
          <cell r="B842" t="e">
            <v>#DIV/0!</v>
          </cell>
          <cell r="C842">
            <v>1</v>
          </cell>
          <cell r="E842" t="e">
            <v>#N/A</v>
          </cell>
          <cell r="G842" t="e">
            <v>#N/A</v>
          </cell>
          <cell r="J842" t="e">
            <v>#DIV/0!</v>
          </cell>
          <cell r="K842">
            <v>1</v>
          </cell>
        </row>
        <row r="843">
          <cell r="B843" t="e">
            <v>#DIV/0!</v>
          </cell>
          <cell r="C843">
            <v>1</v>
          </cell>
          <cell r="E843" t="e">
            <v>#N/A</v>
          </cell>
          <cell r="G843" t="e">
            <v>#N/A</v>
          </cell>
          <cell r="J843" t="e">
            <v>#DIV/0!</v>
          </cell>
          <cell r="K843">
            <v>1</v>
          </cell>
        </row>
        <row r="844">
          <cell r="B844" t="e">
            <v>#DIV/0!</v>
          </cell>
          <cell r="C844">
            <v>1</v>
          </cell>
          <cell r="E844" t="e">
            <v>#N/A</v>
          </cell>
          <cell r="G844" t="e">
            <v>#N/A</v>
          </cell>
          <cell r="J844" t="e">
            <v>#DIV/0!</v>
          </cell>
          <cell r="K844">
            <v>1</v>
          </cell>
        </row>
        <row r="845">
          <cell r="B845" t="e">
            <v>#DIV/0!</v>
          </cell>
          <cell r="C845">
            <v>1</v>
          </cell>
          <cell r="E845" t="e">
            <v>#N/A</v>
          </cell>
          <cell r="G845" t="e">
            <v>#N/A</v>
          </cell>
          <cell r="J845" t="e">
            <v>#DIV/0!</v>
          </cell>
          <cell r="K845">
            <v>1</v>
          </cell>
        </row>
        <row r="846">
          <cell r="B846" t="e">
            <v>#DIV/0!</v>
          </cell>
          <cell r="C846">
            <v>1</v>
          </cell>
          <cell r="E846" t="e">
            <v>#N/A</v>
          </cell>
          <cell r="G846" t="e">
            <v>#N/A</v>
          </cell>
          <cell r="J846" t="e">
            <v>#DIV/0!</v>
          </cell>
          <cell r="K846">
            <v>1</v>
          </cell>
        </row>
        <row r="847">
          <cell r="B847" t="e">
            <v>#DIV/0!</v>
          </cell>
          <cell r="C847">
            <v>1</v>
          </cell>
          <cell r="E847" t="e">
            <v>#N/A</v>
          </cell>
          <cell r="G847" t="e">
            <v>#N/A</v>
          </cell>
          <cell r="J847" t="e">
            <v>#DIV/0!</v>
          </cell>
          <cell r="K847">
            <v>1</v>
          </cell>
        </row>
        <row r="848">
          <cell r="B848" t="e">
            <v>#DIV/0!</v>
          </cell>
          <cell r="C848">
            <v>1</v>
          </cell>
          <cell r="E848" t="e">
            <v>#N/A</v>
          </cell>
          <cell r="G848" t="e">
            <v>#N/A</v>
          </cell>
          <cell r="J848" t="e">
            <v>#DIV/0!</v>
          </cell>
          <cell r="K848">
            <v>1</v>
          </cell>
        </row>
        <row r="849">
          <cell r="B849" t="e">
            <v>#DIV/0!</v>
          </cell>
          <cell r="C849">
            <v>1</v>
          </cell>
          <cell r="E849" t="e">
            <v>#N/A</v>
          </cell>
          <cell r="G849" t="e">
            <v>#N/A</v>
          </cell>
          <cell r="J849" t="e">
            <v>#DIV/0!</v>
          </cell>
          <cell r="K849">
            <v>1</v>
          </cell>
        </row>
        <row r="850">
          <cell r="B850" t="e">
            <v>#DIV/0!</v>
          </cell>
          <cell r="C850">
            <v>1</v>
          </cell>
          <cell r="E850" t="e">
            <v>#N/A</v>
          </cell>
          <cell r="G850" t="e">
            <v>#N/A</v>
          </cell>
          <cell r="J850" t="e">
            <v>#DIV/0!</v>
          </cell>
          <cell r="K850">
            <v>1</v>
          </cell>
        </row>
        <row r="851">
          <cell r="B851" t="e">
            <v>#DIV/0!</v>
          </cell>
          <cell r="C851">
            <v>1</v>
          </cell>
          <cell r="E851" t="e">
            <v>#N/A</v>
          </cell>
          <cell r="G851" t="e">
            <v>#N/A</v>
          </cell>
          <cell r="J851" t="e">
            <v>#DIV/0!</v>
          </cell>
          <cell r="K851">
            <v>1</v>
          </cell>
        </row>
        <row r="852">
          <cell r="B852" t="e">
            <v>#DIV/0!</v>
          </cell>
          <cell r="C852">
            <v>1</v>
          </cell>
          <cell r="E852" t="e">
            <v>#N/A</v>
          </cell>
          <cell r="G852" t="e">
            <v>#N/A</v>
          </cell>
          <cell r="J852" t="e">
            <v>#DIV/0!</v>
          </cell>
          <cell r="K852">
            <v>1</v>
          </cell>
        </row>
        <row r="853">
          <cell r="B853" t="e">
            <v>#DIV/0!</v>
          </cell>
          <cell r="C853">
            <v>1</v>
          </cell>
          <cell r="E853" t="e">
            <v>#N/A</v>
          </cell>
          <cell r="G853" t="e">
            <v>#N/A</v>
          </cell>
          <cell r="J853" t="e">
            <v>#DIV/0!</v>
          </cell>
          <cell r="K853">
            <v>1</v>
          </cell>
        </row>
        <row r="854">
          <cell r="B854" t="e">
            <v>#DIV/0!</v>
          </cell>
          <cell r="C854">
            <v>1</v>
          </cell>
          <cell r="E854" t="e">
            <v>#N/A</v>
          </cell>
          <cell r="G854" t="e">
            <v>#N/A</v>
          </cell>
          <cell r="J854" t="e">
            <v>#DIV/0!</v>
          </cell>
          <cell r="K854">
            <v>1</v>
          </cell>
        </row>
        <row r="855">
          <cell r="B855" t="e">
            <v>#DIV/0!</v>
          </cell>
          <cell r="C855">
            <v>1</v>
          </cell>
          <cell r="E855" t="e">
            <v>#N/A</v>
          </cell>
          <cell r="G855" t="e">
            <v>#N/A</v>
          </cell>
          <cell r="J855" t="e">
            <v>#DIV/0!</v>
          </cell>
          <cell r="K855">
            <v>1</v>
          </cell>
        </row>
        <row r="856">
          <cell r="B856" t="e">
            <v>#DIV/0!</v>
          </cell>
          <cell r="C856">
            <v>1</v>
          </cell>
          <cell r="E856" t="e">
            <v>#N/A</v>
          </cell>
          <cell r="G856" t="e">
            <v>#N/A</v>
          </cell>
          <cell r="J856" t="e">
            <v>#DIV/0!</v>
          </cell>
          <cell r="K856">
            <v>1</v>
          </cell>
        </row>
        <row r="857">
          <cell r="B857" t="e">
            <v>#DIV/0!</v>
          </cell>
          <cell r="C857">
            <v>1</v>
          </cell>
          <cell r="E857" t="e">
            <v>#N/A</v>
          </cell>
          <cell r="G857" t="e">
            <v>#N/A</v>
          </cell>
          <cell r="J857" t="e">
            <v>#DIV/0!</v>
          </cell>
          <cell r="K857">
            <v>1</v>
          </cell>
        </row>
        <row r="858">
          <cell r="B858" t="e">
            <v>#DIV/0!</v>
          </cell>
          <cell r="C858">
            <v>1</v>
          </cell>
          <cell r="E858" t="e">
            <v>#N/A</v>
          </cell>
          <cell r="G858" t="e">
            <v>#N/A</v>
          </cell>
          <cell r="J858" t="e">
            <v>#DIV/0!</v>
          </cell>
          <cell r="K858">
            <v>1</v>
          </cell>
        </row>
        <row r="859">
          <cell r="B859" t="e">
            <v>#DIV/0!</v>
          </cell>
          <cell r="C859">
            <v>1</v>
          </cell>
          <cell r="E859" t="e">
            <v>#N/A</v>
          </cell>
          <cell r="G859" t="e">
            <v>#N/A</v>
          </cell>
          <cell r="J859" t="e">
            <v>#DIV/0!</v>
          </cell>
          <cell r="K859">
            <v>1</v>
          </cell>
        </row>
        <row r="860">
          <cell r="B860" t="e">
            <v>#DIV/0!</v>
          </cell>
          <cell r="C860">
            <v>1</v>
          </cell>
          <cell r="E860" t="e">
            <v>#N/A</v>
          </cell>
          <cell r="G860" t="e">
            <v>#N/A</v>
          </cell>
          <cell r="J860" t="e">
            <v>#DIV/0!</v>
          </cell>
          <cell r="K860">
            <v>1</v>
          </cell>
        </row>
        <row r="861">
          <cell r="B861" t="e">
            <v>#DIV/0!</v>
          </cell>
          <cell r="C861">
            <v>1</v>
          </cell>
          <cell r="E861" t="e">
            <v>#N/A</v>
          </cell>
          <cell r="G861" t="e">
            <v>#N/A</v>
          </cell>
          <cell r="J861" t="e">
            <v>#DIV/0!</v>
          </cell>
          <cell r="K861">
            <v>1</v>
          </cell>
        </row>
        <row r="862">
          <cell r="B862" t="e">
            <v>#DIV/0!</v>
          </cell>
          <cell r="C862">
            <v>1</v>
          </cell>
          <cell r="E862" t="e">
            <v>#N/A</v>
          </cell>
          <cell r="G862" t="e">
            <v>#N/A</v>
          </cell>
          <cell r="J862" t="e">
            <v>#DIV/0!</v>
          </cell>
          <cell r="K862">
            <v>1</v>
          </cell>
        </row>
        <row r="863">
          <cell r="B863" t="e">
            <v>#DIV/0!</v>
          </cell>
          <cell r="C863">
            <v>1</v>
          </cell>
          <cell r="E863" t="e">
            <v>#N/A</v>
          </cell>
          <cell r="G863" t="e">
            <v>#N/A</v>
          </cell>
          <cell r="J863" t="e">
            <v>#DIV/0!</v>
          </cell>
          <cell r="K863">
            <v>1</v>
          </cell>
        </row>
        <row r="864">
          <cell r="B864" t="e">
            <v>#DIV/0!</v>
          </cell>
          <cell r="C864">
            <v>1</v>
          </cell>
          <cell r="E864" t="e">
            <v>#N/A</v>
          </cell>
          <cell r="G864" t="e">
            <v>#N/A</v>
          </cell>
          <cell r="J864" t="e">
            <v>#DIV/0!</v>
          </cell>
          <cell r="K864">
            <v>1</v>
          </cell>
        </row>
        <row r="865">
          <cell r="B865" t="e">
            <v>#DIV/0!</v>
          </cell>
          <cell r="C865">
            <v>1</v>
          </cell>
          <cell r="E865" t="e">
            <v>#N/A</v>
          </cell>
          <cell r="G865" t="e">
            <v>#N/A</v>
          </cell>
          <cell r="J865" t="e">
            <v>#DIV/0!</v>
          </cell>
          <cell r="K865">
            <v>1</v>
          </cell>
        </row>
        <row r="866">
          <cell r="B866" t="e">
            <v>#DIV/0!</v>
          </cell>
          <cell r="C866">
            <v>1</v>
          </cell>
          <cell r="E866" t="e">
            <v>#N/A</v>
          </cell>
          <cell r="G866" t="e">
            <v>#N/A</v>
          </cell>
          <cell r="J866" t="e">
            <v>#DIV/0!</v>
          </cell>
          <cell r="K866">
            <v>1</v>
          </cell>
        </row>
        <row r="867">
          <cell r="B867" t="e">
            <v>#DIV/0!</v>
          </cell>
          <cell r="C867">
            <v>1</v>
          </cell>
          <cell r="E867" t="e">
            <v>#N/A</v>
          </cell>
          <cell r="G867" t="e">
            <v>#N/A</v>
          </cell>
          <cell r="J867" t="e">
            <v>#DIV/0!</v>
          </cell>
          <cell r="K867">
            <v>1</v>
          </cell>
        </row>
        <row r="868">
          <cell r="B868" t="e">
            <v>#DIV/0!</v>
          </cell>
          <cell r="C868">
            <v>1</v>
          </cell>
          <cell r="E868" t="e">
            <v>#N/A</v>
          </cell>
          <cell r="G868" t="e">
            <v>#N/A</v>
          </cell>
          <cell r="J868" t="e">
            <v>#DIV/0!</v>
          </cell>
          <cell r="K868">
            <v>1</v>
          </cell>
        </row>
        <row r="869">
          <cell r="B869" t="e">
            <v>#DIV/0!</v>
          </cell>
          <cell r="C869">
            <v>1</v>
          </cell>
          <cell r="E869" t="e">
            <v>#N/A</v>
          </cell>
          <cell r="G869" t="e">
            <v>#N/A</v>
          </cell>
          <cell r="J869" t="e">
            <v>#DIV/0!</v>
          </cell>
          <cell r="K869">
            <v>1</v>
          </cell>
        </row>
        <row r="870">
          <cell r="B870" t="e">
            <v>#DIV/0!</v>
          </cell>
          <cell r="C870">
            <v>1</v>
          </cell>
          <cell r="E870" t="e">
            <v>#N/A</v>
          </cell>
          <cell r="G870" t="e">
            <v>#N/A</v>
          </cell>
          <cell r="J870" t="e">
            <v>#DIV/0!</v>
          </cell>
          <cell r="K870">
            <v>1</v>
          </cell>
        </row>
        <row r="871">
          <cell r="B871" t="e">
            <v>#DIV/0!</v>
          </cell>
          <cell r="C871">
            <v>1</v>
          </cell>
          <cell r="E871" t="e">
            <v>#N/A</v>
          </cell>
          <cell r="G871" t="e">
            <v>#N/A</v>
          </cell>
          <cell r="J871" t="e">
            <v>#DIV/0!</v>
          </cell>
          <cell r="K871">
            <v>1</v>
          </cell>
        </row>
        <row r="872">
          <cell r="B872" t="e">
            <v>#DIV/0!</v>
          </cell>
          <cell r="C872">
            <v>1</v>
          </cell>
          <cell r="E872" t="e">
            <v>#N/A</v>
          </cell>
          <cell r="G872" t="e">
            <v>#N/A</v>
          </cell>
          <cell r="J872" t="e">
            <v>#DIV/0!</v>
          </cell>
          <cell r="K872">
            <v>1</v>
          </cell>
        </row>
        <row r="873">
          <cell r="B873" t="e">
            <v>#DIV/0!</v>
          </cell>
          <cell r="C873">
            <v>1</v>
          </cell>
          <cell r="E873" t="e">
            <v>#N/A</v>
          </cell>
          <cell r="G873" t="e">
            <v>#N/A</v>
          </cell>
          <cell r="J873" t="e">
            <v>#DIV/0!</v>
          </cell>
          <cell r="K873">
            <v>1</v>
          </cell>
        </row>
        <row r="874">
          <cell r="B874" t="e">
            <v>#DIV/0!</v>
          </cell>
          <cell r="C874">
            <v>1</v>
          </cell>
          <cell r="E874" t="e">
            <v>#N/A</v>
          </cell>
          <cell r="G874" t="e">
            <v>#N/A</v>
          </cell>
          <cell r="J874" t="e">
            <v>#DIV/0!</v>
          </cell>
          <cell r="K874">
            <v>1</v>
          </cell>
        </row>
        <row r="875">
          <cell r="B875" t="e">
            <v>#DIV/0!</v>
          </cell>
          <cell r="C875">
            <v>1</v>
          </cell>
          <cell r="E875" t="e">
            <v>#N/A</v>
          </cell>
          <cell r="G875" t="e">
            <v>#N/A</v>
          </cell>
          <cell r="J875" t="e">
            <v>#DIV/0!</v>
          </cell>
          <cell r="K875">
            <v>1</v>
          </cell>
        </row>
        <row r="876">
          <cell r="B876" t="e">
            <v>#DIV/0!</v>
          </cell>
          <cell r="C876">
            <v>1</v>
          </cell>
          <cell r="E876" t="e">
            <v>#N/A</v>
          </cell>
          <cell r="G876" t="e">
            <v>#N/A</v>
          </cell>
          <cell r="J876" t="e">
            <v>#DIV/0!</v>
          </cell>
          <cell r="K876">
            <v>1</v>
          </cell>
        </row>
        <row r="877">
          <cell r="B877" t="e">
            <v>#DIV/0!</v>
          </cell>
          <cell r="C877">
            <v>1</v>
          </cell>
          <cell r="E877" t="e">
            <v>#N/A</v>
          </cell>
          <cell r="G877" t="e">
            <v>#N/A</v>
          </cell>
          <cell r="J877" t="e">
            <v>#DIV/0!</v>
          </cell>
          <cell r="K877">
            <v>1</v>
          </cell>
        </row>
        <row r="878">
          <cell r="B878" t="e">
            <v>#DIV/0!</v>
          </cell>
          <cell r="C878">
            <v>1</v>
          </cell>
          <cell r="E878" t="e">
            <v>#N/A</v>
          </cell>
          <cell r="G878" t="e">
            <v>#N/A</v>
          </cell>
          <cell r="J878" t="e">
            <v>#DIV/0!</v>
          </cell>
          <cell r="K878">
            <v>1</v>
          </cell>
        </row>
        <row r="879">
          <cell r="B879" t="e">
            <v>#DIV/0!</v>
          </cell>
          <cell r="C879">
            <v>1</v>
          </cell>
          <cell r="E879" t="e">
            <v>#N/A</v>
          </cell>
          <cell r="G879" t="e">
            <v>#N/A</v>
          </cell>
          <cell r="J879" t="e">
            <v>#DIV/0!</v>
          </cell>
          <cell r="K879">
            <v>1</v>
          </cell>
        </row>
        <row r="880">
          <cell r="B880" t="e">
            <v>#DIV/0!</v>
          </cell>
          <cell r="C880">
            <v>1</v>
          </cell>
          <cell r="E880" t="e">
            <v>#N/A</v>
          </cell>
          <cell r="G880" t="e">
            <v>#N/A</v>
          </cell>
          <cell r="J880" t="e">
            <v>#DIV/0!</v>
          </cell>
          <cell r="K880">
            <v>1</v>
          </cell>
        </row>
        <row r="881">
          <cell r="B881" t="e">
            <v>#DIV/0!</v>
          </cell>
          <cell r="C881">
            <v>1</v>
          </cell>
          <cell r="E881" t="e">
            <v>#N/A</v>
          </cell>
          <cell r="G881" t="e">
            <v>#N/A</v>
          </cell>
          <cell r="J881" t="e">
            <v>#DIV/0!</v>
          </cell>
          <cell r="K881">
            <v>1</v>
          </cell>
        </row>
        <row r="882">
          <cell r="B882" t="e">
            <v>#DIV/0!</v>
          </cell>
          <cell r="C882">
            <v>1</v>
          </cell>
          <cell r="E882" t="e">
            <v>#N/A</v>
          </cell>
          <cell r="G882" t="e">
            <v>#N/A</v>
          </cell>
          <cell r="J882" t="e">
            <v>#DIV/0!</v>
          </cell>
          <cell r="K882">
            <v>1</v>
          </cell>
        </row>
        <row r="883">
          <cell r="B883" t="e">
            <v>#DIV/0!</v>
          </cell>
          <cell r="C883">
            <v>1</v>
          </cell>
          <cell r="E883" t="e">
            <v>#N/A</v>
          </cell>
          <cell r="G883" t="e">
            <v>#N/A</v>
          </cell>
          <cell r="J883" t="e">
            <v>#DIV/0!</v>
          </cell>
          <cell r="K883">
            <v>1</v>
          </cell>
        </row>
        <row r="884">
          <cell r="B884" t="e">
            <v>#DIV/0!</v>
          </cell>
          <cell r="C884">
            <v>1</v>
          </cell>
          <cell r="E884" t="e">
            <v>#N/A</v>
          </cell>
          <cell r="G884" t="e">
            <v>#N/A</v>
          </cell>
          <cell r="J884" t="e">
            <v>#DIV/0!</v>
          </cell>
          <cell r="K884">
            <v>1</v>
          </cell>
        </row>
        <row r="885">
          <cell r="B885" t="e">
            <v>#DIV/0!</v>
          </cell>
          <cell r="C885">
            <v>1</v>
          </cell>
          <cell r="E885" t="e">
            <v>#N/A</v>
          </cell>
          <cell r="G885" t="e">
            <v>#N/A</v>
          </cell>
          <cell r="J885" t="e">
            <v>#DIV/0!</v>
          </cell>
          <cell r="K885">
            <v>1</v>
          </cell>
        </row>
        <row r="886">
          <cell r="B886" t="e">
            <v>#DIV/0!</v>
          </cell>
          <cell r="C886">
            <v>1</v>
          </cell>
          <cell r="E886" t="e">
            <v>#N/A</v>
          </cell>
          <cell r="G886" t="e">
            <v>#N/A</v>
          </cell>
          <cell r="J886" t="e">
            <v>#DIV/0!</v>
          </cell>
          <cell r="K886">
            <v>1</v>
          </cell>
        </row>
        <row r="887">
          <cell r="B887" t="e">
            <v>#DIV/0!</v>
          </cell>
          <cell r="C887">
            <v>1</v>
          </cell>
          <cell r="E887" t="e">
            <v>#N/A</v>
          </cell>
          <cell r="G887" t="e">
            <v>#N/A</v>
          </cell>
          <cell r="J887" t="e">
            <v>#DIV/0!</v>
          </cell>
          <cell r="K887">
            <v>1</v>
          </cell>
        </row>
        <row r="888">
          <cell r="B888" t="e">
            <v>#DIV/0!</v>
          </cell>
          <cell r="C888">
            <v>1</v>
          </cell>
          <cell r="E888" t="e">
            <v>#N/A</v>
          </cell>
          <cell r="G888" t="e">
            <v>#N/A</v>
          </cell>
          <cell r="J888" t="e">
            <v>#DIV/0!</v>
          </cell>
          <cell r="K888">
            <v>1</v>
          </cell>
        </row>
        <row r="889">
          <cell r="B889" t="e">
            <v>#DIV/0!</v>
          </cell>
          <cell r="C889">
            <v>1</v>
          </cell>
          <cell r="E889" t="e">
            <v>#N/A</v>
          </cell>
          <cell r="G889" t="e">
            <v>#N/A</v>
          </cell>
          <cell r="J889" t="e">
            <v>#DIV/0!</v>
          </cell>
          <cell r="K889">
            <v>1</v>
          </cell>
        </row>
        <row r="890">
          <cell r="B890" t="e">
            <v>#DIV/0!</v>
          </cell>
          <cell r="C890">
            <v>1</v>
          </cell>
          <cell r="E890" t="e">
            <v>#N/A</v>
          </cell>
          <cell r="G890" t="e">
            <v>#N/A</v>
          </cell>
          <cell r="J890" t="e">
            <v>#DIV/0!</v>
          </cell>
          <cell r="K890">
            <v>1</v>
          </cell>
        </row>
        <row r="891">
          <cell r="B891" t="e">
            <v>#DIV/0!</v>
          </cell>
          <cell r="C891">
            <v>1</v>
          </cell>
          <cell r="E891" t="e">
            <v>#N/A</v>
          </cell>
          <cell r="G891" t="e">
            <v>#N/A</v>
          </cell>
          <cell r="J891" t="e">
            <v>#DIV/0!</v>
          </cell>
          <cell r="K891">
            <v>1</v>
          </cell>
        </row>
        <row r="892">
          <cell r="B892" t="e">
            <v>#DIV/0!</v>
          </cell>
          <cell r="C892">
            <v>1</v>
          </cell>
          <cell r="E892" t="e">
            <v>#N/A</v>
          </cell>
          <cell r="G892" t="e">
            <v>#N/A</v>
          </cell>
          <cell r="J892" t="e">
            <v>#DIV/0!</v>
          </cell>
          <cell r="K892">
            <v>1</v>
          </cell>
        </row>
        <row r="893">
          <cell r="B893" t="e">
            <v>#DIV/0!</v>
          </cell>
          <cell r="C893">
            <v>1</v>
          </cell>
          <cell r="E893" t="e">
            <v>#N/A</v>
          </cell>
          <cell r="G893" t="e">
            <v>#N/A</v>
          </cell>
          <cell r="J893" t="e">
            <v>#DIV/0!</v>
          </cell>
          <cell r="K893">
            <v>1</v>
          </cell>
        </row>
        <row r="894">
          <cell r="B894" t="e">
            <v>#DIV/0!</v>
          </cell>
          <cell r="C894">
            <v>1</v>
          </cell>
          <cell r="E894" t="e">
            <v>#N/A</v>
          </cell>
          <cell r="G894" t="e">
            <v>#N/A</v>
          </cell>
          <cell r="J894" t="e">
            <v>#DIV/0!</v>
          </cell>
          <cell r="K894">
            <v>1</v>
          </cell>
        </row>
        <row r="895">
          <cell r="B895" t="e">
            <v>#DIV/0!</v>
          </cell>
          <cell r="C895">
            <v>1</v>
          </cell>
          <cell r="E895" t="e">
            <v>#N/A</v>
          </cell>
          <cell r="G895" t="e">
            <v>#N/A</v>
          </cell>
          <cell r="J895" t="e">
            <v>#DIV/0!</v>
          </cell>
          <cell r="K895">
            <v>1</v>
          </cell>
        </row>
        <row r="896">
          <cell r="B896" t="e">
            <v>#DIV/0!</v>
          </cell>
          <cell r="C896">
            <v>1</v>
          </cell>
          <cell r="E896" t="e">
            <v>#N/A</v>
          </cell>
          <cell r="G896" t="e">
            <v>#N/A</v>
          </cell>
          <cell r="J896" t="e">
            <v>#DIV/0!</v>
          </cell>
          <cell r="K896">
            <v>1</v>
          </cell>
        </row>
        <row r="897">
          <cell r="B897" t="e">
            <v>#DIV/0!</v>
          </cell>
          <cell r="C897">
            <v>1</v>
          </cell>
          <cell r="E897" t="e">
            <v>#N/A</v>
          </cell>
          <cell r="G897" t="e">
            <v>#N/A</v>
          </cell>
          <cell r="J897" t="e">
            <v>#DIV/0!</v>
          </cell>
          <cell r="K897">
            <v>1</v>
          </cell>
        </row>
        <row r="898">
          <cell r="B898" t="e">
            <v>#DIV/0!</v>
          </cell>
          <cell r="C898">
            <v>1</v>
          </cell>
          <cell r="E898" t="e">
            <v>#N/A</v>
          </cell>
          <cell r="G898" t="e">
            <v>#N/A</v>
          </cell>
          <cell r="J898" t="e">
            <v>#DIV/0!</v>
          </cell>
          <cell r="K898">
            <v>1</v>
          </cell>
        </row>
        <row r="899">
          <cell r="B899" t="e">
            <v>#DIV/0!</v>
          </cell>
          <cell r="C899">
            <v>1</v>
          </cell>
          <cell r="E899" t="e">
            <v>#N/A</v>
          </cell>
          <cell r="G899" t="e">
            <v>#N/A</v>
          </cell>
          <cell r="J899" t="e">
            <v>#DIV/0!</v>
          </cell>
          <cell r="K899">
            <v>1</v>
          </cell>
        </row>
        <row r="900">
          <cell r="B900" t="e">
            <v>#DIV/0!</v>
          </cell>
          <cell r="C900">
            <v>1</v>
          </cell>
          <cell r="E900" t="e">
            <v>#N/A</v>
          </cell>
          <cell r="G900" t="e">
            <v>#N/A</v>
          </cell>
          <cell r="J900" t="e">
            <v>#DIV/0!</v>
          </cell>
          <cell r="K900">
            <v>1</v>
          </cell>
        </row>
        <row r="901">
          <cell r="B901" t="e">
            <v>#DIV/0!</v>
          </cell>
          <cell r="C901">
            <v>1</v>
          </cell>
          <cell r="E901" t="e">
            <v>#N/A</v>
          </cell>
          <cell r="G901" t="e">
            <v>#N/A</v>
          </cell>
          <cell r="J901" t="e">
            <v>#DIV/0!</v>
          </cell>
          <cell r="K901">
            <v>1</v>
          </cell>
        </row>
        <row r="902">
          <cell r="B902" t="e">
            <v>#DIV/0!</v>
          </cell>
          <cell r="C902">
            <v>1</v>
          </cell>
          <cell r="E902" t="e">
            <v>#N/A</v>
          </cell>
          <cell r="G902" t="e">
            <v>#N/A</v>
          </cell>
          <cell r="J902" t="e">
            <v>#DIV/0!</v>
          </cell>
          <cell r="K902">
            <v>1</v>
          </cell>
        </row>
        <row r="903">
          <cell r="B903" t="e">
            <v>#DIV/0!</v>
          </cell>
          <cell r="C903">
            <v>1</v>
          </cell>
          <cell r="E903" t="e">
            <v>#N/A</v>
          </cell>
          <cell r="G903" t="e">
            <v>#N/A</v>
          </cell>
          <cell r="J903" t="e">
            <v>#DIV/0!</v>
          </cell>
          <cell r="K903">
            <v>1</v>
          </cell>
        </row>
        <row r="904">
          <cell r="B904" t="e">
            <v>#DIV/0!</v>
          </cell>
          <cell r="C904">
            <v>1</v>
          </cell>
          <cell r="E904" t="e">
            <v>#N/A</v>
          </cell>
          <cell r="G904" t="e">
            <v>#N/A</v>
          </cell>
          <cell r="J904" t="e">
            <v>#DIV/0!</v>
          </cell>
          <cell r="K904">
            <v>1</v>
          </cell>
        </row>
        <row r="905">
          <cell r="B905" t="e">
            <v>#DIV/0!</v>
          </cell>
          <cell r="C905">
            <v>1</v>
          </cell>
          <cell r="E905" t="e">
            <v>#N/A</v>
          </cell>
          <cell r="G905" t="e">
            <v>#N/A</v>
          </cell>
          <cell r="J905" t="e">
            <v>#DIV/0!</v>
          </cell>
          <cell r="K905">
            <v>1</v>
          </cell>
        </row>
        <row r="906">
          <cell r="B906" t="e">
            <v>#DIV/0!</v>
          </cell>
          <cell r="C906">
            <v>1</v>
          </cell>
          <cell r="E906" t="e">
            <v>#N/A</v>
          </cell>
          <cell r="G906" t="e">
            <v>#N/A</v>
          </cell>
          <cell r="J906" t="e">
            <v>#DIV/0!</v>
          </cell>
          <cell r="K906">
            <v>1</v>
          </cell>
        </row>
        <row r="907">
          <cell r="B907" t="e">
            <v>#DIV/0!</v>
          </cell>
          <cell r="C907">
            <v>1</v>
          </cell>
          <cell r="E907" t="e">
            <v>#N/A</v>
          </cell>
          <cell r="G907" t="e">
            <v>#N/A</v>
          </cell>
          <cell r="J907" t="e">
            <v>#DIV/0!</v>
          </cell>
          <cell r="K907">
            <v>1</v>
          </cell>
        </row>
        <row r="908">
          <cell r="B908" t="e">
            <v>#DIV/0!</v>
          </cell>
          <cell r="C908">
            <v>1</v>
          </cell>
          <cell r="E908" t="e">
            <v>#N/A</v>
          </cell>
          <cell r="G908" t="e">
            <v>#N/A</v>
          </cell>
          <cell r="J908" t="e">
            <v>#DIV/0!</v>
          </cell>
          <cell r="K908">
            <v>1</v>
          </cell>
        </row>
        <row r="909">
          <cell r="B909" t="e">
            <v>#DIV/0!</v>
          </cell>
          <cell r="C909">
            <v>1</v>
          </cell>
          <cell r="E909" t="e">
            <v>#N/A</v>
          </cell>
          <cell r="G909" t="e">
            <v>#N/A</v>
          </cell>
          <cell r="J909" t="e">
            <v>#DIV/0!</v>
          </cell>
          <cell r="K909">
            <v>1</v>
          </cell>
        </row>
        <row r="910">
          <cell r="B910" t="e">
            <v>#DIV/0!</v>
          </cell>
          <cell r="C910">
            <v>1</v>
          </cell>
          <cell r="E910" t="e">
            <v>#N/A</v>
          </cell>
          <cell r="G910" t="e">
            <v>#N/A</v>
          </cell>
          <cell r="J910" t="e">
            <v>#DIV/0!</v>
          </cell>
          <cell r="K910">
            <v>1</v>
          </cell>
        </row>
        <row r="911">
          <cell r="B911" t="e">
            <v>#DIV/0!</v>
          </cell>
          <cell r="C911">
            <v>1</v>
          </cell>
          <cell r="E911" t="e">
            <v>#N/A</v>
          </cell>
          <cell r="G911" t="e">
            <v>#N/A</v>
          </cell>
          <cell r="J911" t="e">
            <v>#DIV/0!</v>
          </cell>
          <cell r="K911">
            <v>1</v>
          </cell>
        </row>
        <row r="912">
          <cell r="B912" t="e">
            <v>#DIV/0!</v>
          </cell>
          <cell r="C912">
            <v>1</v>
          </cell>
          <cell r="E912" t="e">
            <v>#N/A</v>
          </cell>
          <cell r="G912" t="e">
            <v>#N/A</v>
          </cell>
          <cell r="J912" t="e">
            <v>#DIV/0!</v>
          </cell>
          <cell r="K912">
            <v>1</v>
          </cell>
        </row>
        <row r="913">
          <cell r="B913" t="e">
            <v>#DIV/0!</v>
          </cell>
          <cell r="C913">
            <v>1</v>
          </cell>
          <cell r="E913" t="e">
            <v>#N/A</v>
          </cell>
          <cell r="G913" t="e">
            <v>#N/A</v>
          </cell>
          <cell r="J913" t="e">
            <v>#DIV/0!</v>
          </cell>
          <cell r="K913">
            <v>1</v>
          </cell>
        </row>
        <row r="914">
          <cell r="B914" t="e">
            <v>#DIV/0!</v>
          </cell>
          <cell r="C914">
            <v>1</v>
          </cell>
          <cell r="E914" t="e">
            <v>#N/A</v>
          </cell>
          <cell r="G914" t="e">
            <v>#N/A</v>
          </cell>
          <cell r="J914" t="e">
            <v>#DIV/0!</v>
          </cell>
          <cell r="K914">
            <v>1</v>
          </cell>
        </row>
        <row r="915">
          <cell r="B915" t="e">
            <v>#DIV/0!</v>
          </cell>
          <cell r="C915">
            <v>1</v>
          </cell>
          <cell r="E915" t="e">
            <v>#N/A</v>
          </cell>
          <cell r="G915" t="e">
            <v>#N/A</v>
          </cell>
          <cell r="J915" t="e">
            <v>#DIV/0!</v>
          </cell>
          <cell r="K915">
            <v>1</v>
          </cell>
        </row>
        <row r="916">
          <cell r="B916" t="e">
            <v>#DIV/0!</v>
          </cell>
          <cell r="C916">
            <v>1</v>
          </cell>
          <cell r="E916" t="e">
            <v>#N/A</v>
          </cell>
          <cell r="G916" t="e">
            <v>#N/A</v>
          </cell>
          <cell r="J916" t="e">
            <v>#DIV/0!</v>
          </cell>
          <cell r="K916">
            <v>1</v>
          </cell>
        </row>
        <row r="917">
          <cell r="B917" t="e">
            <v>#DIV/0!</v>
          </cell>
          <cell r="C917">
            <v>1</v>
          </cell>
          <cell r="E917" t="e">
            <v>#N/A</v>
          </cell>
          <cell r="G917" t="e">
            <v>#N/A</v>
          </cell>
          <cell r="J917" t="e">
            <v>#DIV/0!</v>
          </cell>
          <cell r="K917">
            <v>1</v>
          </cell>
        </row>
        <row r="918">
          <cell r="B918" t="e">
            <v>#DIV/0!</v>
          </cell>
          <cell r="C918">
            <v>1</v>
          </cell>
          <cell r="E918" t="e">
            <v>#N/A</v>
          </cell>
          <cell r="G918" t="e">
            <v>#N/A</v>
          </cell>
          <cell r="J918" t="e">
            <v>#DIV/0!</v>
          </cell>
          <cell r="K918">
            <v>1</v>
          </cell>
        </row>
        <row r="919">
          <cell r="B919" t="e">
            <v>#DIV/0!</v>
          </cell>
          <cell r="C919">
            <v>1</v>
          </cell>
          <cell r="E919" t="e">
            <v>#N/A</v>
          </cell>
          <cell r="G919" t="e">
            <v>#N/A</v>
          </cell>
          <cell r="J919" t="e">
            <v>#DIV/0!</v>
          </cell>
          <cell r="K919">
            <v>1</v>
          </cell>
        </row>
        <row r="920">
          <cell r="B920" t="e">
            <v>#DIV/0!</v>
          </cell>
          <cell r="C920">
            <v>1</v>
          </cell>
          <cell r="E920" t="e">
            <v>#N/A</v>
          </cell>
          <cell r="G920" t="e">
            <v>#N/A</v>
          </cell>
          <cell r="J920" t="e">
            <v>#DIV/0!</v>
          </cell>
          <cell r="K920">
            <v>1</v>
          </cell>
        </row>
        <row r="921">
          <cell r="B921" t="e">
            <v>#DIV/0!</v>
          </cell>
          <cell r="C921">
            <v>1</v>
          </cell>
          <cell r="E921" t="e">
            <v>#N/A</v>
          </cell>
          <cell r="G921" t="e">
            <v>#N/A</v>
          </cell>
          <cell r="J921" t="e">
            <v>#DIV/0!</v>
          </cell>
          <cell r="K921">
            <v>1</v>
          </cell>
        </row>
        <row r="922">
          <cell r="B922" t="e">
            <v>#DIV/0!</v>
          </cell>
          <cell r="C922">
            <v>1</v>
          </cell>
          <cell r="E922" t="e">
            <v>#N/A</v>
          </cell>
          <cell r="G922" t="e">
            <v>#N/A</v>
          </cell>
          <cell r="J922" t="e">
            <v>#DIV/0!</v>
          </cell>
          <cell r="K922">
            <v>1</v>
          </cell>
        </row>
        <row r="923">
          <cell r="B923" t="e">
            <v>#DIV/0!</v>
          </cell>
          <cell r="C923">
            <v>1</v>
          </cell>
          <cell r="E923" t="e">
            <v>#N/A</v>
          </cell>
          <cell r="G923" t="e">
            <v>#N/A</v>
          </cell>
          <cell r="J923" t="e">
            <v>#DIV/0!</v>
          </cell>
          <cell r="K923">
            <v>1</v>
          </cell>
        </row>
        <row r="924">
          <cell r="B924" t="e">
            <v>#DIV/0!</v>
          </cell>
          <cell r="C924">
            <v>1</v>
          </cell>
          <cell r="E924" t="e">
            <v>#N/A</v>
          </cell>
          <cell r="G924" t="e">
            <v>#N/A</v>
          </cell>
          <cell r="J924" t="e">
            <v>#DIV/0!</v>
          </cell>
          <cell r="K924">
            <v>1</v>
          </cell>
        </row>
        <row r="925">
          <cell r="B925" t="e">
            <v>#DIV/0!</v>
          </cell>
          <cell r="C925">
            <v>1</v>
          </cell>
          <cell r="E925" t="e">
            <v>#N/A</v>
          </cell>
          <cell r="G925" t="e">
            <v>#N/A</v>
          </cell>
          <cell r="J925" t="e">
            <v>#DIV/0!</v>
          </cell>
          <cell r="K925">
            <v>1</v>
          </cell>
        </row>
        <row r="926">
          <cell r="B926" t="e">
            <v>#DIV/0!</v>
          </cell>
          <cell r="C926">
            <v>1</v>
          </cell>
          <cell r="E926" t="e">
            <v>#N/A</v>
          </cell>
          <cell r="G926" t="e">
            <v>#N/A</v>
          </cell>
          <cell r="J926" t="e">
            <v>#DIV/0!</v>
          </cell>
          <cell r="K926">
            <v>1</v>
          </cell>
        </row>
        <row r="927">
          <cell r="B927" t="e">
            <v>#DIV/0!</v>
          </cell>
          <cell r="C927">
            <v>1</v>
          </cell>
          <cell r="E927" t="e">
            <v>#N/A</v>
          </cell>
          <cell r="G927" t="e">
            <v>#N/A</v>
          </cell>
          <cell r="J927" t="e">
            <v>#DIV/0!</v>
          </cell>
          <cell r="K927">
            <v>1</v>
          </cell>
        </row>
        <row r="928">
          <cell r="B928" t="e">
            <v>#DIV/0!</v>
          </cell>
          <cell r="C928">
            <v>1</v>
          </cell>
          <cell r="E928" t="e">
            <v>#N/A</v>
          </cell>
          <cell r="G928" t="e">
            <v>#N/A</v>
          </cell>
          <cell r="J928" t="e">
            <v>#DIV/0!</v>
          </cell>
          <cell r="K928">
            <v>1</v>
          </cell>
        </row>
        <row r="929">
          <cell r="B929" t="e">
            <v>#DIV/0!</v>
          </cell>
          <cell r="C929">
            <v>1</v>
          </cell>
          <cell r="E929" t="e">
            <v>#N/A</v>
          </cell>
          <cell r="G929" t="e">
            <v>#N/A</v>
          </cell>
          <cell r="J929" t="e">
            <v>#DIV/0!</v>
          </cell>
          <cell r="K929">
            <v>1</v>
          </cell>
        </row>
        <row r="930">
          <cell r="B930" t="e">
            <v>#DIV/0!</v>
          </cell>
          <cell r="C930">
            <v>1</v>
          </cell>
          <cell r="E930" t="e">
            <v>#N/A</v>
          </cell>
          <cell r="G930" t="e">
            <v>#N/A</v>
          </cell>
          <cell r="J930" t="e">
            <v>#DIV/0!</v>
          </cell>
          <cell r="K930">
            <v>1</v>
          </cell>
        </row>
        <row r="931">
          <cell r="B931" t="e">
            <v>#DIV/0!</v>
          </cell>
          <cell r="C931">
            <v>1</v>
          </cell>
          <cell r="E931" t="e">
            <v>#N/A</v>
          </cell>
          <cell r="G931" t="e">
            <v>#N/A</v>
          </cell>
          <cell r="J931" t="e">
            <v>#DIV/0!</v>
          </cell>
          <cell r="K931">
            <v>1</v>
          </cell>
        </row>
        <row r="932">
          <cell r="B932" t="e">
            <v>#DIV/0!</v>
          </cell>
          <cell r="C932">
            <v>1</v>
          </cell>
          <cell r="E932" t="e">
            <v>#N/A</v>
          </cell>
          <cell r="G932" t="e">
            <v>#N/A</v>
          </cell>
          <cell r="J932" t="e">
            <v>#DIV/0!</v>
          </cell>
          <cell r="K932">
            <v>1</v>
          </cell>
        </row>
        <row r="933">
          <cell r="B933" t="e">
            <v>#DIV/0!</v>
          </cell>
          <cell r="C933">
            <v>1</v>
          </cell>
          <cell r="E933" t="e">
            <v>#N/A</v>
          </cell>
          <cell r="G933" t="e">
            <v>#N/A</v>
          </cell>
          <cell r="J933" t="e">
            <v>#DIV/0!</v>
          </cell>
          <cell r="K933">
            <v>1</v>
          </cell>
        </row>
        <row r="934">
          <cell r="B934" t="e">
            <v>#DIV/0!</v>
          </cell>
          <cell r="C934">
            <v>1</v>
          </cell>
          <cell r="E934" t="e">
            <v>#N/A</v>
          </cell>
          <cell r="G934" t="e">
            <v>#N/A</v>
          </cell>
          <cell r="J934" t="e">
            <v>#DIV/0!</v>
          </cell>
          <cell r="K934">
            <v>1</v>
          </cell>
        </row>
        <row r="935">
          <cell r="B935" t="e">
            <v>#DIV/0!</v>
          </cell>
          <cell r="C935">
            <v>1</v>
          </cell>
          <cell r="E935" t="e">
            <v>#N/A</v>
          </cell>
          <cell r="G935" t="e">
            <v>#N/A</v>
          </cell>
          <cell r="J935" t="e">
            <v>#DIV/0!</v>
          </cell>
          <cell r="K935">
            <v>1</v>
          </cell>
        </row>
        <row r="936">
          <cell r="B936" t="e">
            <v>#DIV/0!</v>
          </cell>
          <cell r="C936">
            <v>1</v>
          </cell>
          <cell r="E936" t="e">
            <v>#N/A</v>
          </cell>
          <cell r="G936" t="e">
            <v>#N/A</v>
          </cell>
          <cell r="J936" t="e">
            <v>#DIV/0!</v>
          </cell>
          <cell r="K936">
            <v>1</v>
          </cell>
        </row>
        <row r="937">
          <cell r="B937" t="e">
            <v>#DIV/0!</v>
          </cell>
          <cell r="C937">
            <v>1</v>
          </cell>
          <cell r="E937" t="e">
            <v>#N/A</v>
          </cell>
          <cell r="G937" t="e">
            <v>#N/A</v>
          </cell>
          <cell r="J937" t="e">
            <v>#DIV/0!</v>
          </cell>
          <cell r="K937">
            <v>1</v>
          </cell>
        </row>
        <row r="938">
          <cell r="B938" t="e">
            <v>#DIV/0!</v>
          </cell>
          <cell r="C938">
            <v>1</v>
          </cell>
          <cell r="E938" t="e">
            <v>#N/A</v>
          </cell>
          <cell r="G938" t="e">
            <v>#N/A</v>
          </cell>
          <cell r="J938" t="e">
            <v>#DIV/0!</v>
          </cell>
          <cell r="K938">
            <v>1</v>
          </cell>
        </row>
        <row r="939">
          <cell r="B939" t="e">
            <v>#DIV/0!</v>
          </cell>
          <cell r="C939">
            <v>1</v>
          </cell>
          <cell r="E939" t="e">
            <v>#N/A</v>
          </cell>
          <cell r="G939" t="e">
            <v>#N/A</v>
          </cell>
          <cell r="J939" t="e">
            <v>#DIV/0!</v>
          </cell>
          <cell r="K939">
            <v>1</v>
          </cell>
        </row>
        <row r="940">
          <cell r="B940" t="e">
            <v>#DIV/0!</v>
          </cell>
          <cell r="C940">
            <v>1</v>
          </cell>
          <cell r="E940" t="e">
            <v>#N/A</v>
          </cell>
          <cell r="G940" t="e">
            <v>#N/A</v>
          </cell>
          <cell r="J940" t="e">
            <v>#DIV/0!</v>
          </cell>
          <cell r="K940">
            <v>1</v>
          </cell>
        </row>
        <row r="941">
          <cell r="B941" t="e">
            <v>#DIV/0!</v>
          </cell>
          <cell r="C941">
            <v>1</v>
          </cell>
          <cell r="E941" t="e">
            <v>#N/A</v>
          </cell>
          <cell r="G941" t="e">
            <v>#N/A</v>
          </cell>
          <cell r="J941" t="e">
            <v>#DIV/0!</v>
          </cell>
          <cell r="K941">
            <v>1</v>
          </cell>
        </row>
        <row r="942">
          <cell r="B942" t="e">
            <v>#DIV/0!</v>
          </cell>
          <cell r="C942">
            <v>1</v>
          </cell>
          <cell r="E942" t="e">
            <v>#N/A</v>
          </cell>
          <cell r="G942" t="e">
            <v>#N/A</v>
          </cell>
          <cell r="J942" t="e">
            <v>#DIV/0!</v>
          </cell>
          <cell r="K942">
            <v>1</v>
          </cell>
        </row>
        <row r="943">
          <cell r="B943" t="e">
            <v>#DIV/0!</v>
          </cell>
          <cell r="C943">
            <v>1</v>
          </cell>
          <cell r="E943" t="e">
            <v>#N/A</v>
          </cell>
          <cell r="G943" t="e">
            <v>#N/A</v>
          </cell>
          <cell r="J943" t="e">
            <v>#DIV/0!</v>
          </cell>
          <cell r="K943">
            <v>1</v>
          </cell>
        </row>
        <row r="944">
          <cell r="B944" t="e">
            <v>#DIV/0!</v>
          </cell>
          <cell r="C944">
            <v>1</v>
          </cell>
          <cell r="E944" t="e">
            <v>#N/A</v>
          </cell>
          <cell r="G944" t="e">
            <v>#N/A</v>
          </cell>
          <cell r="J944" t="e">
            <v>#DIV/0!</v>
          </cell>
          <cell r="K944">
            <v>1</v>
          </cell>
        </row>
        <row r="945">
          <cell r="B945" t="e">
            <v>#DIV/0!</v>
          </cell>
          <cell r="C945">
            <v>1</v>
          </cell>
          <cell r="E945" t="e">
            <v>#N/A</v>
          </cell>
          <cell r="G945" t="e">
            <v>#N/A</v>
          </cell>
          <cell r="J945" t="e">
            <v>#DIV/0!</v>
          </cell>
          <cell r="K945">
            <v>1</v>
          </cell>
        </row>
        <row r="946">
          <cell r="B946" t="e">
            <v>#DIV/0!</v>
          </cell>
          <cell r="C946">
            <v>1</v>
          </cell>
          <cell r="E946" t="e">
            <v>#N/A</v>
          </cell>
          <cell r="G946" t="e">
            <v>#N/A</v>
          </cell>
          <cell r="J946" t="e">
            <v>#DIV/0!</v>
          </cell>
          <cell r="K946">
            <v>1</v>
          </cell>
        </row>
        <row r="947">
          <cell r="B947" t="e">
            <v>#DIV/0!</v>
          </cell>
          <cell r="C947">
            <v>1</v>
          </cell>
          <cell r="E947" t="e">
            <v>#N/A</v>
          </cell>
          <cell r="G947" t="e">
            <v>#N/A</v>
          </cell>
          <cell r="J947" t="e">
            <v>#DIV/0!</v>
          </cell>
          <cell r="K947">
            <v>1</v>
          </cell>
        </row>
        <row r="948">
          <cell r="B948" t="e">
            <v>#DIV/0!</v>
          </cell>
          <cell r="C948">
            <v>1</v>
          </cell>
          <cell r="E948" t="e">
            <v>#N/A</v>
          </cell>
          <cell r="G948" t="e">
            <v>#N/A</v>
          </cell>
          <cell r="J948" t="e">
            <v>#DIV/0!</v>
          </cell>
          <cell r="K948">
            <v>1</v>
          </cell>
        </row>
        <row r="949">
          <cell r="B949" t="e">
            <v>#DIV/0!</v>
          </cell>
          <cell r="C949">
            <v>1</v>
          </cell>
          <cell r="E949" t="e">
            <v>#N/A</v>
          </cell>
          <cell r="G949" t="e">
            <v>#N/A</v>
          </cell>
          <cell r="J949" t="e">
            <v>#DIV/0!</v>
          </cell>
          <cell r="K949">
            <v>1</v>
          </cell>
        </row>
        <row r="950">
          <cell r="B950" t="e">
            <v>#DIV/0!</v>
          </cell>
          <cell r="C950">
            <v>1</v>
          </cell>
          <cell r="E950" t="e">
            <v>#N/A</v>
          </cell>
          <cell r="G950" t="e">
            <v>#N/A</v>
          </cell>
          <cell r="J950" t="e">
            <v>#DIV/0!</v>
          </cell>
          <cell r="K950">
            <v>1</v>
          </cell>
        </row>
        <row r="951">
          <cell r="B951" t="e">
            <v>#DIV/0!</v>
          </cell>
          <cell r="C951">
            <v>1</v>
          </cell>
          <cell r="E951" t="e">
            <v>#N/A</v>
          </cell>
          <cell r="G951" t="e">
            <v>#N/A</v>
          </cell>
          <cell r="J951" t="e">
            <v>#DIV/0!</v>
          </cell>
          <cell r="K951">
            <v>1</v>
          </cell>
        </row>
        <row r="952">
          <cell r="B952" t="e">
            <v>#DIV/0!</v>
          </cell>
          <cell r="C952">
            <v>1</v>
          </cell>
          <cell r="E952" t="e">
            <v>#N/A</v>
          </cell>
          <cell r="G952" t="e">
            <v>#N/A</v>
          </cell>
          <cell r="J952" t="e">
            <v>#DIV/0!</v>
          </cell>
          <cell r="K952">
            <v>1</v>
          </cell>
        </row>
        <row r="953">
          <cell r="B953" t="e">
            <v>#DIV/0!</v>
          </cell>
          <cell r="C953">
            <v>1</v>
          </cell>
          <cell r="E953" t="e">
            <v>#N/A</v>
          </cell>
          <cell r="G953" t="e">
            <v>#N/A</v>
          </cell>
          <cell r="J953" t="e">
            <v>#DIV/0!</v>
          </cell>
          <cell r="K953">
            <v>1</v>
          </cell>
        </row>
        <row r="954">
          <cell r="B954" t="e">
            <v>#DIV/0!</v>
          </cell>
          <cell r="C954">
            <v>1</v>
          </cell>
          <cell r="E954" t="e">
            <v>#N/A</v>
          </cell>
          <cell r="G954" t="e">
            <v>#N/A</v>
          </cell>
          <cell r="J954" t="e">
            <v>#DIV/0!</v>
          </cell>
          <cell r="K954">
            <v>1</v>
          </cell>
        </row>
        <row r="955">
          <cell r="B955" t="e">
            <v>#DIV/0!</v>
          </cell>
          <cell r="C955">
            <v>1</v>
          </cell>
          <cell r="E955" t="e">
            <v>#N/A</v>
          </cell>
          <cell r="G955" t="e">
            <v>#N/A</v>
          </cell>
          <cell r="J955" t="e">
            <v>#DIV/0!</v>
          </cell>
          <cell r="K955">
            <v>1</v>
          </cell>
        </row>
        <row r="956">
          <cell r="B956" t="e">
            <v>#DIV/0!</v>
          </cell>
          <cell r="C956">
            <v>1</v>
          </cell>
          <cell r="E956" t="e">
            <v>#N/A</v>
          </cell>
          <cell r="G956" t="e">
            <v>#N/A</v>
          </cell>
          <cell r="J956" t="e">
            <v>#DIV/0!</v>
          </cell>
          <cell r="K956">
            <v>1</v>
          </cell>
        </row>
        <row r="957">
          <cell r="B957" t="e">
            <v>#DIV/0!</v>
          </cell>
          <cell r="C957">
            <v>1</v>
          </cell>
          <cell r="E957" t="e">
            <v>#N/A</v>
          </cell>
          <cell r="G957" t="e">
            <v>#N/A</v>
          </cell>
          <cell r="J957" t="e">
            <v>#DIV/0!</v>
          </cell>
          <cell r="K957">
            <v>1</v>
          </cell>
        </row>
        <row r="958">
          <cell r="B958" t="e">
            <v>#DIV/0!</v>
          </cell>
          <cell r="C958">
            <v>1</v>
          </cell>
          <cell r="E958" t="e">
            <v>#N/A</v>
          </cell>
          <cell r="G958" t="e">
            <v>#N/A</v>
          </cell>
          <cell r="J958" t="e">
            <v>#DIV/0!</v>
          </cell>
          <cell r="K958">
            <v>1</v>
          </cell>
        </row>
        <row r="959">
          <cell r="B959" t="e">
            <v>#DIV/0!</v>
          </cell>
          <cell r="C959">
            <v>1</v>
          </cell>
          <cell r="E959" t="e">
            <v>#N/A</v>
          </cell>
          <cell r="G959" t="e">
            <v>#N/A</v>
          </cell>
          <cell r="J959" t="e">
            <v>#DIV/0!</v>
          </cell>
          <cell r="K959">
            <v>1</v>
          </cell>
        </row>
        <row r="960">
          <cell r="B960" t="e">
            <v>#DIV/0!</v>
          </cell>
          <cell r="C960">
            <v>1</v>
          </cell>
          <cell r="E960" t="e">
            <v>#N/A</v>
          </cell>
          <cell r="G960" t="e">
            <v>#N/A</v>
          </cell>
          <cell r="J960" t="e">
            <v>#DIV/0!</v>
          </cell>
          <cell r="K960">
            <v>1</v>
          </cell>
        </row>
        <row r="961">
          <cell r="B961" t="e">
            <v>#DIV/0!</v>
          </cell>
          <cell r="C961">
            <v>1</v>
          </cell>
          <cell r="E961" t="e">
            <v>#N/A</v>
          </cell>
          <cell r="G961" t="e">
            <v>#N/A</v>
          </cell>
          <cell r="J961" t="e">
            <v>#DIV/0!</v>
          </cell>
          <cell r="K961">
            <v>1</v>
          </cell>
        </row>
        <row r="962">
          <cell r="B962" t="e">
            <v>#DIV/0!</v>
          </cell>
          <cell r="C962">
            <v>1</v>
          </cell>
          <cell r="E962" t="e">
            <v>#N/A</v>
          </cell>
          <cell r="G962" t="e">
            <v>#N/A</v>
          </cell>
          <cell r="J962" t="e">
            <v>#DIV/0!</v>
          </cell>
          <cell r="K962">
            <v>1</v>
          </cell>
        </row>
        <row r="963">
          <cell r="B963" t="e">
            <v>#DIV/0!</v>
          </cell>
          <cell r="C963">
            <v>1</v>
          </cell>
          <cell r="E963" t="e">
            <v>#N/A</v>
          </cell>
          <cell r="G963" t="e">
            <v>#N/A</v>
          </cell>
          <cell r="J963" t="e">
            <v>#DIV/0!</v>
          </cell>
          <cell r="K963">
            <v>1</v>
          </cell>
        </row>
        <row r="964">
          <cell r="B964" t="e">
            <v>#DIV/0!</v>
          </cell>
          <cell r="C964">
            <v>1</v>
          </cell>
          <cell r="E964" t="e">
            <v>#N/A</v>
          </cell>
          <cell r="G964" t="e">
            <v>#N/A</v>
          </cell>
          <cell r="J964" t="e">
            <v>#DIV/0!</v>
          </cell>
          <cell r="K964">
            <v>1</v>
          </cell>
        </row>
        <row r="965">
          <cell r="B965" t="e">
            <v>#DIV/0!</v>
          </cell>
          <cell r="C965">
            <v>1</v>
          </cell>
          <cell r="E965" t="e">
            <v>#N/A</v>
          </cell>
          <cell r="G965" t="e">
            <v>#N/A</v>
          </cell>
          <cell r="J965" t="e">
            <v>#DIV/0!</v>
          </cell>
          <cell r="K965">
            <v>1</v>
          </cell>
        </row>
        <row r="966">
          <cell r="B966" t="e">
            <v>#DIV/0!</v>
          </cell>
          <cell r="C966">
            <v>1</v>
          </cell>
          <cell r="E966" t="e">
            <v>#N/A</v>
          </cell>
          <cell r="G966" t="e">
            <v>#N/A</v>
          </cell>
          <cell r="J966" t="e">
            <v>#DIV/0!</v>
          </cell>
          <cell r="K966">
            <v>1</v>
          </cell>
        </row>
        <row r="967">
          <cell r="B967" t="e">
            <v>#DIV/0!</v>
          </cell>
          <cell r="C967">
            <v>1</v>
          </cell>
          <cell r="E967" t="e">
            <v>#N/A</v>
          </cell>
          <cell r="G967" t="e">
            <v>#N/A</v>
          </cell>
          <cell r="J967" t="e">
            <v>#DIV/0!</v>
          </cell>
          <cell r="K967">
            <v>1</v>
          </cell>
        </row>
        <row r="968">
          <cell r="B968" t="e">
            <v>#DIV/0!</v>
          </cell>
          <cell r="C968">
            <v>1</v>
          </cell>
          <cell r="E968" t="e">
            <v>#N/A</v>
          </cell>
          <cell r="G968" t="e">
            <v>#N/A</v>
          </cell>
          <cell r="J968" t="e">
            <v>#DIV/0!</v>
          </cell>
          <cell r="K968">
            <v>1</v>
          </cell>
        </row>
        <row r="969">
          <cell r="B969" t="e">
            <v>#DIV/0!</v>
          </cell>
          <cell r="C969">
            <v>1</v>
          </cell>
          <cell r="E969" t="e">
            <v>#N/A</v>
          </cell>
          <cell r="G969" t="e">
            <v>#N/A</v>
          </cell>
          <cell r="J969" t="e">
            <v>#DIV/0!</v>
          </cell>
          <cell r="K969">
            <v>1</v>
          </cell>
        </row>
        <row r="970">
          <cell r="B970" t="e">
            <v>#DIV/0!</v>
          </cell>
          <cell r="C970">
            <v>1</v>
          </cell>
          <cell r="E970" t="e">
            <v>#N/A</v>
          </cell>
          <cell r="G970" t="e">
            <v>#N/A</v>
          </cell>
          <cell r="J970" t="e">
            <v>#DIV/0!</v>
          </cell>
          <cell r="K970">
            <v>1</v>
          </cell>
        </row>
        <row r="971">
          <cell r="B971" t="e">
            <v>#DIV/0!</v>
          </cell>
          <cell r="C971">
            <v>1</v>
          </cell>
          <cell r="E971" t="e">
            <v>#N/A</v>
          </cell>
          <cell r="G971" t="e">
            <v>#N/A</v>
          </cell>
          <cell r="J971" t="e">
            <v>#DIV/0!</v>
          </cell>
          <cell r="K971">
            <v>1</v>
          </cell>
        </row>
        <row r="972">
          <cell r="B972" t="e">
            <v>#DIV/0!</v>
          </cell>
          <cell r="C972">
            <v>1</v>
          </cell>
          <cell r="E972" t="e">
            <v>#N/A</v>
          </cell>
          <cell r="G972" t="e">
            <v>#N/A</v>
          </cell>
          <cell r="J972" t="e">
            <v>#DIV/0!</v>
          </cell>
          <cell r="K972">
            <v>1</v>
          </cell>
        </row>
        <row r="973">
          <cell r="B973" t="e">
            <v>#DIV/0!</v>
          </cell>
          <cell r="C973">
            <v>1</v>
          </cell>
          <cell r="E973" t="e">
            <v>#N/A</v>
          </cell>
          <cell r="G973" t="e">
            <v>#N/A</v>
          </cell>
          <cell r="J973" t="e">
            <v>#DIV/0!</v>
          </cell>
          <cell r="K973">
            <v>1</v>
          </cell>
        </row>
        <row r="974">
          <cell r="B974" t="e">
            <v>#DIV/0!</v>
          </cell>
          <cell r="C974">
            <v>1</v>
          </cell>
          <cell r="E974" t="e">
            <v>#N/A</v>
          </cell>
          <cell r="G974" t="e">
            <v>#N/A</v>
          </cell>
          <cell r="J974" t="e">
            <v>#DIV/0!</v>
          </cell>
          <cell r="K974">
            <v>1</v>
          </cell>
        </row>
        <row r="975">
          <cell r="B975" t="e">
            <v>#DIV/0!</v>
          </cell>
          <cell r="C975">
            <v>1</v>
          </cell>
          <cell r="E975" t="e">
            <v>#N/A</v>
          </cell>
          <cell r="G975" t="e">
            <v>#N/A</v>
          </cell>
          <cell r="J975" t="e">
            <v>#DIV/0!</v>
          </cell>
          <cell r="K975">
            <v>1</v>
          </cell>
        </row>
        <row r="976">
          <cell r="B976" t="e">
            <v>#DIV/0!</v>
          </cell>
          <cell r="C976">
            <v>1</v>
          </cell>
          <cell r="E976" t="e">
            <v>#N/A</v>
          </cell>
          <cell r="G976" t="e">
            <v>#N/A</v>
          </cell>
          <cell r="J976" t="e">
            <v>#DIV/0!</v>
          </cell>
          <cell r="K976">
            <v>1</v>
          </cell>
        </row>
        <row r="977">
          <cell r="B977" t="e">
            <v>#DIV/0!</v>
          </cell>
          <cell r="C977">
            <v>1</v>
          </cell>
          <cell r="E977" t="e">
            <v>#N/A</v>
          </cell>
          <cell r="G977" t="e">
            <v>#N/A</v>
          </cell>
          <cell r="J977" t="e">
            <v>#DIV/0!</v>
          </cell>
          <cell r="K977">
            <v>1</v>
          </cell>
        </row>
        <row r="978">
          <cell r="B978" t="e">
            <v>#DIV/0!</v>
          </cell>
          <cell r="C978">
            <v>1</v>
          </cell>
          <cell r="E978" t="e">
            <v>#N/A</v>
          </cell>
          <cell r="G978" t="e">
            <v>#N/A</v>
          </cell>
          <cell r="J978" t="e">
            <v>#DIV/0!</v>
          </cell>
          <cell r="K978">
            <v>1</v>
          </cell>
        </row>
        <row r="979">
          <cell r="B979" t="e">
            <v>#DIV/0!</v>
          </cell>
          <cell r="C979">
            <v>1</v>
          </cell>
          <cell r="E979">
            <v>9.9999999999999995E-7</v>
          </cell>
          <cell r="G979">
            <v>9.9999999999999995E-7</v>
          </cell>
          <cell r="J979" t="e">
            <v>#DIV/0!</v>
          </cell>
          <cell r="K979">
            <v>1</v>
          </cell>
        </row>
        <row r="980">
          <cell r="B980" t="e">
            <v>#DIV/0!</v>
          </cell>
          <cell r="C980">
            <v>1</v>
          </cell>
          <cell r="E980">
            <v>9.9999999999999995E-7</v>
          </cell>
          <cell r="G980">
            <v>9.9999999999999995E-7</v>
          </cell>
          <cell r="J980" t="e">
            <v>#DIV/0!</v>
          </cell>
          <cell r="K980">
            <v>1</v>
          </cell>
        </row>
        <row r="981">
          <cell r="B981" t="e">
            <v>#DIV/0!</v>
          </cell>
          <cell r="C981">
            <v>1</v>
          </cell>
          <cell r="E981">
            <v>9.9999999999999995E-7</v>
          </cell>
          <cell r="G981">
            <v>9.9999999999999995E-7</v>
          </cell>
          <cell r="J981" t="e">
            <v>#DIV/0!</v>
          </cell>
          <cell r="K981">
            <v>1</v>
          </cell>
        </row>
        <row r="982">
          <cell r="B982" t="e">
            <v>#DIV/0!</v>
          </cell>
          <cell r="C982">
            <v>1</v>
          </cell>
          <cell r="E982">
            <v>9.9999999999999995E-7</v>
          </cell>
          <cell r="G982">
            <v>9.9999999999999995E-7</v>
          </cell>
          <cell r="J982" t="e">
            <v>#DIV/0!</v>
          </cell>
          <cell r="K982">
            <v>1</v>
          </cell>
        </row>
        <row r="983">
          <cell r="B983" t="e">
            <v>#DIV/0!</v>
          </cell>
          <cell r="C983">
            <v>1</v>
          </cell>
          <cell r="E983">
            <v>9.9999999999999995E-7</v>
          </cell>
          <cell r="G983">
            <v>9.9999999999999995E-7</v>
          </cell>
          <cell r="J983" t="e">
            <v>#DIV/0!</v>
          </cell>
          <cell r="K983">
            <v>1</v>
          </cell>
        </row>
        <row r="984">
          <cell r="B984" t="e">
            <v>#DIV/0!</v>
          </cell>
          <cell r="C984">
            <v>1</v>
          </cell>
          <cell r="E984">
            <v>9.9999999999999995E-7</v>
          </cell>
          <cell r="G984">
            <v>9.9999999999999995E-7</v>
          </cell>
          <cell r="J984" t="e">
            <v>#DIV/0!</v>
          </cell>
          <cell r="K984">
            <v>1</v>
          </cell>
        </row>
        <row r="985">
          <cell r="B985" t="e">
            <v>#DIV/0!</v>
          </cell>
          <cell r="C985">
            <v>1</v>
          </cell>
          <cell r="E985">
            <v>9.9999999999999995E-7</v>
          </cell>
          <cell r="G985">
            <v>9.9999999999999995E-7</v>
          </cell>
          <cell r="J985" t="e">
            <v>#DIV/0!</v>
          </cell>
          <cell r="K985">
            <v>1</v>
          </cell>
        </row>
        <row r="986">
          <cell r="B986" t="e">
            <v>#DIV/0!</v>
          </cell>
          <cell r="C986">
            <v>1</v>
          </cell>
          <cell r="E986">
            <v>9.9999999999999995E-7</v>
          </cell>
          <cell r="G986">
            <v>9.9999999999999995E-7</v>
          </cell>
          <cell r="J986" t="e">
            <v>#DIV/0!</v>
          </cell>
          <cell r="K986">
            <v>1</v>
          </cell>
        </row>
        <row r="987">
          <cell r="B987" t="e">
            <v>#DIV/0!</v>
          </cell>
          <cell r="C987">
            <v>1</v>
          </cell>
          <cell r="E987">
            <v>9.9999999999999995E-7</v>
          </cell>
          <cell r="G987">
            <v>9.9999999999999995E-7</v>
          </cell>
          <cell r="J987" t="e">
            <v>#DIV/0!</v>
          </cell>
          <cell r="K987">
            <v>1</v>
          </cell>
        </row>
        <row r="988">
          <cell r="B988" t="e">
            <v>#DIV/0!</v>
          </cell>
          <cell r="C988">
            <v>1</v>
          </cell>
          <cell r="E988">
            <v>9.9999999999999995E-7</v>
          </cell>
          <cell r="G988">
            <v>9.9999999999999995E-7</v>
          </cell>
          <cell r="J988" t="e">
            <v>#DIV/0!</v>
          </cell>
          <cell r="K988">
            <v>1</v>
          </cell>
        </row>
        <row r="989">
          <cell r="B989" t="e">
            <v>#DIV/0!</v>
          </cell>
          <cell r="C989">
            <v>1</v>
          </cell>
          <cell r="E989">
            <v>9.9999999999999995E-7</v>
          </cell>
          <cell r="G989">
            <v>9.9999999999999995E-7</v>
          </cell>
          <cell r="J989" t="e">
            <v>#DIV/0!</v>
          </cell>
          <cell r="K989">
            <v>1</v>
          </cell>
        </row>
        <row r="990">
          <cell r="B990" t="e">
            <v>#DIV/0!</v>
          </cell>
          <cell r="C990">
            <v>1</v>
          </cell>
          <cell r="E990">
            <v>9.9999999999999995E-7</v>
          </cell>
          <cell r="G990">
            <v>9.9999999999999995E-7</v>
          </cell>
          <cell r="J990" t="e">
            <v>#DIV/0!</v>
          </cell>
          <cell r="K990">
            <v>1</v>
          </cell>
        </row>
        <row r="991">
          <cell r="B991" t="e">
            <v>#DIV/0!</v>
          </cell>
          <cell r="C991">
            <v>1</v>
          </cell>
          <cell r="E991">
            <v>9.9999999999999995E-7</v>
          </cell>
          <cell r="G991">
            <v>9.9999999999999995E-7</v>
          </cell>
          <cell r="J991" t="e">
            <v>#DIV/0!</v>
          </cell>
          <cell r="K991">
            <v>1</v>
          </cell>
        </row>
        <row r="992">
          <cell r="B992" t="e">
            <v>#DIV/0!</v>
          </cell>
          <cell r="C992">
            <v>1</v>
          </cell>
          <cell r="E992">
            <v>9.9999999999999995E-7</v>
          </cell>
          <cell r="G992">
            <v>9.9999999999999995E-7</v>
          </cell>
          <cell r="J992" t="e">
            <v>#DIV/0!</v>
          </cell>
          <cell r="K992">
            <v>1</v>
          </cell>
        </row>
        <row r="993">
          <cell r="B993" t="e">
            <v>#DIV/0!</v>
          </cell>
          <cell r="C993">
            <v>1</v>
          </cell>
          <cell r="E993">
            <v>9.9999999999999995E-7</v>
          </cell>
          <cell r="G993">
            <v>9.9999999999999995E-7</v>
          </cell>
          <cell r="J993" t="e">
            <v>#DIV/0!</v>
          </cell>
          <cell r="K993">
            <v>1</v>
          </cell>
        </row>
        <row r="994">
          <cell r="B994" t="e">
            <v>#DIV/0!</v>
          </cell>
          <cell r="C994">
            <v>1</v>
          </cell>
          <cell r="E994">
            <v>9.9999999999999995E-7</v>
          </cell>
          <cell r="G994">
            <v>9.9999999999999995E-7</v>
          </cell>
          <cell r="J994" t="e">
            <v>#DIV/0!</v>
          </cell>
          <cell r="K994">
            <v>1</v>
          </cell>
        </row>
        <row r="995">
          <cell r="B995" t="e">
            <v>#DIV/0!</v>
          </cell>
          <cell r="C995">
            <v>1</v>
          </cell>
          <cell r="E995">
            <v>9.9999999999999995E-7</v>
          </cell>
          <cell r="G995">
            <v>9.9999999999999995E-7</v>
          </cell>
          <cell r="J995" t="e">
            <v>#DIV/0!</v>
          </cell>
          <cell r="K995">
            <v>1</v>
          </cell>
        </row>
        <row r="996">
          <cell r="B996" t="e">
            <v>#DIV/0!</v>
          </cell>
          <cell r="C996">
            <v>1</v>
          </cell>
          <cell r="E996">
            <v>9.9999999999999995E-7</v>
          </cell>
          <cell r="G996">
            <v>9.9999999999999995E-7</v>
          </cell>
          <cell r="J996" t="e">
            <v>#DIV/0!</v>
          </cell>
          <cell r="K996">
            <v>1</v>
          </cell>
        </row>
        <row r="997">
          <cell r="B997" t="e">
            <v>#DIV/0!</v>
          </cell>
          <cell r="C997">
            <v>1</v>
          </cell>
          <cell r="E997">
            <v>9.9999999999999995E-7</v>
          </cell>
          <cell r="G997">
            <v>9.9999999999999995E-7</v>
          </cell>
          <cell r="J997" t="e">
            <v>#DIV/0!</v>
          </cell>
          <cell r="K997">
            <v>1</v>
          </cell>
        </row>
        <row r="998">
          <cell r="B998" t="e">
            <v>#DIV/0!</v>
          </cell>
          <cell r="C998">
            <v>1</v>
          </cell>
          <cell r="E998">
            <v>9.9999999999999995E-7</v>
          </cell>
          <cell r="G998">
            <v>9.9999999999999995E-7</v>
          </cell>
          <cell r="J998" t="e">
            <v>#DIV/0!</v>
          </cell>
          <cell r="K998">
            <v>1</v>
          </cell>
        </row>
        <row r="999">
          <cell r="B999" t="e">
            <v>#DIV/0!</v>
          </cell>
          <cell r="C999">
            <v>1</v>
          </cell>
          <cell r="E999">
            <v>9.9999999999999995E-7</v>
          </cell>
          <cell r="G999">
            <v>9.9999999999999995E-7</v>
          </cell>
          <cell r="J999" t="e">
            <v>#DIV/0!</v>
          </cell>
          <cell r="K999">
            <v>1</v>
          </cell>
        </row>
        <row r="1000">
          <cell r="B1000" t="e">
            <v>#DIV/0!</v>
          </cell>
          <cell r="C1000">
            <v>1</v>
          </cell>
          <cell r="E1000">
            <v>9.9999999999999995E-7</v>
          </cell>
          <cell r="G1000">
            <v>9.9999999999999995E-7</v>
          </cell>
          <cell r="J1000" t="e">
            <v>#DIV/0!</v>
          </cell>
          <cell r="K1000">
            <v>1</v>
          </cell>
        </row>
      </sheetData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1" name="Tax_Tables" displayName="Tax_Tables" ref="B4:E134" headerRowCount="1" totalsRowShown="0">
  <autoFilter ref="B4:E134"/>
  <tableColumns count="4">
    <tableColumn id="1" name="Tax Year" dataDxfId="8"/>
    <tableColumn id="2" name="Limits" dataDxfId="7" dataCellStyle="Comma"/>
    <tableColumn id="3" name="Percentages" dataDxfId="6"/>
    <tableColumn id="4" name="Tax" dataDxfId="5" dataCellStyle="Comma">
      <calculatedColumnFormula>E4+D4*(C5-C4)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Rebate" displayName="Rebate" ref="G4:J24" headerRowCount="1" totalsRowShown="0" headerRowDxfId="4">
  <autoFilter ref="G4:J24"/>
  <tableColumns count="4">
    <tableColumn id="1" name="Tax Year"/>
    <tableColumn id="2" name="&lt;65"/>
    <tableColumn id="3" name="&lt;75"/>
    <tableColumn id="4" name="&gt;7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x_Credit" displayName="Tax_Credit" ref="L4:O24" headerRowCount="1" totalsRowShown="0">
  <autoFilter ref="L4:O24"/>
  <tableColumns count="4">
    <tableColumn id="1" name="Tax Year">
      <calculatedColumnFormula>L4+1</calculatedColumnFormula>
    </tableColumn>
    <tableColumn id="2" name="Principal"/>
    <tableColumn id="3" name="First Dependant"/>
    <tableColumn id="4" name="Each Addition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3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4.vml" Id="anysvml"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table" Target="/xl/tables/table2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B49"/>
  <sheetViews>
    <sheetView topLeftCell="A20" workbookViewId="0">
      <selection activeCell="C33" sqref="C33"/>
    </sheetView>
  </sheetViews>
  <sheetFormatPr baseColWidth="8" defaultRowHeight="13.2"/>
  <cols>
    <col width="22.33203125" bestFit="1" customWidth="1" min="1" max="1"/>
    <col width="45.33203125" bestFit="1" customWidth="1" min="2" max="2"/>
    <col width="8.88671875" customWidth="1" min="3" max="3"/>
  </cols>
  <sheetData>
    <row r="1" ht="14.4" customHeight="1">
      <c r="A1" s="95" t="inlineStr">
        <is>
          <t>CHECKLIST FOR REPORTS</t>
        </is>
      </c>
      <c r="B1" s="95" t="n"/>
    </row>
    <row r="4" ht="14.4" customHeight="1">
      <c r="A4" s="95" t="inlineStr">
        <is>
          <t xml:space="preserve">COVER PAGE </t>
        </is>
      </c>
      <c r="B4" s="95" t="n"/>
    </row>
    <row r="5">
      <c r="B5" s="88" t="inlineStr">
        <is>
          <t>Name of the Attorney, Claimant, Heading - 14 centred</t>
        </is>
      </c>
    </row>
    <row r="6">
      <c r="B6" s="88" t="inlineStr">
        <is>
          <t>Font - Calibri</t>
        </is>
      </c>
    </row>
    <row r="7">
      <c r="B7" s="88" t="inlineStr">
        <is>
          <t>Date of Calculation and Date of report Font Size - 9</t>
        </is>
      </c>
    </row>
    <row r="8" ht="14.4" customHeight="1">
      <c r="B8" s="88" t="inlineStr">
        <is>
          <t>DATES (on the right corner)</t>
        </is>
      </c>
    </row>
    <row r="9">
      <c r="B9" s="88" t="inlineStr">
        <is>
          <t>Date of Calculation</t>
        </is>
      </c>
    </row>
    <row r="10">
      <c r="B10" s="88" t="inlineStr">
        <is>
          <t>Date of Report</t>
        </is>
      </c>
    </row>
    <row r="11" ht="14.4" customHeight="1">
      <c r="A11" s="95" t="inlineStr">
        <is>
          <t>INTRODUCTION</t>
        </is>
      </c>
    </row>
    <row r="12" ht="14.4" customHeight="1">
      <c r="A12" s="95" t="n">
        <v>1</v>
      </c>
      <c r="B12" t="inlineStr">
        <is>
          <t>Check name</t>
        </is>
      </c>
    </row>
    <row r="13" ht="14.4" customHeight="1">
      <c r="A13" s="95" t="n"/>
      <c r="B13" t="inlineStr">
        <is>
          <t>Check Defendant</t>
        </is>
      </c>
    </row>
    <row r="14">
      <c r="A14" t="n">
        <v>2</v>
      </c>
      <c r="B14" t="inlineStr">
        <is>
          <t>Check the date (not hanging)</t>
        </is>
      </c>
    </row>
    <row r="15">
      <c r="B15" t="inlineStr">
        <is>
          <t>Check type of accident</t>
        </is>
      </c>
    </row>
    <row r="16">
      <c r="A16" t="n">
        <v>3</v>
      </c>
      <c r="B16" t="inlineStr">
        <is>
          <t>Check the dates</t>
        </is>
      </c>
    </row>
    <row r="17">
      <c r="B17" t="inlineStr">
        <is>
          <t>Check name</t>
        </is>
      </c>
    </row>
    <row r="18">
      <c r="A18" t="n">
        <v>4</v>
      </c>
      <c r="B18" t="inlineStr">
        <is>
          <t>Data received and dates</t>
        </is>
      </c>
    </row>
    <row r="19">
      <c r="B19" t="inlineStr">
        <is>
          <t>Check attorney</t>
        </is>
      </c>
    </row>
    <row r="20">
      <c r="A20" t="n">
        <v>5</v>
      </c>
      <c r="B20" t="inlineStr">
        <is>
          <t>Check attorney</t>
        </is>
      </c>
    </row>
    <row r="21">
      <c r="B21" t="inlineStr">
        <is>
          <t>Check Defendant</t>
        </is>
      </c>
    </row>
    <row r="22">
      <c r="A22" t="n">
        <v>6</v>
      </c>
      <c r="B22" t="inlineStr">
        <is>
          <t>Check calculation date</t>
        </is>
      </c>
    </row>
    <row r="23">
      <c r="A23" s="92" t="inlineStr">
        <is>
          <t>INCOME DESCRITPION</t>
        </is>
      </c>
    </row>
    <row r="24">
      <c r="A24" t="n">
        <v>7</v>
      </c>
      <c r="B24" s="88" t="inlineStr">
        <is>
          <t>Check tax years</t>
        </is>
      </c>
    </row>
    <row r="25">
      <c r="B25" s="88" t="inlineStr">
        <is>
          <t>Check grammar</t>
        </is>
      </c>
    </row>
    <row r="26">
      <c r="B26" s="88" t="inlineStr">
        <is>
          <t>Check dates</t>
        </is>
      </c>
    </row>
    <row r="27">
      <c r="B27" s="88" t="inlineStr">
        <is>
          <t xml:space="preserve">Check earnings </t>
        </is>
      </c>
    </row>
    <row r="28">
      <c r="B28" s="88" t="inlineStr">
        <is>
          <t>Check money terms</t>
        </is>
      </c>
    </row>
    <row r="29">
      <c r="B29" s="88" t="inlineStr">
        <is>
          <t>Check GEPF write up, alignment and values</t>
        </is>
      </c>
    </row>
    <row r="30">
      <c r="B30" s="88" t="inlineStr">
        <is>
          <t>Check referencing to the correct data source</t>
        </is>
      </c>
    </row>
    <row r="31">
      <c r="B31" s="88" t="inlineStr">
        <is>
          <t>Scenario headings alignment and formating</t>
        </is>
      </c>
    </row>
    <row r="32">
      <c r="B32" s="88" t="inlineStr">
        <is>
          <t>Check table alignment</t>
        </is>
      </c>
    </row>
    <row r="33">
      <c r="A33" s="92" t="inlineStr">
        <is>
          <t>ASSUMPTIONS</t>
        </is>
      </c>
      <c r="B33" s="88" t="n"/>
    </row>
    <row r="34">
      <c r="A34" t="n">
        <v>8</v>
      </c>
      <c r="B34" s="88" t="inlineStr">
        <is>
          <t>Check CPI values</t>
        </is>
      </c>
    </row>
    <row r="35">
      <c r="A35" t="n">
        <v>9</v>
      </c>
      <c r="B35" s="88" t="inlineStr">
        <is>
          <t>Check contingencies</t>
        </is>
      </c>
    </row>
    <row r="36" ht="14.4" customHeight="1">
      <c r="A36" s="95" t="inlineStr">
        <is>
          <t>METHODOLOGY</t>
        </is>
      </c>
    </row>
    <row r="37">
      <c r="A37" t="n">
        <v>16</v>
      </c>
      <c r="B37" s="88" t="inlineStr">
        <is>
          <t>Check adjustment in Life Expectancy (and write up)</t>
        </is>
      </c>
    </row>
    <row r="38">
      <c r="B38" s="88" t="inlineStr">
        <is>
          <t>Check HIV status (and write up)</t>
        </is>
      </c>
    </row>
    <row r="39">
      <c r="A39" t="n">
        <v>21</v>
      </c>
      <c r="B39" s="88" t="inlineStr">
        <is>
          <t>Check cap write-up and its value</t>
        </is>
      </c>
    </row>
    <row r="40" ht="14.4" customHeight="1">
      <c r="A40" s="95" t="inlineStr">
        <is>
          <t>VALUATION RESULTS</t>
        </is>
      </c>
    </row>
    <row r="41">
      <c r="A41" t="n">
        <v>24</v>
      </c>
      <c r="B41" s="88" t="inlineStr">
        <is>
          <t>Table alignment and formatting</t>
        </is>
      </c>
    </row>
    <row r="42">
      <c r="B42" s="88" t="inlineStr">
        <is>
          <t>Heading well aligned and formated</t>
        </is>
      </c>
    </row>
    <row r="43">
      <c r="B43" s="88" t="inlineStr">
        <is>
          <t>Disability grant write up - alignment and formating</t>
        </is>
      </c>
    </row>
    <row r="44" ht="14.4" customHeight="1">
      <c r="A44" s="95" t="inlineStr">
        <is>
          <t>FOOTNOTES</t>
        </is>
      </c>
    </row>
    <row r="45">
      <c r="B45" s="395" t="inlineStr">
        <is>
          <t>LOE: The claimant's name</t>
        </is>
      </c>
    </row>
    <row r="46">
      <c r="B46" t="inlineStr">
        <is>
          <t>Date of calculation</t>
        </is>
      </c>
    </row>
    <row r="47">
      <c r="B47" t="inlineStr">
        <is>
          <t>Page numbers</t>
        </is>
      </c>
    </row>
    <row r="48">
      <c r="A48" s="92" t="inlineStr">
        <is>
          <t>Appendix</t>
        </is>
      </c>
    </row>
    <row r="49">
      <c r="B49" s="88" t="inlineStr">
        <is>
          <t>Correct snapshots inserted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2">
    <tabColor rgb="FFFFCC99"/>
    <outlinePr summaryBelow="1" summaryRight="1"/>
    <pageSetUpPr/>
  </sheetPr>
  <dimension ref="A2:S43"/>
  <sheetViews>
    <sheetView showGridLines="0" tabSelected="1" zoomScale="90" zoomScaleNormal="90" workbookViewId="0">
      <selection activeCell="C3" sqref="C3"/>
    </sheetView>
  </sheetViews>
  <sheetFormatPr baseColWidth="8" defaultColWidth="8.6640625" defaultRowHeight="13.2" customHeight="1"/>
  <cols>
    <col width="3.33203125" customWidth="1" style="1" min="1" max="1"/>
    <col width="29.33203125" bestFit="1" customWidth="1" style="1" min="2" max="2"/>
    <col width="15.6640625" customWidth="1" style="1" min="3" max="3"/>
    <col width="18.44140625" customWidth="1" style="1" min="4" max="4"/>
    <col width="14.33203125" bestFit="1" customWidth="1" style="1" min="5" max="5"/>
    <col width="9.33203125" bestFit="1" customWidth="1" style="1" min="6" max="6"/>
    <col width="5.6640625" bestFit="1" customWidth="1" style="1" min="7" max="7"/>
    <col width="16.33203125" bestFit="1" customWidth="1" style="1" min="8" max="8"/>
    <col width="12.6640625" bestFit="1" customWidth="1" style="1" min="9" max="9"/>
    <col width="23.44140625" bestFit="1" customWidth="1" style="1" min="10" max="10"/>
    <col width="8.6640625" customWidth="1" style="1" min="11" max="11"/>
    <col width="8.6640625" customWidth="1" style="1" min="12" max="12"/>
    <col width="23.44140625" bestFit="1" customWidth="1" style="1" min="13" max="13"/>
    <col width="9.6640625" bestFit="1" customWidth="1" style="1" min="14" max="14"/>
    <col width="8.6640625" customWidth="1" style="1" min="15" max="16"/>
    <col width="24.33203125" customWidth="1" style="1" min="17" max="17"/>
    <col width="8.6640625" customWidth="1" style="1" min="18" max="16384"/>
  </cols>
  <sheetData>
    <row r="1" ht="13.2" customHeight="1" thickBot="1"/>
    <row r="2" ht="13.2" customHeight="1" thickBot="1">
      <c r="B2" s="201" t="inlineStr">
        <is>
          <t>Open Word Doc from:</t>
        </is>
      </c>
      <c r="C2" s="202" t="inlineStr">
        <is>
          <t>C:\Users\trode\Desktop\February 2024 model</t>
        </is>
      </c>
      <c r="M2" s="182" t="inlineStr">
        <is>
          <t>Discount Rate</t>
        </is>
      </c>
      <c r="N2" s="184">
        <f>1.025*(1+N9)-1</f>
        <v/>
      </c>
      <c r="Q2" s="538" t="inlineStr">
        <is>
          <t>CPI rates as per STATS SA</t>
        </is>
      </c>
      <c r="R2" s="539" t="n"/>
      <c r="S2" s="234" t="n"/>
    </row>
    <row r="3" ht="13.2" customHeight="1" thickBot="1">
      <c r="B3" s="203" t="inlineStr">
        <is>
          <t>Save File To:</t>
        </is>
      </c>
      <c r="C3" s="204" t="inlineStr">
        <is>
          <t>C:\Users\trode\Desktop\2026\One Pangaea\MB Motshabi (4269)</t>
        </is>
      </c>
      <c r="M3" s="183" t="inlineStr">
        <is>
          <t>Net Discount Rate</t>
        </is>
      </c>
      <c r="N3" s="184" t="n">
        <v>0.02499999999999991</v>
      </c>
      <c r="Q3" s="199">
        <f>IF(H7="","",IF(MONTH(H7)&lt;4,IF(MONTH(H7)=3,YEAR(H7)+1,YEAR(H7)),YEAR(H7)+1))-1</f>
        <v/>
      </c>
      <c r="R3" s="258">
        <f>IF(Q3="","",VLOOKUP(Q3+1,CPI!$A$1:$C$60,3,FALSE))</f>
        <v/>
      </c>
      <c r="S3" s="234">
        <f>Q3&amp;":          "&amp;TEXT(R3,"0.00%")&amp;" per annum"</f>
        <v/>
      </c>
    </row>
    <row r="4" ht="13.2" customHeight="1" thickBot="1">
      <c r="B4" s="205" t="inlineStr">
        <is>
          <t>File Name:</t>
        </is>
      </c>
      <c r="C4" s="206">
        <f>"LOE_"&amp;TRIM(MID(C7,1,1))&amp;IFERROR(MID(C7,FIND(" ",C7)+1,1),"")&amp;TRIM(B7)&amp;"_"&amp;TRIM(A11)&amp;"_"&amp;MID(C3,FIND("(",C3)+1,4)&amp;RIGHT(C13,5)</f>
        <v/>
      </c>
      <c r="L4" s="185" t="n"/>
      <c r="M4" s="185" t="n"/>
      <c r="Q4" s="199">
        <f>IFERROR(IF(AND(MONTH(DoC)&lt;=2,Q3=YEAR(DoC)-1),"",IF(YEAR(DoC)=Q3,"",Q3+1)),"")</f>
        <v/>
      </c>
      <c r="R4" s="258">
        <f>IF(Q4="","",VLOOKUP(Q4+1,CPI!$A$1:$C$60,3,FALSE))</f>
        <v/>
      </c>
      <c r="S4" s="234">
        <f>IF(Q4="","",S3&amp;CHAR(10)&amp;Q4&amp;":          "&amp;TEXT(R4,"0.00%")&amp;" per annum")</f>
        <v/>
      </c>
    </row>
    <row r="5" ht="13.2" customHeight="1" thickBot="1">
      <c r="A5" s="41" t="n"/>
      <c r="E5" s="41" t="n"/>
      <c r="F5" s="185" t="n"/>
      <c r="L5" s="186" t="inlineStr">
        <is>
          <t xml:space="preserve">Future </t>
        </is>
      </c>
      <c r="M5" s="182" t="inlineStr">
        <is>
          <t>CPI</t>
        </is>
      </c>
      <c r="N5" s="184" t="n">
        <v>0.05</v>
      </c>
      <c r="Q5" s="199">
        <f>IFERROR(IF(AND(MONTH(DoC)&lt;=2,Q4=YEAR(DoC)-1),"",IF(YEAR(DoC)=Q4,"",Q4+1)),"")</f>
        <v/>
      </c>
      <c r="R5" s="258">
        <f>IF(Q5="","",VLOOKUP(Q5+1,CPI!$A$1:$C$60,3,FALSE))</f>
        <v/>
      </c>
      <c r="S5" s="234">
        <f>IF(Q5="","",S4&amp;CHAR(10)&amp;Q5&amp;":          "&amp;TEXT(R5,"0.00%")&amp;" per annum")</f>
        <v/>
      </c>
    </row>
    <row r="6" ht="10.8" customHeight="1" thickBot="1">
      <c r="A6" s="41" t="n"/>
      <c r="B6" s="270" t="inlineStr">
        <is>
          <t>Surname</t>
        </is>
      </c>
      <c r="C6" s="270" t="inlineStr">
        <is>
          <t>Name</t>
        </is>
      </c>
      <c r="D6" s="270" t="inlineStr">
        <is>
          <t>Full Name</t>
        </is>
      </c>
      <c r="E6" s="259" t="inlineStr">
        <is>
          <t>ID No.</t>
        </is>
      </c>
      <c r="F6" s="259" t="inlineStr">
        <is>
          <t>Date of Birth</t>
        </is>
      </c>
      <c r="G6" s="259" t="inlineStr">
        <is>
          <t>Gender</t>
        </is>
      </c>
      <c r="H6" s="259" t="inlineStr">
        <is>
          <t>Date of Accident</t>
        </is>
      </c>
      <c r="I6" s="259" t="inlineStr">
        <is>
          <t>Date of Calculation</t>
        </is>
      </c>
      <c r="J6" s="270" t="inlineStr">
        <is>
          <t>Age at Date of Calculation</t>
        </is>
      </c>
      <c r="L6" s="41" t="n"/>
      <c r="M6" s="183" t="inlineStr">
        <is>
          <t>Salary Inflation</t>
        </is>
      </c>
      <c r="N6" s="187">
        <f>CONCATENATE(CONCATENATE(M5,"+"),CONCATENATE((i-CPI)*100,"%"))</f>
        <v/>
      </c>
      <c r="Q6" s="199">
        <f>IFERROR(IF(AND(MONTH(DoC)&lt;=2,Q5=YEAR(DoC)-1),"",IF(YEAR(DoC)=Q5,"",Q5+1)),"")</f>
        <v/>
      </c>
      <c r="R6" s="258">
        <f>IF(Q6="","",VLOOKUP(Q6+1,CPI!$A$1:$C$60,3,FALSE))</f>
        <v/>
      </c>
      <c r="S6" s="234">
        <f>IF(Q6="","",S5&amp;CHAR(10)&amp;Q6&amp;":          "&amp;TEXT(R6,"0.00%")&amp;" per annum")</f>
        <v/>
      </c>
    </row>
    <row r="7" ht="23.25" customHeight="1" thickBot="1">
      <c r="A7" s="41" t="n"/>
      <c r="B7" s="271" t="inlineStr">
        <is>
          <t>Ngcongwane</t>
        </is>
      </c>
      <c r="C7" s="271" t="inlineStr">
        <is>
          <t>Boikamoso Lebohang</t>
        </is>
      </c>
      <c r="D7" s="260">
        <f>CONCATENATE(Report!C7," ",Report!B7)</f>
        <v/>
      </c>
      <c r="E7" s="354" t="inlineStr">
        <is>
          <t>1409116503089</t>
        </is>
      </c>
      <c r="F7" s="261">
        <f>DATE(IF(RIGHT(YEAR(NOW()),2)&gt;LEFT(ID,2),20,19)&amp;LEFT(ID,2),MID(ID,3,2),MID(ID,5,2))</f>
        <v/>
      </c>
      <c r="G7" s="272">
        <f>IF(VALUE(MID(ID,7,4))&lt;5000,"F","M")</f>
        <v/>
      </c>
      <c r="H7" s="272" t="n">
        <v>45025</v>
      </c>
      <c r="I7" s="261">
        <f>DATE(YEAR(NOW()),MONTH(NOW())+1,1)</f>
        <v/>
      </c>
      <c r="J7" s="260">
        <f>IF(MONTH(DoB)-MONTH(DoC)&gt;=6,1+ROUND(DATEDIF(DoB,DoC,"M")/12,),IF(MONTH(DoB)-MONTH(DoC)&lt;=-6,ROUNDDOWN(DATEDIF(DoB,DoC,"M")/12,),ROUND(DATEDIF(DoB,DoC,"M")/12,)))</f>
        <v/>
      </c>
      <c r="L7" s="41" t="n"/>
      <c r="M7" s="188" t="inlineStr">
        <is>
          <t>Medical Inflation</t>
        </is>
      </c>
      <c r="N7" s="189">
        <f>CONCATENATE(CONCATENATE(M5,"+"),CONCATENATE((med_i-CPI)*100,"%"))</f>
        <v/>
      </c>
      <c r="Q7" s="199">
        <f>IFERROR(IF(AND(MONTH(DoC)&lt;=2,Q6=YEAR(DoC)-1),"",IF(YEAR(DoC)=Q6,"",Q6+1)),"")</f>
        <v/>
      </c>
      <c r="R7" s="258">
        <f>IF(Q7="","",VLOOKUP(Q7+1,CPI!$A$1:$C$60,3,FALSE))</f>
        <v/>
      </c>
      <c r="S7" s="234">
        <f>IF(Q7="","",S6&amp;CHAR(10)&amp;Q7&amp;":          "&amp;TEXT(R7,"0.00%")&amp;" per annum")</f>
        <v/>
      </c>
    </row>
    <row r="8" ht="20.25" customHeight="1" thickBot="1">
      <c r="C8" s="262">
        <f>IF(gender="F","her","his")</f>
        <v/>
      </c>
      <c r="D8" s="260">
        <f>IF(gender="M","Mr. "&amp;Report!B7,"Ms. "&amp;Report!B7)</f>
        <v/>
      </c>
      <c r="F8" s="185" t="n"/>
      <c r="G8" s="262">
        <f>IF(gender="F","Female","Male")</f>
        <v/>
      </c>
      <c r="H8" s="262">
        <f>IF(DoA="","",IF(MONTH(DoA)&lt;4,IF(MONTH(DoA)=3,YEAR(DoA)+1,YEAR(DoA)),YEAR(DoA)+1))-1&amp;"/"&amp;RIGHT(IF(DoA="","",IF(MONTH(DoA)&lt;4,IF(MONTH(DoA)=3,YEAR(DoA)+1,YEAR(DoA)),YEAR(DoA)+1)),2)</f>
        <v/>
      </c>
      <c r="I8" s="262">
        <f>IF(DoC="","",IF(MONTH(DoC)&lt;4,IF(MONTH(DoC)=3,YEAR(DoC)+1,YEAR(DoC)),YEAR(DoC)+1))-1&amp;"/"&amp;RIGHT(IF(DoC="","",IF(MONTH(DoC)&lt;4,IF(MONTH(DoC)=3,YEAR(DoC)+1,YEAR(DoC)),YEAR(DoC)+1)),2)</f>
        <v/>
      </c>
      <c r="J8" s="41" t="n"/>
      <c r="Q8" s="199">
        <f>IFERROR(IF(AND(MONTH(DoC)&lt;=2,Q7=YEAR(DoC)-1),"",IF(YEAR(DoC)=Q7,"",Q7+1)),"")</f>
        <v/>
      </c>
      <c r="R8" s="258">
        <f>IF(Q8="","",VLOOKUP(Q8+1,CPI!$A$1:$C$60,3,FALSE))</f>
        <v/>
      </c>
      <c r="S8" s="234">
        <f>IF(Q8="","",S7&amp;CHAR(10)&amp;Q8&amp;":          "&amp;TEXT(R8,"0.00%")&amp;" per annum")</f>
        <v/>
      </c>
    </row>
    <row r="9" ht="13.2" customHeight="1" thickBot="1">
      <c r="M9" s="182" t="inlineStr">
        <is>
          <t>Salary Increase (Pre-accident)</t>
        </is>
      </c>
      <c r="N9" s="184">
        <f>CPI+N10</f>
        <v/>
      </c>
      <c r="Q9" s="199">
        <f>IFERROR(IF(AND(MONTH(DoC)&lt;=2,Q8=YEAR(DoC)-1),"",IF(YEAR(DoC)=Q8,"",Q8+1)),"")</f>
        <v/>
      </c>
      <c r="R9" s="258">
        <f>IF(Q9="","",VLOOKUP(Q9+1,CPI!$A$1:$C$60,3,FALSE))</f>
        <v/>
      </c>
      <c r="S9" s="234">
        <f>IF(Q9="","",S8&amp;CHAR(10)&amp;Q9&amp;":          "&amp;TEXT(R9,"0.00%")&amp;" per annum")</f>
        <v/>
      </c>
    </row>
    <row r="10" ht="12.75" customHeight="1" thickBot="1">
      <c r="B10" s="540" t="inlineStr">
        <is>
          <t>Case Information</t>
        </is>
      </c>
      <c r="C10" s="539" t="n"/>
      <c r="D10" s="185" t="n"/>
      <c r="F10" s="41" t="n"/>
      <c r="H10" s="360" t="inlineStr">
        <is>
          <t>Type of accident</t>
        </is>
      </c>
      <c r="M10" s="183" t="inlineStr">
        <is>
          <t>CPI +?</t>
        </is>
      </c>
      <c r="N10" s="184" t="n">
        <v>0.01</v>
      </c>
      <c r="Q10" s="199">
        <f>IFERROR(IF(AND(MONTH(DoC)&lt;=2,Q9=YEAR(DoC)-1),"",IF(YEAR(DoC)=Q9,"",Q9+1)),"")</f>
        <v/>
      </c>
      <c r="R10" s="258">
        <f>IF(Q10="","",VLOOKUP(Q10+1,CPI!$A$1:$C$60,3,FALSE))</f>
        <v/>
      </c>
      <c r="S10" s="6">
        <f>IF(Q10="","",S9&amp;CHAR(10)&amp;Q10&amp;":          "&amp;TEXT(R10,"0.00%")&amp;" per annum")</f>
        <v/>
      </c>
    </row>
    <row r="11" ht="13.2" customHeight="1" thickBot="1">
      <c r="A11" s="358">
        <f>SUBSTITUTE(C11,"Attorneys","")</f>
        <v/>
      </c>
      <c r="B11" s="541" t="inlineStr">
        <is>
          <t>Chuene Attorneys</t>
        </is>
      </c>
      <c r="C11" s="392">
        <f t="array" ref="C11">_xlfn._xlws.FILTER(Attorneys!A2:A1411,ISNUMBER(SEARCH(D11,Attorneys!A2:A1411)),"Not Found")</f>
        <v/>
      </c>
      <c r="D11" s="185" t="inlineStr">
        <is>
          <t>chuene</t>
        </is>
      </c>
      <c r="E11" s="185" t="n"/>
      <c r="H11" s="271" t="inlineStr">
        <is>
          <t>motor</t>
        </is>
      </c>
      <c r="Q11" s="199">
        <f>IFERROR(IF(AND(MONTH(DoC)&lt;=2,Q10=YEAR(DoC)-1),"",IF(YEAR(DoC)=Q10,"",Q10+1)),"")</f>
        <v/>
      </c>
      <c r="R11" s="258">
        <f>IF(Q11="","",VLOOKUP(Q11+1,CPI!$A$1:$C$60,3,FALSE))</f>
        <v/>
      </c>
      <c r="S11" s="6">
        <f>IF(Q11="","",S10&amp;CHAR(10)&amp;Q11&amp;":          "&amp;TEXT(R11,"0.00%")&amp;" per annum")</f>
        <v/>
      </c>
    </row>
    <row r="12" ht="13.2" customHeight="1" thickBot="1">
      <c r="B12" s="541" t="inlineStr">
        <is>
          <t>Attorney Reference</t>
        </is>
      </c>
      <c r="C12" s="392" t="inlineStr">
        <is>
          <t>MR CHUENE/MVA/19481</t>
        </is>
      </c>
      <c r="E12" s="185" t="n"/>
      <c r="M12" s="183" t="inlineStr">
        <is>
          <t>Medical increase</t>
        </is>
      </c>
      <c r="N12" s="184">
        <f>CPI+2.5%</f>
        <v/>
      </c>
      <c r="Q12" s="199">
        <f>IFERROR(IF(AND(MONTH(DoC)&lt;=2,Q11=YEAR(DoC)-1),"",IF(YEAR(DoC)=Q11,"",Q11+1)),"")</f>
        <v/>
      </c>
      <c r="R12" s="258">
        <f>IF(Q12="","",VLOOKUP(Q12+1,CPI!$A$1:$C$60,3,FALSE))</f>
        <v/>
      </c>
      <c r="S12" s="6">
        <f>IF(Q12="","",S11&amp;CHAR(10)&amp;Q12&amp;":          "&amp;TEXT(R12,"0.00%")&amp;" per annum")</f>
        <v/>
      </c>
    </row>
    <row r="13" ht="13.2" customHeight="1" thickBot="1">
      <c r="B13" s="541" t="inlineStr">
        <is>
          <t>Our Reference</t>
        </is>
      </c>
      <c r="C13" s="394">
        <f>"0"&amp;DAY(C14)&amp;TEXT(MONTH(C14)*29,"mmm")&amp;RIGHT(YEAR(C14),2)</f>
        <v/>
      </c>
      <c r="E13" s="185" t="n"/>
      <c r="H13" s="360" t="inlineStr">
        <is>
          <t>HIV?</t>
        </is>
      </c>
      <c r="M13" s="182" t="inlineStr">
        <is>
          <t>Net discount rate</t>
        </is>
      </c>
      <c r="N13" s="184">
        <f>(1+d)/(1+i)-1</f>
        <v/>
      </c>
      <c r="Q13" s="199">
        <f>IFERROR(IF(AND(MONTH(DoC)&lt;=2,Q12=YEAR(DoC)-1),"",IF(YEAR(DoC)=Q12,"",Q12+1)),"")</f>
        <v/>
      </c>
      <c r="R13" s="258">
        <f>IF(Q13="","",VLOOKUP(Q13+1,CPI!$A$1:$C$60,3,FALSE))</f>
        <v/>
      </c>
      <c r="S13" s="6">
        <f>IF(Q13="","",S12&amp;CHAR(10)&amp;Q13&amp;":          "&amp;TEXT(R13,"0.00%")&amp;" per annum")</f>
        <v/>
      </c>
    </row>
    <row r="14" ht="13.2" customHeight="1" thickBot="1">
      <c r="B14" s="541" t="inlineStr">
        <is>
          <t>Instruction Date</t>
        </is>
      </c>
      <c r="C14" s="324" t="n">
        <v>45992</v>
      </c>
      <c r="E14" s="185" t="n"/>
      <c r="H14" s="271" t="inlineStr">
        <is>
          <t>No</t>
        </is>
      </c>
      <c r="M14" s="183" t="inlineStr">
        <is>
          <t>Net medical increase</t>
        </is>
      </c>
      <c r="N14" s="184">
        <f>(1+d)/(1+med_i)-1</f>
        <v/>
      </c>
      <c r="Q14" s="199">
        <f>IFERROR(IF(AND(MONTH(DoC)&lt;=2,Q13=YEAR(DoC)-1),"",IF(YEAR(DoC)=Q13,"",Q13+1)),"")</f>
        <v/>
      </c>
      <c r="R14" s="258">
        <f>IF(Q14="","",VLOOKUP(Q14+1,CPI!$A$1:$C$60,3,FALSE))</f>
        <v/>
      </c>
      <c r="S14" s="6">
        <f>IF(Q14="","",S13&amp;CHAR(10)&amp;Q14&amp;":          "&amp;TEXT(R14,"0.00%")&amp;" per annum")</f>
        <v/>
      </c>
    </row>
    <row r="15" ht="13.2" customHeight="1" thickBot="1">
      <c r="B15" s="185" t="n"/>
      <c r="C15" s="185" t="n"/>
      <c r="D15" s="185" t="n"/>
      <c r="E15" s="185" t="n"/>
      <c r="Q15" s="199">
        <f>IFERROR(IF(AND(MONTH(DoC)&lt;=2,Q14=YEAR(DoC)-1),"",IF(YEAR(DoC)=Q14,"",Q14+1)),"")</f>
        <v/>
      </c>
      <c r="R15" s="258">
        <f>IF(Q15="","",VLOOKUP(Q15+1,CPI!$A$1:$C$60,3,FALSE))</f>
        <v/>
      </c>
      <c r="S15" s="6">
        <f>IF(Q15="","",S14&amp;CHAR(10)&amp;Q15&amp;":          "&amp;TEXT(R15,"0.00%")&amp;" per annum")</f>
        <v/>
      </c>
    </row>
    <row r="16" ht="13.2" customHeight="1" thickBot="1">
      <c r="B16" s="263" t="inlineStr">
        <is>
          <t>Contingency</t>
        </is>
      </c>
      <c r="C16" s="259" t="inlineStr">
        <is>
          <t>Pre-accident</t>
        </is>
      </c>
      <c r="D16" s="259" t="inlineStr">
        <is>
          <t>Post- accident</t>
        </is>
      </c>
      <c r="E16" s="185" t="n"/>
      <c r="H16" s="360" t="inlineStr">
        <is>
          <t>Unique Template</t>
        </is>
      </c>
      <c r="M16" s="183" t="inlineStr">
        <is>
          <t>Salary Promo scale</t>
        </is>
      </c>
      <c r="N16" s="184">
        <f>(1+i)/(1+CPI)</f>
        <v/>
      </c>
      <c r="Q16" s="199">
        <f>IFERROR(IF(AND(MONTH(DoC)&lt;=2,Q15=YEAR(DoC)-1),"",IF(YEAR(DoC)=Q15,"",Q15+1)),"")</f>
        <v/>
      </c>
      <c r="R16" s="258">
        <f>IF(Q16="","",VLOOKUP(Q16+1,CPI!$A$1:$C$60,3,FALSE))</f>
        <v/>
      </c>
      <c r="S16" s="6">
        <f>IF(Q16="","",S15&amp;CHAR(10)&amp;Q16&amp;":          "&amp;TEXT(R16,"0.00%")&amp;" per annum")</f>
        <v/>
      </c>
    </row>
    <row r="17" ht="13.2" customHeight="1" thickBot="1">
      <c r="B17" s="264" t="inlineStr">
        <is>
          <t>Past Loss</t>
        </is>
      </c>
      <c r="C17" s="393" t="n">
        <v>0.05</v>
      </c>
      <c r="D17" s="393" t="n">
        <v>0.05</v>
      </c>
      <c r="H17" s="271" t="inlineStr">
        <is>
          <t>No</t>
        </is>
      </c>
      <c r="M17" s="183" t="inlineStr">
        <is>
          <t>Medical Increase</t>
        </is>
      </c>
      <c r="N17" s="184">
        <f>(1+med_i)/(1+CPI)</f>
        <v/>
      </c>
      <c r="Q17" s="199">
        <f>IFERROR(IF(AND(MONTH(DoC)&lt;=2,Q16=YEAR(DoC)-1),"",IF(YEAR(DoC)=Q16,"",Q16+1)),"")</f>
        <v/>
      </c>
      <c r="R17" s="258">
        <f>IF(Q17="","",VLOOKUP(Q17+1,CPI!$A$1:$C$60,3,FALSE))</f>
        <v/>
      </c>
      <c r="S17" s="6">
        <f>IF(Q17="","",S16&amp;CHAR(10)&amp;Q17&amp;":          "&amp;TEXT(R17,"0.00%")&amp;" per annum")</f>
        <v/>
      </c>
    </row>
    <row r="18" ht="13.2" customHeight="1" thickBot="1">
      <c r="B18" s="264" t="inlineStr">
        <is>
          <t>Future Loss</t>
        </is>
      </c>
      <c r="C18" s="393" t="n">
        <v>0.15</v>
      </c>
      <c r="D18" s="393" t="n">
        <v>0.25</v>
      </c>
      <c r="Q18" s="199">
        <f>IFERROR(IF(AND(MONTH(DoC)&lt;=2,Q17=YEAR(DoC)-1),"",IF(YEAR(DoC)=Q17,"",Q17+1)),"")</f>
        <v/>
      </c>
      <c r="R18" s="258">
        <f>IF(Q18="","",VLOOKUP(Q18+1,CPI!$A$1:$C$60,3,FALSE))</f>
        <v/>
      </c>
      <c r="S18" s="6">
        <f>IF(Q18="","",S17&amp;CHAR(10)&amp;Q18&amp;":          "&amp;TEXT(R18,"0.00%")&amp;" per annum")</f>
        <v/>
      </c>
    </row>
    <row r="19" ht="12.75" customHeight="1" thickBot="1">
      <c r="M19" s="183" t="inlineStr">
        <is>
          <t>Cap</t>
        </is>
      </c>
      <c r="N19" s="268">
        <f>VLOOKUP(DoA,Cap!A:C,2,TRUE)</f>
        <v/>
      </c>
      <c r="Q19" s="199">
        <f>IFERROR(IF(AND(MONTH(DoC)&lt;=2,Q18=YEAR(DoC)-1),"",IF(YEAR(DoC)=Q18,"",Q18+1)),"")</f>
        <v/>
      </c>
      <c r="R19" s="258">
        <f>IF(Q19="","",VLOOKUP(Q19+1,CPI!$A$1:$C$60,3,FALSE))</f>
        <v/>
      </c>
      <c r="S19" s="6">
        <f>IF(Q19="","",S18&amp;CHAR(10)&amp;Q19&amp;":          "&amp;TEXT(R19,"0.00%")&amp;" per annum")</f>
        <v/>
      </c>
    </row>
    <row r="20" ht="13.2" customHeight="1">
      <c r="B20" s="541" t="inlineStr">
        <is>
          <t>IP Name</t>
        </is>
      </c>
      <c r="C20" s="541" t="inlineStr">
        <is>
          <t>IP Company</t>
        </is>
      </c>
      <c r="D20" s="541" t="inlineStr">
        <is>
          <t>Date of IP Report</t>
        </is>
      </c>
      <c r="E20" s="541" t="inlineStr">
        <is>
          <t>Type of Report</t>
        </is>
      </c>
      <c r="Q20" s="199">
        <f>IFERROR(IF(AND(MONTH(DoC)&lt;=2,Q19=YEAR(DoC)-1),"",IF(YEAR(DoC)=Q19,"",Q19+1)),"")</f>
        <v/>
      </c>
      <c r="R20" s="258">
        <f>IF(Q20="","",VLOOKUP(Q20+1,CPI!$A$1:$C$60,3,FALSE))</f>
        <v/>
      </c>
      <c r="S20" s="6">
        <f>IF(Q20="","",S19&amp;CHAR(10)&amp;Q20&amp;":          "&amp;TEXT(R20,"0.00%")&amp;" per annum")</f>
        <v/>
      </c>
    </row>
    <row r="21" ht="13.2" customHeight="1" thickBot="1">
      <c r="B21" s="379" t="inlineStr">
        <is>
          <t>Samkelisiwe Mahlasela</t>
        </is>
      </c>
      <c r="C21" s="265">
        <f>VLOOKUP(B21,'IP Info'!D3:$F$104,2,FALSE)</f>
        <v/>
      </c>
      <c r="D21" s="542" t="n">
        <v>45992</v>
      </c>
      <c r="E21" s="271">
        <f>VLOOKUP(B21,'IP Info'!D3:$F$104,3,FALSE)</f>
        <v/>
      </c>
      <c r="Q21" s="199">
        <f>IFERROR(IF(AND(MONTH(DoC)&lt;=2,Q20=YEAR(DoC)-1),"",IF(YEAR(DoC)=Q20,"",Q20+1)),"")</f>
        <v/>
      </c>
      <c r="R21" s="258">
        <f>IF(Q21="","",VLOOKUP(Q21+1,CPI!$A$1:$C$60,3,FALSE))</f>
        <v/>
      </c>
      <c r="S21" s="6">
        <f>IF(Q21="","",S20&amp;CHAR(10)&amp;Q21&amp;":          "&amp;TEXT(R21,"0.00%")&amp;" per annum")</f>
        <v/>
      </c>
    </row>
    <row r="22" ht="18" customHeight="1">
      <c r="B22" s="265" t="inlineStr">
        <is>
          <t>mirr</t>
        </is>
      </c>
      <c r="Q22" s="199">
        <f>IFERROR(IF(AND(MONTH(DoC)&lt;=2,Q21=YEAR(DoC)-1),"",IF(YEAR(DoC)=Q21,"",Q21+1)),"")</f>
        <v/>
      </c>
      <c r="R22" s="258">
        <f>IF(Q22="","",VLOOKUP(Q22+1,CPI!$A$1:$C$60,3,FALSE))</f>
        <v/>
      </c>
      <c r="S22" s="6">
        <f>IF(Q22="","",S21&amp;CHAR(10)&amp;Q22&amp;":          "&amp;TEXT(R22,"0.00%")&amp;" per annum")</f>
        <v/>
      </c>
    </row>
    <row r="24" ht="13.2" customHeight="1" thickBot="1">
      <c r="Q24" s="541">
        <f>Report!B20</f>
        <v/>
      </c>
    </row>
    <row r="25" ht="13.2" customHeight="1">
      <c r="B25" s="543" t="n"/>
      <c r="C25" s="266" t="inlineStr">
        <is>
          <t>Pre-accident</t>
        </is>
      </c>
      <c r="D25" s="266" t="inlineStr">
        <is>
          <t>Post-accident</t>
        </is>
      </c>
      <c r="E25" s="266" t="inlineStr">
        <is>
          <t>Loss</t>
        </is>
      </c>
      <c r="G25" s="543" t="n"/>
      <c r="H25" s="266" t="inlineStr">
        <is>
          <t>Pre-accident</t>
        </is>
      </c>
      <c r="I25" s="266" t="inlineStr">
        <is>
          <t>Post-accident</t>
        </is>
      </c>
      <c r="J25" s="266" t="inlineStr">
        <is>
          <t>Loss</t>
        </is>
      </c>
      <c r="Q25" s="355">
        <f>CONCATENATE(E21&amp;"-Legal Report for ",D7," by ",B21,IF(C21="Industrial Psychologist"," an "," of "),C21," dated ",TEXT(D21,"d mmmm yyyy"))</f>
        <v/>
      </c>
    </row>
    <row r="26" ht="13.2" customHeight="1" thickBot="1">
      <c r="B26" s="544" t="n"/>
      <c r="C26" s="267" t="inlineStr">
        <is>
          <t>R’s</t>
        </is>
      </c>
      <c r="D26" s="267" t="inlineStr">
        <is>
          <t>R’s</t>
        </is>
      </c>
      <c r="E26" s="267" t="inlineStr">
        <is>
          <t>R’s</t>
        </is>
      </c>
      <c r="G26" s="544" t="n"/>
      <c r="H26" s="267" t="inlineStr">
        <is>
          <t>R’s</t>
        </is>
      </c>
      <c r="I26" s="267" t="inlineStr">
        <is>
          <t>R’s</t>
        </is>
      </c>
      <c r="J26" s="267" t="inlineStr">
        <is>
          <t>R’s</t>
        </is>
      </c>
    </row>
    <row r="27" ht="13.2" customHeight="1" thickBot="1">
      <c r="B27" s="330" t="inlineStr">
        <is>
          <t>Past Income</t>
        </is>
      </c>
      <c r="C27" s="316">
        <f>ROUND('LOE Sc1'!$CA4,)</f>
        <v/>
      </c>
      <c r="D27" s="316">
        <f>ROUND('LOE Sc1'!$CB4,)</f>
        <v/>
      </c>
      <c r="E27" s="316" t="n"/>
      <c r="G27" s="330" t="inlineStr">
        <is>
          <t>Past Income</t>
        </is>
      </c>
      <c r="H27" s="316">
        <f>C27</f>
        <v/>
      </c>
      <c r="I27" s="316">
        <f>D27</f>
        <v/>
      </c>
      <c r="J27" s="316">
        <f>H27-I27</f>
        <v/>
      </c>
    </row>
    <row r="28" ht="13.2" customHeight="1" thickBot="1">
      <c r="B28" s="330" t="inlineStr">
        <is>
          <t>Past Contingencies</t>
        </is>
      </c>
      <c r="C28" s="316">
        <f>ROUND('LOE Sc1'!$CA5,)</f>
        <v/>
      </c>
      <c r="D28" s="316">
        <f>ROUND('LOE Sc1'!$CB5,)</f>
        <v/>
      </c>
      <c r="E28" s="316" t="n"/>
      <c r="G28" s="330" t="inlineStr">
        <is>
          <t>Future Income</t>
        </is>
      </c>
      <c r="H28" s="316">
        <f>C30</f>
        <v/>
      </c>
      <c r="I28" s="316">
        <f>D30</f>
        <v/>
      </c>
      <c r="J28" s="316">
        <f>H28-I28</f>
        <v/>
      </c>
    </row>
    <row r="29" ht="13.2" customHeight="1" thickBot="1">
      <c r="B29" s="330" t="inlineStr">
        <is>
          <t>Net Past Income</t>
        </is>
      </c>
      <c r="C29" s="317">
        <f>C27+C28</f>
        <v/>
      </c>
      <c r="D29" s="317">
        <f>D27+D28</f>
        <v/>
      </c>
      <c r="E29" s="317">
        <f>C29-D29</f>
        <v/>
      </c>
      <c r="G29" s="330" t="inlineStr">
        <is>
          <t>Total Loss</t>
        </is>
      </c>
      <c r="H29" s="317" t="n"/>
      <c r="I29" s="317" t="n"/>
      <c r="J29" s="317">
        <f>J28+J27</f>
        <v/>
      </c>
    </row>
    <row r="30" ht="13.2" customHeight="1" thickBot="1">
      <c r="B30" s="330" t="inlineStr">
        <is>
          <t>Future Income</t>
        </is>
      </c>
      <c r="C30" s="316">
        <f>'LOE Sc1'!$CA6</f>
        <v/>
      </c>
      <c r="D30" s="316">
        <f>ROUND('LOE Sc1'!$CB6,)</f>
        <v/>
      </c>
      <c r="E30" s="316" t="n"/>
    </row>
    <row r="31" ht="13.2" customHeight="1" thickBot="1">
      <c r="B31" s="330" t="inlineStr">
        <is>
          <t>Future Contingencies</t>
        </is>
      </c>
      <c r="C31" s="316">
        <f>'LOE Sc1'!$CA7</f>
        <v/>
      </c>
      <c r="D31" s="316">
        <f>ROUND('LOE Sc1'!$CB7,)</f>
        <v/>
      </c>
      <c r="E31" s="316" t="n"/>
    </row>
    <row r="32" ht="13.2" customHeight="1" thickBot="1">
      <c r="B32" s="330" t="inlineStr">
        <is>
          <t>Net Future Income</t>
        </is>
      </c>
      <c r="C32" s="317">
        <f>C30+C31</f>
        <v/>
      </c>
      <c r="D32" s="317">
        <f>D30+D31</f>
        <v/>
      </c>
      <c r="E32" s="317">
        <f>C32-D32</f>
        <v/>
      </c>
    </row>
    <row r="33" ht="13.2" customHeight="1" thickBot="1">
      <c r="B33" s="330" t="inlineStr">
        <is>
          <t>Total Loss</t>
        </is>
      </c>
      <c r="C33" s="317" t="n"/>
      <c r="D33" s="317" t="n"/>
      <c r="E33" s="317">
        <f>E32+E29</f>
        <v/>
      </c>
    </row>
    <row r="34" ht="13.2" customHeight="1" thickBot="1">
      <c r="B34" s="330" t="inlineStr">
        <is>
          <t>Impact of Cap</t>
        </is>
      </c>
      <c r="C34" s="319" t="n"/>
      <c r="D34" s="319" t="n"/>
      <c r="E34" s="317">
        <f>E35-E33</f>
        <v/>
      </c>
    </row>
    <row r="35" ht="13.2" customHeight="1" thickBot="1">
      <c r="B35" s="330" t="inlineStr">
        <is>
          <t>Net Loss</t>
        </is>
      </c>
      <c r="C35" s="545" t="n"/>
      <c r="D35" s="321" t="n"/>
      <c r="E35" s="322">
        <f>'LOE Sc1'!$CH8</f>
        <v/>
      </c>
      <c r="F35" s="500" t="n"/>
    </row>
    <row r="36" ht="13.2" customHeight="1" thickBot="1"/>
    <row r="37" ht="27" customHeight="1" thickBot="1">
      <c r="B37" s="269" t="inlineStr">
        <is>
          <t>Cap</t>
        </is>
      </c>
      <c r="C37" s="25">
        <f>IF(E34&lt;-2,Cap,0)</f>
        <v/>
      </c>
      <c r="D37" s="360" t="inlineStr">
        <is>
          <t>Disability Grant?</t>
        </is>
      </c>
    </row>
    <row r="38" ht="13.2" customHeight="1" thickBot="1">
      <c r="B38" s="269" t="inlineStr">
        <is>
          <t>Disability Grant Capitalized Amount</t>
        </is>
      </c>
      <c r="C38" s="525">
        <f>IF(D38="Yes",Summary!C116,0)</f>
        <v/>
      </c>
      <c r="D38" s="271" t="inlineStr">
        <is>
          <t>No</t>
        </is>
      </c>
    </row>
    <row r="39" ht="13.2" customHeight="1">
      <c r="B39" s="269" t="inlineStr">
        <is>
          <t>Disability Grant Start date</t>
        </is>
      </c>
      <c r="C39" s="344">
        <f>Summary!C114</f>
        <v/>
      </c>
    </row>
    <row r="40" ht="13.2" customHeight="1">
      <c r="B40" s="269" t="inlineStr">
        <is>
          <t>Disability Grant End date</t>
        </is>
      </c>
      <c r="C40" s="344">
        <f>Summary!C115</f>
        <v/>
      </c>
    </row>
    <row r="42" ht="13.2" customHeight="1">
      <c r="Q42" s="541" t="inlineStr">
        <is>
          <t>CPI rates as per STATS SA</t>
        </is>
      </c>
    </row>
    <row r="43" ht="61.2" customHeight="1">
      <c r="Q43" s="329">
        <f>VLOOKUP(MAX($Q$3:$Q$22),$Q$3:$S$22,3,FALSE)</f>
        <v/>
      </c>
    </row>
  </sheetData>
  <mergeCells count="4">
    <mergeCell ref="B25:B26"/>
    <mergeCell ref="Q2:R2"/>
    <mergeCell ref="B10:C10"/>
    <mergeCell ref="G25:G26"/>
  </mergeCells>
  <dataValidations count="4">
    <dataValidation sqref="H11" showDropDown="0" showInputMessage="1" showErrorMessage="1" allowBlank="1" type="list">
      <formula1>"motor, pedestrian"</formula1>
    </dataValidation>
    <dataValidation sqref="D38 H14" showDropDown="0" showInputMessage="1" showErrorMessage="1" allowBlank="1" type="list">
      <formula1>"Yes, No"</formula1>
    </dataValidation>
    <dataValidation sqref="E21" showDropDown="0" showInputMessage="1" showErrorMessage="1" allowBlank="1" type="list">
      <formula1>"Psycho, Medico"</formula1>
    </dataValidation>
    <dataValidation sqref="H17" showDropDown="0" showInputMessage="1" showErrorMessage="1" allowBlank="1" type="list">
      <formula1>" No, NMPA"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tabColor rgb="FFFFCC99"/>
    <outlinePr summaryBelow="1" summaryRight="1"/>
    <pageSetUpPr/>
  </sheetPr>
  <dimension ref="A1:R116"/>
  <sheetViews>
    <sheetView showGridLines="0" topLeftCell="A12" zoomScale="90" zoomScaleNormal="90" workbookViewId="0">
      <selection activeCell="C55" sqref="C55:C57"/>
    </sheetView>
  </sheetViews>
  <sheetFormatPr baseColWidth="8" defaultColWidth="8.6640625" defaultRowHeight="10.2"/>
  <cols>
    <col width="8.6640625" customWidth="1" style="185" min="1" max="1"/>
    <col width="22.5546875" bestFit="1" customWidth="1" style="1" min="2" max="2"/>
    <col width="20.44140625" bestFit="1" customWidth="1" style="1" min="3" max="3"/>
    <col width="14" bestFit="1" customWidth="1" style="1" min="4" max="4"/>
    <col width="10.5546875" customWidth="1" style="1" min="5" max="6"/>
    <col width="15.5546875" bestFit="1" customWidth="1" style="1" min="7" max="7"/>
    <col width="10.5546875" customWidth="1" style="1" min="8" max="8"/>
    <col width="8.6640625" customWidth="1" style="241" min="9" max="9"/>
    <col width="22.5546875" customWidth="1" style="1" min="10" max="10"/>
    <col width="37.33203125" customWidth="1" style="1" min="11" max="11"/>
    <col width="12" customWidth="1" style="1" min="12" max="12"/>
    <col width="8.6640625" customWidth="1" style="362" min="13" max="15"/>
    <col width="8.6640625" customWidth="1" style="1" min="16" max="16384"/>
  </cols>
  <sheetData>
    <row r="1" ht="30" customHeight="1">
      <c r="C1" s="361" t="n"/>
    </row>
    <row r="2" ht="20.1" customFormat="1" customHeight="1" s="343">
      <c r="A2" s="546" t="inlineStr">
        <is>
          <t>Pre- Accident Earnings Description</t>
        </is>
      </c>
      <c r="B2" s="547" t="n"/>
      <c r="C2" s="547" t="n"/>
      <c r="D2" s="547" t="n"/>
      <c r="E2" s="547" t="n"/>
      <c r="F2" s="547" t="n"/>
      <c r="G2" s="547" t="n"/>
      <c r="H2" s="547" t="n"/>
      <c r="I2" s="539" t="n"/>
      <c r="K2" s="521" t="inlineStr">
        <is>
          <t>PRE-ACCIDENT</t>
        </is>
      </c>
      <c r="L2" s="548" t="n"/>
      <c r="M2" s="362" t="n"/>
      <c r="N2" s="362" t="n"/>
      <c r="O2" s="362" t="n"/>
      <c r="P2" s="356" t="n"/>
    </row>
    <row r="3" ht="22.5" customFormat="1" customHeight="1" s="351">
      <c r="A3" s="345" t="inlineStr">
        <is>
          <t>Portion of Salary</t>
        </is>
      </c>
      <c r="B3" s="346" t="inlineStr">
        <is>
          <t>Date</t>
        </is>
      </c>
      <c r="C3" s="347">
        <f>'LOE Sc1'!G9</f>
        <v/>
      </c>
      <c r="D3" s="347" t="inlineStr">
        <is>
          <t>Age</t>
        </is>
      </c>
      <c r="E3" s="348">
        <f>'LOE Sc1'!I9</f>
        <v/>
      </c>
      <c r="F3" s="348">
        <f>'LOE Sc1'!J9</f>
        <v/>
      </c>
      <c r="G3" s="348">
        <f>'LOE Sc1'!H9</f>
        <v/>
      </c>
      <c r="H3" s="349">
        <f>'LOE Sc1'!L9</f>
        <v/>
      </c>
      <c r="I3" s="350" t="inlineStr">
        <is>
          <t>Info</t>
        </is>
      </c>
      <c r="K3" s="520" t="inlineStr">
        <is>
          <t>ADDITIONAL BENEFITS</t>
        </is>
      </c>
      <c r="L3" s="548" t="n"/>
      <c r="M3" s="362" t="n"/>
      <c r="N3" s="362" t="n"/>
      <c r="O3" s="362" t="n"/>
      <c r="P3" s="356" t="n"/>
    </row>
    <row r="4">
      <c r="A4" s="549">
        <f>IF('LOE Sc1'!W11=Ret_Yr_pre,ROUND((DoR_Pre-'LOE Sc1'!V10)/365.25,5),ROUND(('LOE Sc1'!V11-'LOE Sc1'!V10)/365.25,5))</f>
        <v/>
      </c>
      <c r="B4" s="550">
        <f>DoA</f>
        <v/>
      </c>
      <c r="C4" s="235">
        <f>IF(B4="","",IF(MONTH(B4)&lt;4,IF(MONTH(B4)=3,YEAR(B4)+1,YEAR(B4)),YEAR(B4)+1))</f>
        <v/>
      </c>
      <c r="D4" s="235">
        <f>IF(B4="","",IF(MONTH(DoA)&lt;3,YEAR(B4)-YEAR(DoB)-1,YEAR(B4)-YEAR(DoB)))</f>
        <v/>
      </c>
      <c r="E4" s="551" t="n">
        <v>0</v>
      </c>
      <c r="F4" s="552">
        <f>IF(E4="","",INDEX('LOE Sc1'!$J$11:$J$85,MATCH(Summary!E4,'LOE Sc1'!$I$11:$I$85,0)))</f>
        <v/>
      </c>
      <c r="G4" s="279">
        <f>C4</f>
        <v/>
      </c>
      <c r="H4" s="280" t="n"/>
      <c r="I4" s="239" t="n"/>
      <c r="K4" s="251" t="inlineStr">
        <is>
          <t>Bonus</t>
        </is>
      </c>
      <c r="L4" s="553">
        <f>IF(GEPF_pre="Y",100%,0%)</f>
        <v/>
      </c>
      <c r="P4" s="357" t="n"/>
    </row>
    <row r="5">
      <c r="A5" s="554">
        <f>IF(B5="","",1)</f>
        <v/>
      </c>
      <c r="B5" s="550">
        <f>IF(C5="","",DATE(C5-1,3,1))</f>
        <v/>
      </c>
      <c r="C5" s="279" t="n">
        <v>2034</v>
      </c>
      <c r="D5" s="235">
        <f>IF(C5="","",IF(MONTH(DoB)&lt;3,C5-YEAR(DoB),C5-YEAR(DoB)-1))</f>
        <v/>
      </c>
      <c r="E5" s="551" t="n">
        <v>0</v>
      </c>
      <c r="F5" s="552">
        <f>IF(E5="","",INDEX('LOE Sc1'!$J$11:$J$85,MATCH(Summary!E5,'LOE Sc1'!$I$11:$I$85,0)))</f>
        <v/>
      </c>
      <c r="G5" s="279" t="n">
        <v>2025</v>
      </c>
      <c r="H5" s="280" t="inlineStr">
        <is>
          <t>Flat</t>
        </is>
      </c>
      <c r="I5" s="239" t="n"/>
      <c r="K5" s="251" t="inlineStr">
        <is>
          <t>Overtime</t>
        </is>
      </c>
      <c r="L5" s="553" t="n">
        <v>0</v>
      </c>
      <c r="P5" s="357" t="n"/>
    </row>
    <row r="6">
      <c r="A6" s="554">
        <f>IF(B6="","",1)</f>
        <v/>
      </c>
      <c r="B6" s="550">
        <f>IF(C6="","",DATE(C6-1,3,1))</f>
        <v/>
      </c>
      <c r="C6" s="279" t="n">
        <v>2037</v>
      </c>
      <c r="D6" s="235">
        <f>IF(C6="","",IF(MONTH(DoB)&lt;3,C6-YEAR(DoB),C6-YEAR(DoB)-1))</f>
        <v/>
      </c>
      <c r="E6" s="551" t="n">
        <v>0</v>
      </c>
      <c r="F6" s="552">
        <f>IF(E6="","",INDEX('LOE Sc1'!$J$11:$J$85,MATCH(Summary!E6,'LOE Sc1'!$I$11:$I$85,0)))</f>
        <v/>
      </c>
      <c r="G6" s="279" t="n">
        <v>2025</v>
      </c>
      <c r="H6" s="280" t="inlineStr">
        <is>
          <t>Flat</t>
        </is>
      </c>
      <c r="I6" s="239" t="n"/>
      <c r="K6" s="251" t="inlineStr">
        <is>
          <t>Other Allowances</t>
        </is>
      </c>
      <c r="L6" s="553" t="n">
        <v>0</v>
      </c>
      <c r="P6" s="357" t="n"/>
    </row>
    <row r="7">
      <c r="A7" s="554">
        <f>IF(B7="","",1)</f>
        <v/>
      </c>
      <c r="B7" s="550">
        <f>IF(C7="","",DATE(C7-1,3,1))</f>
        <v/>
      </c>
      <c r="C7" s="279" t="n">
        <v>2038</v>
      </c>
      <c r="D7" s="235">
        <f>IF(C7="","",IF(MONTH(DoB)&lt;3,C7-YEAR(DoB),C7-YEAR(DoB)-1))</f>
        <v/>
      </c>
      <c r="E7" s="551" t="n">
        <v>114000</v>
      </c>
      <c r="F7" s="552">
        <f>IF(E7="","",INDEX('LOE Sc1'!$J$11:$J$85,MATCH(Summary!E7,'LOE Sc1'!$I$11:$I$85,0)))</f>
        <v/>
      </c>
      <c r="G7" s="279" t="n">
        <v>2025</v>
      </c>
      <c r="H7" s="280" t="inlineStr">
        <is>
          <t>Flat</t>
        </is>
      </c>
      <c r="I7" s="239" t="n"/>
      <c r="K7" s="251" t="inlineStr">
        <is>
          <t>Service or Remote Allowance per month</t>
        </is>
      </c>
      <c r="L7" s="199" t="n">
        <v>0</v>
      </c>
      <c r="P7" s="357" t="n"/>
    </row>
    <row r="8">
      <c r="A8" s="554">
        <f>IF(B8="","",1)</f>
        <v/>
      </c>
      <c r="B8" s="550">
        <f>IF(C8="","",DATE(C8-1,3,1))</f>
        <v/>
      </c>
      <c r="C8" s="279" t="n">
        <v>2060</v>
      </c>
      <c r="D8" s="235">
        <f>IF(C8="","",IF(MONTH(DoB)&lt;3,C8-YEAR(DoB),C8-YEAR(DoB)-1))</f>
        <v/>
      </c>
      <c r="E8" s="551" t="n">
        <v>622000</v>
      </c>
      <c r="F8" s="552">
        <f>IF(E8="","",INDEX('LOE Sc1'!$J$11:$J$85,MATCH(Summary!E8,'LOE Sc1'!$I$11:$I$85,0)))</f>
        <v/>
      </c>
      <c r="G8" s="279" t="n">
        <v>2025</v>
      </c>
      <c r="H8" s="280" t="inlineStr">
        <is>
          <t>Linear</t>
        </is>
      </c>
      <c r="I8" s="239" t="n"/>
      <c r="K8" s="251" t="inlineStr">
        <is>
          <t>Pension EE</t>
        </is>
      </c>
      <c r="L8" s="553" t="n">
        <v>0</v>
      </c>
      <c r="M8" s="505" t="n"/>
      <c r="P8" s="357" t="n"/>
    </row>
    <row r="9">
      <c r="A9" s="554">
        <f>IF(B9="","",1)</f>
        <v/>
      </c>
      <c r="B9" s="550">
        <f>IF(C9="","",DATE(C9-1,3,1))</f>
        <v/>
      </c>
      <c r="C9" s="279" t="n"/>
      <c r="D9" s="235">
        <f>IF(C9="","",IF(MONTH(DoB)&lt;3,C9-YEAR(DoB),C9-YEAR(DoB)-1))</f>
        <v/>
      </c>
      <c r="E9" s="551" t="n"/>
      <c r="F9" s="552">
        <f>IF(E9="","",INDEX('LOE Sc1'!$J$11:$J$85,MATCH(Summary!E9,'LOE Sc1'!$I$11:$I$85,0)))</f>
        <v/>
      </c>
      <c r="G9" s="279" t="n"/>
      <c r="H9" s="280" t="inlineStr">
        <is>
          <t>Flat</t>
        </is>
      </c>
      <c r="I9" s="239" t="n"/>
      <c r="K9" s="251" t="inlineStr">
        <is>
          <t>Pension ER</t>
        </is>
      </c>
      <c r="L9" s="553" t="n">
        <v>0</v>
      </c>
      <c r="P9" s="357" t="n"/>
    </row>
    <row r="10">
      <c r="A10" s="554">
        <f>IF(B10="","",1)</f>
        <v/>
      </c>
      <c r="B10" s="550">
        <f>IF(C10="","",DATE(C10-1,3,1))</f>
        <v/>
      </c>
      <c r="C10" s="279" t="n"/>
      <c r="D10" s="235">
        <f>IF(C10="","",IF(MONTH(DoB)&lt;3,C10-YEAR(DoB),C10-YEAR(DoB)-1))</f>
        <v/>
      </c>
      <c r="E10" s="551" t="n"/>
      <c r="F10" s="552">
        <f>IF(E10="","",INDEX('LOE Sc1'!$J$11:$J$85,MATCH(Summary!E10,'LOE Sc1'!$I$11:$I$85,0)))</f>
        <v/>
      </c>
      <c r="G10" s="279" t="n"/>
      <c r="H10" s="280" t="inlineStr">
        <is>
          <t>Flat</t>
        </is>
      </c>
      <c r="I10" s="239" t="n"/>
      <c r="K10" s="118" t="n"/>
      <c r="L10" s="118" t="n"/>
      <c r="P10" s="357" t="n"/>
    </row>
    <row r="11">
      <c r="A11" s="554">
        <f>IF(B11="","",1)</f>
        <v/>
      </c>
      <c r="B11" s="550">
        <f>IF(C11="","",DATE(C11-1,3,1))</f>
        <v/>
      </c>
      <c r="C11" s="279" t="n"/>
      <c r="D11" s="235">
        <f>IF(C11="","",IF(MONTH(DoB)&lt;3,C11-YEAR(DoB),C11-YEAR(DoB)-1))</f>
        <v/>
      </c>
      <c r="E11" s="551" t="n"/>
      <c r="F11" s="552">
        <f>IF(E11="","",INDEX('LOE Sc1'!$J$11:$J$85,MATCH(Summary!E11,'LOE Sc1'!$I$11:$I$85,0)))</f>
        <v/>
      </c>
      <c r="G11" s="279" t="n"/>
      <c r="H11" s="280" t="inlineStr">
        <is>
          <t>Flat</t>
        </is>
      </c>
      <c r="I11" s="239" t="n"/>
      <c r="K11" s="555" t="inlineStr">
        <is>
          <t>Tax Medical Aid</t>
        </is>
      </c>
      <c r="L11" s="539" t="n"/>
      <c r="P11" s="357" t="n"/>
    </row>
    <row r="12">
      <c r="A12" s="554">
        <f>IF(B12="","",1)</f>
        <v/>
      </c>
      <c r="B12" s="550">
        <f>IF(C12="","",DATE(C12-1,3,1))</f>
        <v/>
      </c>
      <c r="C12" s="279" t="n"/>
      <c r="D12" s="235">
        <f>IF(C12="","",IF(MONTH(DoB)&lt;3,C12-YEAR(DoB),C12-YEAR(DoB)-1))</f>
        <v/>
      </c>
      <c r="E12" s="551" t="n"/>
      <c r="F12" s="552">
        <f>IF(E12="","",INDEX('LOE Sc1'!$J$11:$J$85,MATCH(Summary!E12,'LOE Sc1'!$I$11:$I$85,0)))</f>
        <v/>
      </c>
      <c r="G12" s="279" t="n"/>
      <c r="H12" s="280" t="inlineStr">
        <is>
          <t>Flat</t>
        </is>
      </c>
      <c r="I12" s="239" t="n"/>
      <c r="K12" s="251" t="inlineStr">
        <is>
          <t>Medical Aid Dependants</t>
        </is>
      </c>
      <c r="L12" s="199" t="n">
        <v>0</v>
      </c>
      <c r="P12" s="357" t="n"/>
    </row>
    <row r="13">
      <c r="A13" s="554">
        <f>IF(B13="","",1)</f>
        <v/>
      </c>
      <c r="B13" s="550">
        <f>IF(C13="","",DATE(C13-1,3,1))</f>
        <v/>
      </c>
      <c r="C13" s="279" t="n"/>
      <c r="D13" s="235">
        <f>IF(C13="","",IF(MONTH(DoB)&lt;3,C13-YEAR(DoB),C13-YEAR(DoB)-1))</f>
        <v/>
      </c>
      <c r="E13" s="551" t="n"/>
      <c r="F13" s="552">
        <f>IF(E13="","",INDEX('LOE Sc1'!$J$11:$J$85,MATCH(Summary!E13,'LOE Sc1'!$I$11:$I$85,0)))</f>
        <v/>
      </c>
      <c r="G13" s="279" t="n"/>
      <c r="H13" s="280" t="inlineStr">
        <is>
          <t>Flat</t>
        </is>
      </c>
      <c r="I13" s="239" t="n"/>
      <c r="P13" s="357" t="n"/>
    </row>
    <row r="14" ht="13.8" customHeight="1">
      <c r="A14" s="554">
        <f>IF(B14="","",1)</f>
        <v/>
      </c>
      <c r="B14" s="550">
        <f>IF(C14="","",DATE(C14-1,3,1))</f>
        <v/>
      </c>
      <c r="C14" s="279" t="n"/>
      <c r="D14" s="235">
        <f>IF(C14="","",IF(MONTH(DoB)&lt;3,C14-YEAR(DoB),C14-YEAR(DoB)-1))</f>
        <v/>
      </c>
      <c r="E14" s="551" t="n"/>
      <c r="F14" s="552">
        <f>IF(E14="","",INDEX('LOE Sc1'!$J$11:$J$85,MATCH(Summary!E14,'LOE Sc1'!$I$11:$I$85,0)))</f>
        <v/>
      </c>
      <c r="G14" s="279" t="n"/>
      <c r="H14" s="280" t="inlineStr">
        <is>
          <t>Flat</t>
        </is>
      </c>
      <c r="I14" s="239" t="n"/>
      <c r="K14" s="274" t="inlineStr">
        <is>
          <t>Mortality Adjustment</t>
        </is>
      </c>
      <c r="L14" s="273" t="n">
        <v>0</v>
      </c>
      <c r="P14" s="357" t="n"/>
    </row>
    <row r="15">
      <c r="A15" s="554">
        <f>IF(B15="","",1)</f>
        <v/>
      </c>
      <c r="B15" s="550">
        <f>IF(C15="","",DATE(C15-1,3,1))</f>
        <v/>
      </c>
      <c r="C15" s="279" t="n"/>
      <c r="D15" s="235">
        <f>IF(C15="","",IF(MONTH(DoB)&lt;3,C15-YEAR(DoB),C15-YEAR(DoB)-1))</f>
        <v/>
      </c>
      <c r="E15" s="551" t="n"/>
      <c r="F15" s="552">
        <f>IF(E15="","",INDEX('LOE Sc1'!$J$11:$J$85,MATCH(Summary!E15,'LOE Sc1'!$I$11:$I$85,0)))</f>
        <v/>
      </c>
      <c r="G15" s="279" t="n"/>
      <c r="H15" s="280" t="inlineStr">
        <is>
          <t>Flat</t>
        </is>
      </c>
      <c r="I15" s="239" t="n"/>
      <c r="P15" s="357" t="n"/>
    </row>
    <row r="16">
      <c r="A16" s="554">
        <f>IF(B16="","",1)</f>
        <v/>
      </c>
      <c r="B16" s="550">
        <f>IF(C16="","",DATE(C16-1,3,1))</f>
        <v/>
      </c>
      <c r="C16" s="279" t="n"/>
      <c r="D16" s="235">
        <f>IF(C16="","",IF(MONTH(DoB)&lt;3,C16-YEAR(DoB),C16-YEAR(DoB)-1))</f>
        <v/>
      </c>
      <c r="E16" s="551" t="n"/>
      <c r="F16" s="552">
        <f>IF(E16="","",INDEX('LOE Sc1'!$J$11:$J$85,MATCH(Summary!E16,'LOE Sc1'!$I$11:$I$85,0)))</f>
        <v/>
      </c>
      <c r="G16" s="279" t="n"/>
      <c r="H16" s="280" t="inlineStr">
        <is>
          <t>Flat</t>
        </is>
      </c>
      <c r="I16" s="239" t="n"/>
      <c r="P16" s="357" t="n"/>
    </row>
    <row r="17">
      <c r="A17" s="554">
        <f>IF(B17="","",1)</f>
        <v/>
      </c>
      <c r="B17" s="550">
        <f>IF(C17="","",DATE(C17-1,3,1))</f>
        <v/>
      </c>
      <c r="C17" s="279" t="n"/>
      <c r="D17" s="235">
        <f>IF(C17="","",IF(MONTH(DoB)&lt;3,C17-YEAR(DoB),C17-YEAR(DoB)-1))</f>
        <v/>
      </c>
      <c r="E17" s="551" t="n"/>
      <c r="F17" s="552">
        <f>IF(E17="","",INDEX('LOE Sc1'!$J$11:$J$85,MATCH(Summary!E17,'LOE Sc1'!$I$11:$I$85,0)))</f>
        <v/>
      </c>
      <c r="G17" s="279" t="n"/>
      <c r="H17" s="280" t="inlineStr">
        <is>
          <t>Flat</t>
        </is>
      </c>
      <c r="I17" s="239" t="n"/>
      <c r="P17" s="357" t="n"/>
    </row>
    <row r="18">
      <c r="A18" s="554">
        <f>IF(B18="","",1)</f>
        <v/>
      </c>
      <c r="B18" s="550">
        <f>IF(C18="","",DATE(C18-1,3,1))</f>
        <v/>
      </c>
      <c r="C18" s="279" t="n"/>
      <c r="D18" s="235">
        <f>IF(C18="","",IF(MONTH(DoB)&lt;3,C18-YEAR(DoB),C18-YEAR(DoB)-1))</f>
        <v/>
      </c>
      <c r="E18" s="551" t="n"/>
      <c r="F18" s="552">
        <f>IF(E18="","",INDEX('LOE Sc1'!$J$11:$J$85,MATCH(Summary!E18,'LOE Sc1'!$I$11:$I$85,0)))</f>
        <v/>
      </c>
      <c r="G18" s="279" t="n"/>
      <c r="H18" s="280" t="inlineStr">
        <is>
          <t>Flat</t>
        </is>
      </c>
      <c r="I18" s="239" t="n"/>
      <c r="P18" s="357" t="n"/>
    </row>
    <row r="19">
      <c r="A19" s="554">
        <f>IF(B19="","",1)</f>
        <v/>
      </c>
      <c r="B19" s="550">
        <f>IF(C19="","",DATE(C19-1,3,1))</f>
        <v/>
      </c>
      <c r="C19" s="279" t="n"/>
      <c r="D19" s="235">
        <f>IF(C19="","",IF(MONTH(DoB)&lt;3,C19-YEAR(DoB),C19-YEAR(DoB)-1))</f>
        <v/>
      </c>
      <c r="E19" s="551" t="n"/>
      <c r="F19" s="552">
        <f>IF(E19="","",INDEX('LOE Sc1'!$J$11:$J$85,MATCH(Summary!E19,'LOE Sc1'!$I$11:$I$85,0)))</f>
        <v/>
      </c>
      <c r="G19" s="279" t="n"/>
      <c r="H19" s="280" t="inlineStr">
        <is>
          <t>Flat</t>
        </is>
      </c>
      <c r="I19" s="239" t="n"/>
      <c r="P19" s="357" t="n"/>
    </row>
    <row r="20">
      <c r="A20" s="554">
        <f>IF(B20="","",1)</f>
        <v/>
      </c>
      <c r="B20" s="550">
        <f>IF(C20="","",DATE(C20-1,3,1))</f>
        <v/>
      </c>
      <c r="C20" s="279" t="n"/>
      <c r="D20" s="235">
        <f>IF(C20="","",IF(MONTH(DoB)&lt;3,C20-YEAR(DoB),C20-YEAR(DoB)-1))</f>
        <v/>
      </c>
      <c r="E20" s="551" t="n"/>
      <c r="F20" s="552">
        <f>IF(E20="","",INDEX('LOE Sc1'!$J$11:$J$85,MATCH(Summary!E20,'LOE Sc1'!$I$11:$I$85,0)))</f>
        <v/>
      </c>
      <c r="G20" s="279" t="n"/>
      <c r="H20" s="280" t="inlineStr">
        <is>
          <t>Flat</t>
        </is>
      </c>
      <c r="I20" s="239" t="n"/>
      <c r="P20" s="357" t="n"/>
    </row>
    <row r="21">
      <c r="A21" s="554">
        <f>IF(B21="","",1)</f>
        <v/>
      </c>
      <c r="B21" s="550">
        <f>IF(C21="","",DATE(C21-1,3,1))</f>
        <v/>
      </c>
      <c r="C21" s="279" t="n"/>
      <c r="D21" s="235">
        <f>IF(C21="","",IF(MONTH(DoB)&lt;3,C21-YEAR(DoB),C21-YEAR(DoB)-1))</f>
        <v/>
      </c>
      <c r="E21" s="551" t="n"/>
      <c r="F21" s="552">
        <f>IF(E21="","",INDEX('LOE Sc1'!$J$11:$J$85,MATCH(Summary!E21,'LOE Sc1'!$I$11:$I$85,0)))</f>
        <v/>
      </c>
      <c r="G21" s="279" t="n"/>
      <c r="H21" s="280" t="inlineStr">
        <is>
          <t>Flat</t>
        </is>
      </c>
      <c r="I21" s="239" t="n"/>
    </row>
    <row r="22">
      <c r="A22" s="554">
        <f>IF(B22="","",1)</f>
        <v/>
      </c>
      <c r="B22" s="556" t="n"/>
      <c r="C22" s="235" t="n"/>
      <c r="D22" s="235">
        <f>IF(C22="","",IF(MONTH(DoB)&lt;3,C22-YEAR(DoB),C22-YEAR(DoB)-1))</f>
        <v/>
      </c>
      <c r="E22" s="551" t="n"/>
      <c r="F22" s="552" t="n"/>
      <c r="G22" s="279" t="n"/>
      <c r="H22" s="280" t="n"/>
      <c r="I22" s="239" t="n"/>
    </row>
    <row r="23" ht="15.6" customHeight="1">
      <c r="A23" s="557" t="n"/>
      <c r="B23" s="97" t="inlineStr">
        <is>
          <t>Peak Pre-accident</t>
        </is>
      </c>
      <c r="C23" s="276" t="n">
        <v>45</v>
      </c>
      <c r="D23" s="331" t="inlineStr">
        <is>
          <t>Date</t>
        </is>
      </c>
      <c r="E23" s="332">
        <f>EOMONTH(DoB+pPre*365.25,0)</f>
        <v/>
      </c>
      <c r="F23" s="275" t="n"/>
      <c r="G23" s="275" t="inlineStr">
        <is>
          <t>Retirement Age</t>
        </is>
      </c>
      <c r="H23" s="558" t="n">
        <v>65</v>
      </c>
      <c r="I23" s="240" t="n"/>
    </row>
    <row r="24" ht="50.1" customHeight="1">
      <c r="B24" s="559" t="n"/>
      <c r="C24" s="235" t="n"/>
      <c r="D24" s="235" t="n"/>
      <c r="E24" s="235" t="n"/>
      <c r="F24" s="552" t="n"/>
      <c r="G24" s="235" t="n"/>
      <c r="H24" s="235" t="n"/>
      <c r="I24" s="244" t="n"/>
    </row>
    <row r="25" hidden="1">
      <c r="B25" s="523" t="inlineStr">
        <is>
          <t>PRE-ACCIDENT</t>
        </is>
      </c>
      <c r="C25" s="548" t="n"/>
      <c r="D25" s="235" t="n"/>
      <c r="E25" s="235" t="n"/>
      <c r="F25" s="552" t="n"/>
      <c r="G25" s="235" t="n"/>
      <c r="H25" s="235" t="n"/>
      <c r="I25" s="244" t="n"/>
    </row>
    <row r="26" hidden="1">
      <c r="B26" s="523" t="inlineStr">
        <is>
          <t>State Employees</t>
        </is>
      </c>
      <c r="C26" s="548" t="n"/>
      <c r="D26" s="235" t="n"/>
      <c r="E26" s="235" t="n"/>
      <c r="F26" s="552" t="n"/>
      <c r="G26" s="235" t="n"/>
      <c r="H26" s="235" t="n"/>
      <c r="I26" s="244" t="n"/>
    </row>
    <row r="27" hidden="1">
      <c r="B27" s="251" t="inlineStr">
        <is>
          <t>GEPF</t>
        </is>
      </c>
      <c r="C27" s="252" t="inlineStr">
        <is>
          <t>N</t>
        </is>
      </c>
      <c r="D27" s="235" t="n"/>
      <c r="E27" s="235" t="n"/>
      <c r="F27" s="552" t="n"/>
      <c r="G27" s="235" t="n"/>
      <c r="H27" s="235" t="n"/>
      <c r="I27" s="244" t="n"/>
    </row>
    <row r="28" hidden="1">
      <c r="B28" s="251" t="inlineStr">
        <is>
          <t>Date of Employment</t>
        </is>
      </c>
      <c r="C28" s="200" t="n">
        <v>41183</v>
      </c>
      <c r="D28" s="235" t="n"/>
      <c r="E28" s="235" t="n"/>
      <c r="F28" s="552" t="n"/>
      <c r="G28" s="235" t="n"/>
      <c r="H28" s="235" t="n"/>
      <c r="I28" s="244" t="n"/>
    </row>
    <row r="29" hidden="1">
      <c r="B29" s="251" t="inlineStr">
        <is>
          <t>Uniformed Employee</t>
        </is>
      </c>
      <c r="C29" s="252" t="inlineStr">
        <is>
          <t>N</t>
        </is>
      </c>
      <c r="D29" s="235" t="n"/>
      <c r="E29" s="235" t="n"/>
      <c r="F29" s="552" t="n"/>
      <c r="G29" s="235" t="n"/>
      <c r="H29" s="235" t="n"/>
      <c r="I29" s="244" t="n"/>
    </row>
    <row r="30" hidden="1">
      <c r="B30" s="251" t="inlineStr">
        <is>
          <t>Housing Allowance</t>
        </is>
      </c>
      <c r="C30" s="252" t="inlineStr">
        <is>
          <t>N</t>
        </is>
      </c>
      <c r="D30" s="235" t="n"/>
      <c r="E30" s="235" t="n"/>
      <c r="F30" s="552" t="n"/>
      <c r="G30" s="235" t="n"/>
      <c r="H30" s="235" t="n"/>
      <c r="I30" s="244" t="n"/>
    </row>
    <row r="31" hidden="1">
      <c r="B31" s="251" t="inlineStr">
        <is>
          <t>Medical Subsidy</t>
        </is>
      </c>
      <c r="C31" s="252" t="inlineStr">
        <is>
          <t>N</t>
        </is>
      </c>
      <c r="D31" s="235" t="n"/>
      <c r="E31" s="235" t="n"/>
      <c r="F31" s="552" t="n"/>
      <c r="G31" s="235" t="n"/>
      <c r="H31" s="235" t="n"/>
      <c r="I31" s="244" t="n"/>
    </row>
    <row r="32" hidden="1">
      <c r="B32" s="251" t="inlineStr">
        <is>
          <t>Medical Subsidy Amount</t>
        </is>
      </c>
      <c r="C32" s="199" t="n">
        <v>14376</v>
      </c>
      <c r="D32" s="235" t="n"/>
      <c r="E32" s="235" t="n"/>
      <c r="F32" s="552" t="n"/>
      <c r="G32" s="235" t="n"/>
      <c r="H32" s="235" t="n"/>
      <c r="I32" s="244" t="n"/>
    </row>
    <row r="33" hidden="1" ht="14.4" customHeight="1">
      <c r="B33" s="251" t="inlineStr">
        <is>
          <t>Gratuity</t>
        </is>
      </c>
      <c r="C33" s="253" t="n">
        <v>3.7</v>
      </c>
      <c r="D33" s="235" t="n"/>
      <c r="E33" s="235" t="n"/>
      <c r="F33" s="552" t="n"/>
      <c r="G33" s="235" t="n"/>
      <c r="H33" s="235" t="n"/>
      <c r="I33" s="244" t="n"/>
      <c r="K33" s="245" t="n"/>
      <c r="L33" s="96" t="n"/>
    </row>
    <row r="34" hidden="1" ht="14.4" customHeight="1">
      <c r="B34" s="251" t="inlineStr">
        <is>
          <t xml:space="preserve">Date of Retirement </t>
        </is>
      </c>
      <c r="C34" s="200">
        <f>EOMONTH(DoB+RetAge_Pre*365.25,0)+1</f>
        <v/>
      </c>
      <c r="D34" s="235" t="n"/>
      <c r="E34" s="235" t="n"/>
      <c r="F34" s="552" t="n"/>
      <c r="G34" s="235" t="n"/>
      <c r="H34" s="235" t="n"/>
      <c r="I34" s="244" t="n"/>
      <c r="K34" s="245" t="n"/>
      <c r="L34" s="96" t="n"/>
    </row>
    <row r="35" hidden="1" ht="14.4" customHeight="1">
      <c r="B35" s="251" t="inlineStr">
        <is>
          <t>FinYrRet</t>
        </is>
      </c>
      <c r="C35" s="254">
        <f>IF(MONTH(DoR_Pre)&lt;=3,YEAR(DoR_Pre),YEAR(DoR_Pre)+1)</f>
        <v/>
      </c>
      <c r="D35" s="235" t="n"/>
      <c r="E35" s="235" t="n"/>
      <c r="F35" s="552" t="n"/>
      <c r="G35" s="235" t="n"/>
      <c r="H35" s="235" t="n"/>
      <c r="I35" s="244" t="n"/>
      <c r="K35" s="245" t="n"/>
      <c r="L35" s="96" t="n"/>
    </row>
    <row r="36" hidden="1" ht="14.4" customHeight="1">
      <c r="B36" s="251" t="inlineStr">
        <is>
          <t>Pensionable Service</t>
        </is>
      </c>
      <c r="C36" s="199">
        <f>DATEDIF(DoE,DoR_Pre,"Y")</f>
        <v/>
      </c>
      <c r="D36" s="235" t="n"/>
      <c r="E36" s="235" t="n"/>
      <c r="F36" s="552" t="n"/>
      <c r="G36" s="235" t="n"/>
      <c r="H36" s="235" t="n"/>
      <c r="I36" s="244" t="n"/>
      <c r="K36" s="245" t="n"/>
      <c r="L36" s="96" t="n"/>
    </row>
    <row r="37" hidden="1" ht="14.4" customHeight="1">
      <c r="B37" s="251" t="inlineStr">
        <is>
          <t>Completed years after 1/03/1998</t>
        </is>
      </c>
      <c r="C37" s="255">
        <f>IF(DoE&lt;DATE(1998,3,1),DATEDIF(DATE(1998,3,1),DoR_Pre,"Y"),service_pre)</f>
        <v/>
      </c>
      <c r="D37" s="235" t="n"/>
      <c r="E37" s="235" t="n"/>
      <c r="F37" s="552" t="n"/>
      <c r="G37" s="235" t="n"/>
      <c r="H37" s="235" t="n"/>
      <c r="I37" s="244" t="n"/>
      <c r="K37" s="245" t="n"/>
      <c r="L37" s="96" t="n"/>
    </row>
    <row r="38" hidden="1" ht="14.4" customHeight="1">
      <c r="B38" s="251" t="inlineStr">
        <is>
          <t>Taxable Earnings</t>
        </is>
      </c>
      <c r="C38" s="255">
        <f>C37/service_pre</f>
        <v/>
      </c>
      <c r="D38" s="235" t="n"/>
      <c r="E38" s="235" t="n"/>
      <c r="F38" s="552" t="n"/>
      <c r="G38" s="235" t="n"/>
      <c r="H38" s="235" t="n"/>
      <c r="I38" s="244" t="n"/>
      <c r="K38" s="245" t="n"/>
      <c r="L38" s="96" t="n"/>
    </row>
    <row r="39" hidden="1">
      <c r="B39" s="246" t="inlineStr">
        <is>
          <t>NRA</t>
        </is>
      </c>
      <c r="C39" s="247" t="n">
        <v>60</v>
      </c>
      <c r="D39" s="235" t="n"/>
      <c r="E39" s="235" t="n"/>
      <c r="F39" s="552" t="n"/>
      <c r="G39" s="235" t="n"/>
      <c r="H39" s="235" t="n"/>
      <c r="I39" s="244" t="n"/>
    </row>
    <row r="40" hidden="1" ht="14.4" customHeight="1">
      <c r="B40" s="246" t="inlineStr">
        <is>
          <t>Ill-Health Adjustment</t>
        </is>
      </c>
      <c r="C40" s="248" t="inlineStr">
        <is>
          <t>N</t>
        </is>
      </c>
      <c r="D40" s="235" t="n"/>
      <c r="E40" s="235" t="n"/>
      <c r="F40" s="552" t="n"/>
      <c r="G40" s="235" t="n"/>
      <c r="H40" s="235" t="n"/>
      <c r="I40" s="244" t="n"/>
      <c r="K40" s="245" t="n"/>
      <c r="L40" s="96" t="n"/>
    </row>
    <row r="41" hidden="1">
      <c r="B41" s="246" t="n"/>
      <c r="C41" s="247">
        <f>MIN(5,1/3*service_pre,(C39-RetAge_Pre))*(C40="Y")</f>
        <v/>
      </c>
      <c r="D41" s="235" t="n"/>
      <c r="E41" s="235" t="n"/>
      <c r="F41" s="552" t="n"/>
      <c r="G41" s="235" t="n"/>
      <c r="H41" s="235" t="n"/>
      <c r="I41" s="244" t="n"/>
    </row>
    <row r="42" hidden="1">
      <c r="B42" s="249" t="inlineStr">
        <is>
          <t>Early Retirement</t>
        </is>
      </c>
      <c r="C42" s="248" t="inlineStr">
        <is>
          <t>N</t>
        </is>
      </c>
      <c r="D42" s="235" t="n"/>
      <c r="E42" s="235" t="n"/>
      <c r="F42" s="552" t="n"/>
      <c r="G42" s="235" t="n"/>
      <c r="H42" s="235" t="n"/>
      <c r="I42" s="244" t="n"/>
    </row>
    <row r="43" hidden="1">
      <c r="B43" s="249" t="inlineStr">
        <is>
          <t>Months before NRA</t>
        </is>
      </c>
      <c r="C43" s="247">
        <f>IF(C42="Y",DATEDIF(DoR_Pre,EOMONTH(DoB+C$39*365.25,0)+1,"M"),0)</f>
        <v/>
      </c>
      <c r="D43" s="235" t="n"/>
      <c r="E43" s="235" t="n"/>
      <c r="F43" s="552" t="n"/>
      <c r="G43" s="235" t="n"/>
      <c r="H43" s="235" t="n"/>
      <c r="I43" s="244" t="n"/>
    </row>
    <row r="44" hidden="1">
      <c r="B44" s="249" t="inlineStr">
        <is>
          <t>Gratuity Adjustment</t>
        </is>
      </c>
      <c r="C44" s="250">
        <f>(1/3)%*C43</f>
        <v/>
      </c>
      <c r="D44" s="235" t="n"/>
      <c r="E44" s="235" t="n"/>
      <c r="F44" s="552" t="n"/>
      <c r="G44" s="235" t="n"/>
      <c r="H44" s="235" t="n"/>
      <c r="I44" s="244" t="n"/>
    </row>
    <row r="45" hidden="1">
      <c r="B45" s="251" t="inlineStr">
        <is>
          <t>n</t>
        </is>
      </c>
      <c r="C45" s="199">
        <f>(IF(C29="Y",((service_pre-10)*1.25+10),C36)+C41)/55</f>
        <v/>
      </c>
      <c r="D45" s="560" t="n"/>
      <c r="E45" s="235" t="n"/>
      <c r="F45" s="552" t="n"/>
      <c r="G45" s="235" t="n"/>
      <c r="H45" s="235" t="n"/>
      <c r="I45" s="244" t="n"/>
    </row>
    <row r="46" hidden="1">
      <c r="B46" s="256" t="inlineStr">
        <is>
          <t>row_number</t>
        </is>
      </c>
      <c r="C46" s="257">
        <f>MATCH(Ret_Yr_pre,'LOE Sc1'!$W11:$W178,0)</f>
        <v/>
      </c>
      <c r="D46" s="235" t="n"/>
      <c r="E46" s="235" t="n"/>
      <c r="F46" s="552" t="n"/>
      <c r="G46" s="235" t="n"/>
      <c r="H46" s="235" t="n"/>
      <c r="I46" s="244" t="n"/>
    </row>
    <row r="47" hidden="1">
      <c r="B47" s="251" t="inlineStr">
        <is>
          <t>Pension Average Salary</t>
        </is>
      </c>
      <c r="C47" s="199">
        <f t="array" ref="C47">IF(GEPF_pre="Y",(INDEX('LOE Sc1'!$AC11:$AC178,C$46)*INDEX('LOE Sc1'!$X11:$X178,C$46)+INDEX('LOE Sc1'!$AC11:$AC178,C46-1)+INDEX('LOE Sc1'!AC11:AC178,C46-2)*(1-INDEX('LOE Sc1'!$X11:$X178,C46)))/2+360,0)</f>
        <v/>
      </c>
      <c r="D47" s="235" t="n"/>
      <c r="E47" s="235" t="n"/>
      <c r="F47" s="552" t="n"/>
      <c r="G47" s="235" t="n"/>
      <c r="H47" s="235" t="n"/>
      <c r="I47" s="244" t="n"/>
    </row>
    <row r="48" hidden="1">
      <c r="B48" s="251" t="inlineStr">
        <is>
          <t>Pension</t>
        </is>
      </c>
      <c r="C48" s="199">
        <f>C47*C45*(1-C$44)</f>
        <v/>
      </c>
      <c r="D48" s="235" t="n"/>
      <c r="E48" s="235" t="n"/>
      <c r="F48" s="552" t="n"/>
      <c r="G48" s="235" t="n"/>
      <c r="H48" s="235" t="n"/>
      <c r="I48" s="244" t="n"/>
    </row>
    <row r="49" hidden="1">
      <c r="B49" s="251" t="inlineStr">
        <is>
          <t>Lump Sum</t>
        </is>
      </c>
      <c r="C49" s="199">
        <f>C48*C33*C38*(1-C$44)</f>
        <v/>
      </c>
      <c r="D49" s="235" t="n"/>
      <c r="E49" s="235" t="n"/>
      <c r="F49" s="552" t="n"/>
      <c r="G49" s="235" t="n"/>
      <c r="H49" s="235" t="n"/>
      <c r="I49" s="244" t="n"/>
    </row>
    <row r="50" hidden="1">
      <c r="B50" s="364" t="inlineStr">
        <is>
          <t>FY @ age 45</t>
        </is>
      </c>
      <c r="C50" s="365">
        <f>IF(MONTH(DoB)&lt;3,YEAR(DoB)+45,YEAR(DoB)+45+1)</f>
        <v/>
      </c>
      <c r="D50" s="235" t="n"/>
      <c r="E50" s="235" t="n"/>
      <c r="F50" s="552" t="n"/>
      <c r="G50" s="235" t="n"/>
      <c r="H50" s="235" t="n"/>
      <c r="I50" s="244" t="n"/>
    </row>
    <row r="52" ht="20.1" customFormat="1" customHeight="1" s="343">
      <c r="A52" s="546" t="inlineStr">
        <is>
          <t>Post- Accident Earnings Description</t>
        </is>
      </c>
      <c r="B52" s="547" t="n"/>
      <c r="C52" s="547" t="n"/>
      <c r="D52" s="547" t="n"/>
      <c r="E52" s="547" t="n"/>
      <c r="F52" s="547" t="n"/>
      <c r="G52" s="547" t="n"/>
      <c r="H52" s="547" t="n"/>
      <c r="I52" s="539" t="n"/>
      <c r="K52" s="521" t="inlineStr">
        <is>
          <t>POST-ACCIDENT</t>
        </is>
      </c>
      <c r="L52" s="548" t="n"/>
      <c r="M52" s="362" t="n"/>
      <c r="N52" s="362" t="n"/>
      <c r="O52" s="362" t="n"/>
    </row>
    <row r="53" ht="20.4" customFormat="1" customHeight="1" s="351">
      <c r="A53" s="345" t="inlineStr">
        <is>
          <t>Portion of Salary</t>
        </is>
      </c>
      <c r="B53" s="346" t="inlineStr">
        <is>
          <t>Date</t>
        </is>
      </c>
      <c r="C53" s="347">
        <f>C3</f>
        <v/>
      </c>
      <c r="D53" s="347">
        <f>D3</f>
        <v/>
      </c>
      <c r="E53" s="348">
        <f>E3</f>
        <v/>
      </c>
      <c r="F53" s="348">
        <f>F3</f>
        <v/>
      </c>
      <c r="G53" s="348">
        <f>G3</f>
        <v/>
      </c>
      <c r="H53" s="349">
        <f>H3</f>
        <v/>
      </c>
      <c r="I53" s="350" t="inlineStr">
        <is>
          <t>Info</t>
        </is>
      </c>
      <c r="K53" s="520">
        <f>K3</f>
        <v/>
      </c>
      <c r="L53" s="548" t="n"/>
      <c r="M53" s="362" t="n"/>
      <c r="N53" s="362" t="n"/>
      <c r="O53" s="362" t="n"/>
    </row>
    <row r="54">
      <c r="A54" s="549">
        <f>IF('LOE Sc1'!AU11=Ret_Yr_post,ROUND((DoR_Post-'LOE Sc1'!AT10)/365.25,5),ROUND(('LOE Sc1'!AT11-'LOE Sc1'!AT10)/365.25,5))</f>
        <v/>
      </c>
      <c r="B54" s="550">
        <f>DoA</f>
        <v/>
      </c>
      <c r="C54" s="235">
        <f>IF(B54="","",IF(MONTH(B54)&lt;4,IF(MONTH(B54)=3,YEAR(B54)+1,YEAR(B54)),YEAR(B54)+1))</f>
        <v/>
      </c>
      <c r="D54" s="235">
        <f>IF(B54="","",IF(MONTH(DoA)&lt;3,YEAR(B54)-YEAR(DoB)-1,YEAR(B54)-YEAR(DoB)))</f>
        <v/>
      </c>
      <c r="E54" s="551">
        <f>E4</f>
        <v/>
      </c>
      <c r="F54" s="552">
        <f>IF(E54="","",INDEX('LOE Sc1'!$R$11:$R$85,MATCH(Summary!E54,'LOE Sc1'!$Q$11:$Q$85,0)))</f>
        <v/>
      </c>
      <c r="G54" s="279">
        <f>C54</f>
        <v/>
      </c>
      <c r="H54" s="280" t="n"/>
      <c r="I54" s="239" t="n"/>
      <c r="K54" s="251">
        <f>K4</f>
        <v/>
      </c>
      <c r="L54" s="553">
        <f>IF(GEPF_post="Y",100%,0%)</f>
        <v/>
      </c>
    </row>
    <row r="55">
      <c r="A55" s="554">
        <f>IF(B55="","",1)</f>
        <v/>
      </c>
      <c r="B55" s="550">
        <f>IF(C55="","",DATE(C55-1,3,1))</f>
        <v/>
      </c>
      <c r="C55" s="279" t="n">
        <v>2034</v>
      </c>
      <c r="D55" s="235">
        <f>IF(C55="","",IF(MONTH(DoB)&lt;3,C55-YEAR(DoB),C55-YEAR(DoB)-1))</f>
        <v/>
      </c>
      <c r="E55" s="551" t="n">
        <v>0</v>
      </c>
      <c r="F55" s="552">
        <f>IF(E55="","",INDEX('LOE Sc1'!$R$11:$R$85,MATCH(Summary!E55,'LOE Sc1'!$Q$11:$Q$85,0)))</f>
        <v/>
      </c>
      <c r="G55" s="279" t="n">
        <v>2025</v>
      </c>
      <c r="H55" s="280" t="inlineStr">
        <is>
          <t>Flat</t>
        </is>
      </c>
      <c r="I55" s="239" t="n"/>
      <c r="K55" s="251">
        <f>K5</f>
        <v/>
      </c>
      <c r="L55" s="553" t="n">
        <v>0</v>
      </c>
    </row>
    <row r="56">
      <c r="A56" s="554">
        <f>IF(B56="","",1)</f>
        <v/>
      </c>
      <c r="B56" s="550">
        <f>IF(C56="","",DATE(C56-1,3,1))</f>
        <v/>
      </c>
      <c r="C56" s="279" t="n">
        <v>2036</v>
      </c>
      <c r="D56" s="235">
        <f>IF(C56="","",IF(MONTH(DoB)&lt;3,C56-YEAR(DoB),C56-YEAR(DoB)-1))</f>
        <v/>
      </c>
      <c r="E56" s="551" t="n">
        <v>40700</v>
      </c>
      <c r="F56" s="552">
        <f>IF(E56="","",INDEX('LOE Sc1'!$R$11:$R$85,MATCH(Summary!E56,'LOE Sc1'!$Q$11:$Q$85,0)))</f>
        <v/>
      </c>
      <c r="G56" s="279" t="n">
        <v>2025</v>
      </c>
      <c r="H56" s="280" t="inlineStr">
        <is>
          <t>Flat</t>
        </is>
      </c>
      <c r="I56" s="239" t="n"/>
      <c r="K56" s="251">
        <f>K6</f>
        <v/>
      </c>
      <c r="L56" s="553" t="n">
        <v>0</v>
      </c>
      <c r="N56" s="508" t="n"/>
      <c r="P56" s="507" t="n"/>
      <c r="R56" s="507" t="n"/>
    </row>
    <row r="57">
      <c r="A57" s="554">
        <f>IF(B57="","",1)</f>
        <v/>
      </c>
      <c r="B57" s="550">
        <f>IF(C57="","",DATE(C57-1,3,1))</f>
        <v/>
      </c>
      <c r="C57" s="279" t="n">
        <v>2060</v>
      </c>
      <c r="D57" s="235">
        <f>IF(C57="","",IF(MONTH(DoB)&lt;3,C57-YEAR(DoB),C57-YEAR(DoB)-1))</f>
        <v/>
      </c>
      <c r="E57" s="551" t="n">
        <v>157500</v>
      </c>
      <c r="F57" s="552">
        <f>IF(E57="","",INDEX('LOE Sc1'!$R$11:$R$85,MATCH(Summary!E57,'LOE Sc1'!$Q$11:$Q$85,0)))</f>
        <v/>
      </c>
      <c r="G57" s="279" t="n">
        <v>2025</v>
      </c>
      <c r="H57" s="280" t="inlineStr">
        <is>
          <t>Linear</t>
        </is>
      </c>
      <c r="I57" s="239" t="n"/>
      <c r="K57" s="251">
        <f>K7</f>
        <v/>
      </c>
      <c r="L57" s="199" t="n">
        <v>0</v>
      </c>
    </row>
    <row r="58">
      <c r="A58" s="554">
        <f>IF(B58="","",1)</f>
        <v/>
      </c>
      <c r="B58" s="550">
        <f>IF(C58="","",DATE(C58-1,3,1))</f>
        <v/>
      </c>
      <c r="C58" s="279" t="n"/>
      <c r="D58" s="235">
        <f>IF(C58="","",IF(MONTH(DoB)&lt;3,C58-YEAR(DoB),C58-YEAR(DoB)-1))</f>
        <v/>
      </c>
      <c r="E58" s="551" t="n"/>
      <c r="F58" s="552">
        <f>IF(E58="","",INDEX('LOE Sc1'!$R$11:$R$85,MATCH(Summary!E58,'LOE Sc1'!$Q$11:$Q$85,0)))</f>
        <v/>
      </c>
      <c r="G58" s="279" t="n"/>
      <c r="H58" s="280" t="inlineStr">
        <is>
          <t>Flat</t>
        </is>
      </c>
      <c r="I58" s="239" t="n"/>
      <c r="K58" s="251">
        <f>K8</f>
        <v/>
      </c>
      <c r="L58" s="553">
        <f>ee</f>
        <v/>
      </c>
    </row>
    <row r="59">
      <c r="A59" s="554">
        <f>IF(B59="","",1)</f>
        <v/>
      </c>
      <c r="B59" s="550">
        <f>IF(C59="","",DATE(C59-1,3,1))</f>
        <v/>
      </c>
      <c r="C59" s="279" t="n"/>
      <c r="D59" s="235">
        <f>IF(C59="","",IF(MONTH(DoB)&lt;3,C59-YEAR(DoB),C59-YEAR(DoB)-1))</f>
        <v/>
      </c>
      <c r="E59" s="551" t="n"/>
      <c r="F59" s="552">
        <f>IF(E59="","",INDEX('LOE Sc1'!$R$11:$R$85,MATCH(Summary!E59,'LOE Sc1'!$Q$11:$Q$85,0)))</f>
        <v/>
      </c>
      <c r="G59" s="279" t="n"/>
      <c r="H59" s="280" t="inlineStr">
        <is>
          <t>Flat</t>
        </is>
      </c>
      <c r="I59" s="239" t="n"/>
      <c r="K59" s="251">
        <f>K9</f>
        <v/>
      </c>
      <c r="L59" s="553">
        <f>er</f>
        <v/>
      </c>
    </row>
    <row r="60">
      <c r="A60" s="554">
        <f>IF(B60="","",1)</f>
        <v/>
      </c>
      <c r="B60" s="550">
        <f>IF(C60="","",DATE(C60-1,3,1))</f>
        <v/>
      </c>
      <c r="C60" s="279" t="n"/>
      <c r="D60" s="235">
        <f>IF(C60="","",IF(MONTH(DoB)&lt;3,C60-YEAR(DoB),C60-YEAR(DoB)-1))</f>
        <v/>
      </c>
      <c r="E60" s="551" t="n"/>
      <c r="F60" s="552">
        <f>IF(E60="","",INDEX('LOE Sc1'!$R$11:$R$85,MATCH(Summary!E60,'LOE Sc1'!$Q$11:$Q$85,0)))</f>
        <v/>
      </c>
      <c r="G60" s="279" t="n"/>
      <c r="H60" s="280" t="inlineStr">
        <is>
          <t>Flat</t>
        </is>
      </c>
      <c r="I60" s="239" t="n"/>
      <c r="K60" s="118" t="n"/>
      <c r="L60" s="118" t="n"/>
    </row>
    <row r="61">
      <c r="A61" s="554">
        <f>IF(B61="","",1)</f>
        <v/>
      </c>
      <c r="B61" s="550">
        <f>IF(C61="","",DATE(C61-1,3,1))</f>
        <v/>
      </c>
      <c r="C61" s="279" t="n"/>
      <c r="D61" s="235">
        <f>IF(C61="","",IF(MONTH(DoB)&lt;3,C61-YEAR(DoB),C61-YEAR(DoB)-1))</f>
        <v/>
      </c>
      <c r="E61" s="551" t="n"/>
      <c r="F61" s="552">
        <f>IF(E61="","",INDEX('LOE Sc1'!$R$11:$R$85,MATCH(Summary!E61,'LOE Sc1'!$Q$11:$Q$85,0)))</f>
        <v/>
      </c>
      <c r="G61" s="279" t="n"/>
      <c r="H61" s="280" t="inlineStr">
        <is>
          <t>Flat</t>
        </is>
      </c>
      <c r="I61" s="239" t="n"/>
      <c r="K61" s="555">
        <f>K11</f>
        <v/>
      </c>
      <c r="L61" s="539" t="n"/>
    </row>
    <row r="62">
      <c r="A62" s="554">
        <f>IF(B62="","",1)</f>
        <v/>
      </c>
      <c r="B62" s="550">
        <f>IF(C62="","",DATE(C62-1,3,1))</f>
        <v/>
      </c>
      <c r="C62" s="279" t="n"/>
      <c r="D62" s="235">
        <f>IF(C62="","",IF(MONTH(DoB)&lt;3,C62-YEAR(DoB),C62-YEAR(DoB)-1))</f>
        <v/>
      </c>
      <c r="E62" s="551" t="n"/>
      <c r="F62" s="552">
        <f>IF(E62="","",INDEX('LOE Sc1'!$R$11:$R$85,MATCH(Summary!E62,'LOE Sc1'!$Q$11:$Q$85,0)))</f>
        <v/>
      </c>
      <c r="G62" s="279" t="n"/>
      <c r="H62" s="280" t="inlineStr">
        <is>
          <t>Flat</t>
        </is>
      </c>
      <c r="I62" s="239" t="n"/>
      <c r="K62" s="251">
        <f>K12</f>
        <v/>
      </c>
      <c r="L62" s="199" t="n">
        <v>0</v>
      </c>
    </row>
    <row r="63">
      <c r="A63" s="554">
        <f>IF(B63="","",1)</f>
        <v/>
      </c>
      <c r="B63" s="550">
        <f>IF(C63="","",DATE(C63-1,3,1))</f>
        <v/>
      </c>
      <c r="C63" s="279" t="n"/>
      <c r="D63" s="235">
        <f>IF(C63="","",IF(MONTH(DoB)&lt;3,C63-YEAR(DoB),C63-YEAR(DoB)-1))</f>
        <v/>
      </c>
      <c r="E63" s="551" t="n"/>
      <c r="F63" s="552">
        <f>IF(E63="","",INDEX('LOE Sc1'!$R$11:$R$85,MATCH(Summary!E63,'LOE Sc1'!$Q$11:$Q$85,0)))</f>
        <v/>
      </c>
      <c r="G63" s="279" t="n"/>
      <c r="H63" s="280" t="inlineStr">
        <is>
          <t>Flat</t>
        </is>
      </c>
      <c r="I63" s="239" t="n"/>
    </row>
    <row r="64" ht="13.8" customHeight="1">
      <c r="A64" s="554">
        <f>IF(B64="","",1)</f>
        <v/>
      </c>
      <c r="B64" s="550">
        <f>IF(C64="","",DATE(C64-1,3,1))</f>
        <v/>
      </c>
      <c r="C64" s="279" t="n"/>
      <c r="D64" s="235">
        <f>IF(C64="","",IF(MONTH(DoB)&lt;3,C64-YEAR(DoB),C64-YEAR(DoB)-1))</f>
        <v/>
      </c>
      <c r="E64" s="551" t="n"/>
      <c r="F64" s="552">
        <f>IF(E64="","",INDEX('LOE Sc1'!$R$11:$R$85,MATCH(Summary!E64,'LOE Sc1'!$Q$11:$Q$85,0)))</f>
        <v/>
      </c>
      <c r="G64" s="279" t="n"/>
      <c r="H64" s="280" t="inlineStr">
        <is>
          <t>Flat</t>
        </is>
      </c>
      <c r="I64" s="239" t="n"/>
      <c r="K64" s="274">
        <f>K14</f>
        <v/>
      </c>
      <c r="L64" s="273" t="n">
        <v>0</v>
      </c>
    </row>
    <row r="65">
      <c r="A65" s="554">
        <f>IF(B65="","",1)</f>
        <v/>
      </c>
      <c r="B65" s="550">
        <f>IF(C65="","",DATE(C65-1,3,1))</f>
        <v/>
      </c>
      <c r="C65" s="279" t="n"/>
      <c r="D65" s="235">
        <f>IF(C65="","",IF(MONTH(DoB)&lt;3,C65-YEAR(DoB),C65-YEAR(DoB)-1))</f>
        <v/>
      </c>
      <c r="E65" s="551" t="n"/>
      <c r="F65" s="552">
        <f>IF(E65="","",INDEX('LOE Sc1'!$R$11:$R$85,MATCH(Summary!E65,'LOE Sc1'!$Q$11:$Q$85,0)))</f>
        <v/>
      </c>
      <c r="G65" s="279" t="n"/>
      <c r="H65" s="280" t="inlineStr">
        <is>
          <t>Flat</t>
        </is>
      </c>
      <c r="I65" s="239" t="n"/>
    </row>
    <row r="66">
      <c r="A66" s="554">
        <f>IF(B66="","",1)</f>
        <v/>
      </c>
      <c r="B66" s="550">
        <f>IF(C66="","",DATE(C66-1,3,1))</f>
        <v/>
      </c>
      <c r="C66" s="279" t="n"/>
      <c r="D66" s="235">
        <f>IF(C66="","",IF(MONTH(DoB)&lt;3,C66-YEAR(DoB),C66-YEAR(DoB)-1))</f>
        <v/>
      </c>
      <c r="E66" s="551" t="n"/>
      <c r="F66" s="552">
        <f>IF(E66="","",INDEX('LOE Sc1'!$R$11:$R$85,MATCH(Summary!E66,'LOE Sc1'!$Q$11:$Q$85,0)))</f>
        <v/>
      </c>
      <c r="G66" s="279" t="n"/>
      <c r="H66" s="280" t="inlineStr">
        <is>
          <t>Flat</t>
        </is>
      </c>
      <c r="I66" s="239" t="n"/>
      <c r="M66" s="1" t="n"/>
      <c r="N66" s="1" t="n"/>
    </row>
    <row r="67">
      <c r="A67" s="554">
        <f>IF(B67="","",1)</f>
        <v/>
      </c>
      <c r="B67" s="550">
        <f>IF(C67="","",DATE(C67-1,3,1))</f>
        <v/>
      </c>
      <c r="C67" s="279" t="n"/>
      <c r="D67" s="235">
        <f>IF(C67="","",IF(MONTH(DoB)&lt;3,C67-YEAR(DoB),C67-YEAR(DoB)-1))</f>
        <v/>
      </c>
      <c r="E67" s="551" t="n"/>
      <c r="F67" s="552">
        <f>IF(E67="","",INDEX('LOE Sc1'!$R$11:$R$85,MATCH(Summary!E67,'LOE Sc1'!$Q$11:$Q$85,0)))</f>
        <v/>
      </c>
      <c r="G67" s="279" t="n"/>
      <c r="H67" s="280" t="inlineStr">
        <is>
          <t>Flat</t>
        </is>
      </c>
      <c r="I67" s="239" t="n"/>
      <c r="M67" s="1" t="n"/>
      <c r="N67" s="1" t="n"/>
    </row>
    <row r="68">
      <c r="A68" s="554">
        <f>IF(B68="","",1)</f>
        <v/>
      </c>
      <c r="B68" s="550">
        <f>IF(C68="","",DATE(C68-1,3,1))</f>
        <v/>
      </c>
      <c r="C68" s="279" t="n"/>
      <c r="D68" s="235">
        <f>IF(C68="","",IF(MONTH(DoB)&lt;3,C68-YEAR(DoB),C68-YEAR(DoB)-1))</f>
        <v/>
      </c>
      <c r="E68" s="551" t="n"/>
      <c r="F68" s="552">
        <f>IF(E68="","",INDEX('LOE Sc1'!$R$11:$R$85,MATCH(Summary!E68,'LOE Sc1'!$Q$11:$Q$85,0)))</f>
        <v/>
      </c>
      <c r="G68" s="279" t="n"/>
      <c r="H68" s="280" t="inlineStr">
        <is>
          <t>Flat</t>
        </is>
      </c>
      <c r="I68" s="239" t="n"/>
    </row>
    <row r="69">
      <c r="A69" s="554">
        <f>IF(B69="","",1)</f>
        <v/>
      </c>
      <c r="B69" s="550">
        <f>IF(C69="","",DATE(C69-1,3,1))</f>
        <v/>
      </c>
      <c r="C69" s="279" t="n"/>
      <c r="D69" s="235">
        <f>IF(C69="","",IF(MONTH(DoB)&lt;3,C69-YEAR(DoB),C69-YEAR(DoB)-1))</f>
        <v/>
      </c>
      <c r="E69" s="551" t="n"/>
      <c r="F69" s="552">
        <f>IF(E69="","",INDEX('LOE Sc1'!$R$11:$R$85,MATCH(Summary!E69,'LOE Sc1'!$Q$11:$Q$85,0)))</f>
        <v/>
      </c>
      <c r="G69" s="279" t="n"/>
      <c r="H69" s="280" t="inlineStr">
        <is>
          <t>Flat</t>
        </is>
      </c>
      <c r="I69" s="239" t="n"/>
    </row>
    <row r="70">
      <c r="A70" s="554">
        <f>IF(B70="","",1)</f>
        <v/>
      </c>
      <c r="B70" s="550">
        <f>IF(C70="","",DATE(C70-1,3,1))</f>
        <v/>
      </c>
      <c r="C70" s="279" t="n"/>
      <c r="D70" s="235">
        <f>IF(C70="","",IF(MONTH(DoB)&lt;3,C70-YEAR(DoB),C70-YEAR(DoB)-1))</f>
        <v/>
      </c>
      <c r="E70" s="551" t="n"/>
      <c r="F70" s="552">
        <f>IF(E70="","",INDEX('LOE Sc1'!$R$11:$R$85,MATCH(Summary!E70,'LOE Sc1'!$Q$11:$Q$85,0)))</f>
        <v/>
      </c>
      <c r="G70" s="279" t="n"/>
      <c r="H70" s="280" t="inlineStr">
        <is>
          <t>Flat</t>
        </is>
      </c>
      <c r="I70" s="239" t="n"/>
    </row>
    <row r="71">
      <c r="A71" s="554">
        <f>IF(B71="","",1)</f>
        <v/>
      </c>
      <c r="B71" s="550">
        <f>IF(C71="","",DATE(C71-1,3,1))</f>
        <v/>
      </c>
      <c r="C71" s="279" t="n"/>
      <c r="D71" s="235">
        <f>IF(C71="","",IF(MONTH(DoB)&lt;3,C71-YEAR(DoB),C71-YEAR(DoB)-1))</f>
        <v/>
      </c>
      <c r="E71" s="551" t="n"/>
      <c r="F71" s="552">
        <f>IF(E71="","",INDEX('LOE Sc1'!$R$11:$R$85,MATCH(Summary!E71,'LOE Sc1'!$Q$11:$Q$85,0)))</f>
        <v/>
      </c>
      <c r="G71" s="279" t="n"/>
      <c r="H71" s="280" t="inlineStr">
        <is>
          <t>Flat</t>
        </is>
      </c>
      <c r="I71" s="239" t="n"/>
    </row>
    <row r="72">
      <c r="A72" s="554">
        <f>IF(B72="","",1)</f>
        <v/>
      </c>
      <c r="B72" s="561" t="n"/>
      <c r="C72" s="235" t="n"/>
      <c r="D72" s="235">
        <f>IF(C72="","",IF(MONTH(DoB)&lt;3,C72-YEAR(DoB),C72-YEAR(DoB)-1))</f>
        <v/>
      </c>
      <c r="E72" s="552" t="n"/>
      <c r="F72" s="552" t="n"/>
      <c r="G72" s="235" t="n"/>
      <c r="H72" s="237" t="n"/>
      <c r="I72" s="239" t="n"/>
    </row>
    <row r="73" ht="15.6" customHeight="1">
      <c r="A73" s="562" t="n"/>
      <c r="B73" s="97" t="inlineStr">
        <is>
          <t>Peak Post-accident</t>
        </is>
      </c>
      <c r="C73" s="276" t="n">
        <v>45</v>
      </c>
      <c r="D73" s="331" t="inlineStr">
        <is>
          <t>Date</t>
        </is>
      </c>
      <c r="E73" s="332">
        <f>EOMONTH(DoB+pPost*365.25,0)</f>
        <v/>
      </c>
      <c r="F73" s="275" t="n"/>
      <c r="G73" s="275" t="inlineStr">
        <is>
          <t>Retirement Age</t>
        </is>
      </c>
      <c r="H73" s="558" t="n">
        <v>65</v>
      </c>
      <c r="I73" s="240" t="n"/>
    </row>
    <row r="74" ht="50.1" customHeight="1">
      <c r="B74" s="559" t="n"/>
      <c r="C74" s="235" t="n"/>
      <c r="D74" s="235" t="n"/>
      <c r="E74" s="235" t="n"/>
      <c r="F74" s="235" t="n"/>
      <c r="G74" s="235" t="n"/>
      <c r="H74" s="235" t="n"/>
      <c r="I74" s="244" t="n"/>
    </row>
    <row r="75" hidden="1">
      <c r="B75" s="523" t="inlineStr">
        <is>
          <t>POST-ACCIDENT</t>
        </is>
      </c>
      <c r="C75" s="548" t="n"/>
    </row>
    <row r="76" hidden="1">
      <c r="B76" s="523">
        <f>B26</f>
        <v/>
      </c>
      <c r="C76" s="548" t="n"/>
    </row>
    <row r="77" hidden="1">
      <c r="B77" s="251">
        <f>B27</f>
        <v/>
      </c>
      <c r="C77" s="252" t="inlineStr">
        <is>
          <t>N</t>
        </is>
      </c>
    </row>
    <row r="78" hidden="1" customFormat="1" s="12">
      <c r="A78" s="353" t="n"/>
      <c r="B78" s="251">
        <f>B28</f>
        <v/>
      </c>
      <c r="C78" s="200">
        <f>DoE</f>
        <v/>
      </c>
      <c r="I78" s="242" t="n"/>
      <c r="M78" s="362" t="n"/>
      <c r="N78" s="362" t="n"/>
      <c r="O78" s="362" t="n"/>
    </row>
    <row r="79" hidden="1">
      <c r="B79" s="251">
        <f>B29</f>
        <v/>
      </c>
      <c r="C79" s="252" t="inlineStr">
        <is>
          <t>N</t>
        </is>
      </c>
    </row>
    <row r="80" hidden="1">
      <c r="B80" s="251">
        <f>B30</f>
        <v/>
      </c>
      <c r="C80" s="252" t="inlineStr">
        <is>
          <t>N</t>
        </is>
      </c>
    </row>
    <row r="81" hidden="1">
      <c r="B81" s="251">
        <f>B31</f>
        <v/>
      </c>
      <c r="C81" s="252" t="inlineStr">
        <is>
          <t>N</t>
        </is>
      </c>
    </row>
    <row r="82" hidden="1" customFormat="1" s="12">
      <c r="A82" s="353" t="n"/>
      <c r="B82" s="251">
        <f>B32</f>
        <v/>
      </c>
      <c r="C82" s="254" t="n">
        <v>14376</v>
      </c>
      <c r="I82" s="242" t="n"/>
      <c r="M82" s="362" t="n"/>
      <c r="N82" s="362" t="n"/>
      <c r="O82" s="362" t="n"/>
    </row>
    <row r="83" hidden="1">
      <c r="B83" s="251">
        <f>B33</f>
        <v/>
      </c>
      <c r="C83" s="253" t="n">
        <v>3.7</v>
      </c>
    </row>
    <row r="84" hidden="1">
      <c r="B84" s="251">
        <f>B34</f>
        <v/>
      </c>
      <c r="C84" s="200">
        <f>EOMONTH(DoB+RetAge_Post*365.25,0)+1</f>
        <v/>
      </c>
    </row>
    <row r="85" hidden="1">
      <c r="B85" s="251">
        <f>B35</f>
        <v/>
      </c>
      <c r="C85" s="254">
        <f>IF(MONTH(DoR_Post)&lt;=3,YEAR(DoR_Post),YEAR(DoR_Post)+1)</f>
        <v/>
      </c>
    </row>
    <row r="86" hidden="1">
      <c r="B86" s="251">
        <f>B36</f>
        <v/>
      </c>
      <c r="C86" s="199">
        <f>DATEDIF(DoE,DoR_Post,"Y")</f>
        <v/>
      </c>
    </row>
    <row r="87" hidden="1">
      <c r="B87" s="251">
        <f>B37</f>
        <v/>
      </c>
      <c r="C87" s="255">
        <f>IF(DoE&lt;DATE(1998,3,1),DATEDIF(DATE(1998,3,1),DoR_Post,"Y"),service_post)</f>
        <v/>
      </c>
    </row>
    <row r="88" hidden="1">
      <c r="B88" s="251">
        <f>B38</f>
        <v/>
      </c>
      <c r="C88" s="255">
        <f>C87/service_post</f>
        <v/>
      </c>
    </row>
    <row r="89" hidden="1">
      <c r="B89" s="246">
        <f>B39</f>
        <v/>
      </c>
      <c r="C89" s="247" t="n">
        <v>60</v>
      </c>
    </row>
    <row r="90" hidden="1">
      <c r="B90" s="246">
        <f>B40</f>
        <v/>
      </c>
      <c r="C90" s="248" t="inlineStr">
        <is>
          <t>N</t>
        </is>
      </c>
    </row>
    <row r="91" hidden="1">
      <c r="B91" s="246">
        <f>B41</f>
        <v/>
      </c>
      <c r="C91" s="247">
        <f>MIN(5,1/3*service_post,(C89-RetAge_Post))*(C90="Y")</f>
        <v/>
      </c>
    </row>
    <row r="92" hidden="1">
      <c r="B92" s="249">
        <f>B42</f>
        <v/>
      </c>
      <c r="C92" s="248" t="inlineStr">
        <is>
          <t>N</t>
        </is>
      </c>
    </row>
    <row r="93" hidden="1">
      <c r="B93" s="249">
        <f>B43</f>
        <v/>
      </c>
      <c r="C93" s="247">
        <f>IF(C92="Y",DATEDIF(DoR_Post,EOMONTH(DoB+C$89*365.25,0)+1,"M"),0)</f>
        <v/>
      </c>
    </row>
    <row r="94" hidden="1">
      <c r="B94" s="249">
        <f>B44</f>
        <v/>
      </c>
      <c r="C94" s="250">
        <f>(1/3)%*C93</f>
        <v/>
      </c>
    </row>
    <row r="95" hidden="1">
      <c r="B95" s="251">
        <f>B45</f>
        <v/>
      </c>
      <c r="C95" s="199">
        <f>(IF(C79="Y",((service_post-10)*1.25+10),C86)+C91)/55</f>
        <v/>
      </c>
    </row>
    <row r="96" hidden="1">
      <c r="B96" s="256">
        <f>B46</f>
        <v/>
      </c>
      <c r="C96" s="257">
        <f>MATCH(Ret_Yr_post,'LOE Sc1'!$AU11:$AU178,0)</f>
        <v/>
      </c>
    </row>
    <row r="97" hidden="1">
      <c r="B97" s="251">
        <f>B47</f>
        <v/>
      </c>
      <c r="C97" s="199">
        <f t="array" ref="C97">IF(GEPF_post="Y",(INDEX('LOE Sc1'!$AY11:$AY178,C$96)*INDEX('LOE Sc1'!$AV11:$AV178,C96)+INDEX('LOE Sc1'!$AY11:$AY178,C96-1)+INDEX('LOE Sc1'!$AY11:$AY178,C96-2)*(1-INDEX('LOE Sc1'!$AV11:$AV178,C96)))/2+360,0)</f>
        <v/>
      </c>
    </row>
    <row r="98" hidden="1">
      <c r="B98" s="251">
        <f>B48</f>
        <v/>
      </c>
      <c r="C98" s="199">
        <f>C97*C95*(1-C$94)</f>
        <v/>
      </c>
    </row>
    <row r="99" hidden="1">
      <c r="B99" s="251">
        <f>B49</f>
        <v/>
      </c>
      <c r="C99" s="199">
        <f>C98*C83*C88*(1-C$94)</f>
        <v/>
      </c>
    </row>
    <row r="100" hidden="1"/>
    <row r="101" hidden="1" ht="13.8" customHeight="1">
      <c r="B101" s="522" t="inlineStr">
        <is>
          <t>Tax Gratuity Benefit</t>
        </is>
      </c>
      <c r="C101" s="563" t="n"/>
      <c r="D101" s="548" t="n"/>
    </row>
    <row r="102" hidden="1" ht="13.8" customHeight="1">
      <c r="B102" s="333" t="inlineStr">
        <is>
          <t>Rate</t>
        </is>
      </c>
      <c r="C102" s="333" t="inlineStr">
        <is>
          <t>Interval</t>
        </is>
      </c>
      <c r="D102" s="333" t="n"/>
    </row>
    <row r="103" hidden="1" ht="13.8" customHeight="1">
      <c r="B103" s="333" t="n">
        <v>0</v>
      </c>
      <c r="C103" s="334" t="n">
        <v>0</v>
      </c>
      <c r="D103" s="333" t="n"/>
    </row>
    <row r="104" hidden="1" ht="13.8" customHeight="1">
      <c r="B104" s="333" t="n">
        <v>550000</v>
      </c>
      <c r="C104" s="334" t="n">
        <v>0.18</v>
      </c>
      <c r="D104" s="564">
        <f>(B104-B103)*C103+D103</f>
        <v/>
      </c>
    </row>
    <row r="105" hidden="1" ht="13.8" customHeight="1">
      <c r="B105" s="333" t="n">
        <v>770000</v>
      </c>
      <c r="C105" s="334" t="n">
        <v>0.27</v>
      </c>
      <c r="D105" s="564">
        <f>(B105-B104)*C104+D104</f>
        <v/>
      </c>
    </row>
    <row r="106" hidden="1" ht="13.8" customHeight="1">
      <c r="B106" s="333" t="n">
        <v>1155000</v>
      </c>
      <c r="C106" s="334" t="n">
        <v>0.36</v>
      </c>
      <c r="D106" s="564">
        <f>(B106-B105)*C105+D105</f>
        <v/>
      </c>
      <c r="F106" s="565" t="n"/>
    </row>
    <row r="107" hidden="1" ht="13.8" customHeight="1">
      <c r="B107" s="336" t="n"/>
      <c r="C107" s="337" t="n"/>
      <c r="D107" s="338" t="n"/>
    </row>
    <row r="108" hidden="1" ht="13.8" customHeight="1">
      <c r="B108" s="334" t="n"/>
      <c r="C108" s="333" t="inlineStr">
        <is>
          <t>Pre-Accident</t>
        </is>
      </c>
      <c r="D108" s="333" t="inlineStr">
        <is>
          <t>Post - Accident</t>
        </is>
      </c>
    </row>
    <row r="109" hidden="1" ht="13.8" customHeight="1">
      <c r="B109" s="333" t="inlineStr">
        <is>
          <t>Tax</t>
        </is>
      </c>
      <c r="C109" s="333">
        <f>(LS_pre - VLOOKUP(LS_pre,$B$103:$D$106,1,TRUE))*VLOOKUP(LS_pre,$B$103:$D$106,2,TRUE)+VLOOKUP(LS_pre,$B$103:$D$106,3,TRUE)</f>
        <v/>
      </c>
      <c r="D109" s="333">
        <f>(LS_post - VLOOKUP(LS_post,$B$103:$D$106,1,TRUE))*VLOOKUP(LS_post,$B$103:$D$106,2,TRUE)+VLOOKUP(LS_post,$B$103:$D$106,3,TRUE)</f>
        <v/>
      </c>
    </row>
    <row r="110" hidden="1" ht="13.8" customHeight="1">
      <c r="B110" s="333" t="inlineStr">
        <is>
          <t>Gratuity After Tax</t>
        </is>
      </c>
      <c r="C110" s="333">
        <f>LS_pre/C38 - C109</f>
        <v/>
      </c>
      <c r="D110" s="333">
        <f>LS_post/C88 - D109</f>
        <v/>
      </c>
    </row>
    <row r="111" ht="14.4" customHeight="1">
      <c r="B111" s="339" t="n"/>
      <c r="C111" s="96" t="n"/>
    </row>
    <row r="112" ht="13.8" customHeight="1">
      <c r="B112" s="522" t="inlineStr">
        <is>
          <t>Disability Grant</t>
        </is>
      </c>
      <c r="C112" s="522" t="n"/>
    </row>
    <row r="113" ht="14.4" customHeight="1">
      <c r="B113" s="341" t="inlineStr">
        <is>
          <t>Disability</t>
        </is>
      </c>
      <c r="C113" s="380" t="inlineStr">
        <is>
          <t>N</t>
        </is>
      </c>
    </row>
    <row r="114" ht="14.4" customHeight="1">
      <c r="B114" s="373" t="inlineStr">
        <is>
          <t>Start Date</t>
        </is>
      </c>
      <c r="C114" s="566" t="n">
        <v>44621</v>
      </c>
      <c r="D114" s="339" t="n"/>
    </row>
    <row r="115" ht="14.4" customHeight="1">
      <c r="B115" s="373" t="inlineStr">
        <is>
          <t>End date</t>
        </is>
      </c>
      <c r="C115" s="566" t="n">
        <v>45291</v>
      </c>
      <c r="D115" s="339" t="n"/>
    </row>
    <row r="116" ht="14.4" customHeight="1">
      <c r="B116" s="373" t="inlineStr">
        <is>
          <t>Total</t>
        </is>
      </c>
      <c r="C116" s="567">
        <f>Grant!R18</f>
        <v/>
      </c>
    </row>
  </sheetData>
  <mergeCells count="13">
    <mergeCell ref="A52:I52"/>
    <mergeCell ref="K52:L52"/>
    <mergeCell ref="K53:L53"/>
    <mergeCell ref="K11:L11"/>
    <mergeCell ref="A2:I2"/>
    <mergeCell ref="B26:C26"/>
    <mergeCell ref="B25:C25"/>
    <mergeCell ref="B101:D101"/>
    <mergeCell ref="K2:L2"/>
    <mergeCell ref="B76:C76"/>
    <mergeCell ref="B75:C75"/>
    <mergeCell ref="K61:L61"/>
    <mergeCell ref="K3:L3"/>
  </mergeCells>
  <dataValidations count="2">
    <dataValidation sqref="C27 C29:C31 C40 C42 C77 C79:C81 C90 C92" showDropDown="0" showInputMessage="1" showErrorMessage="1" allowBlank="1" type="list">
      <formula1>"Y,N"</formula1>
    </dataValidation>
    <dataValidation sqref="H5:H21 H55:H71" showDropDown="0" showInputMessage="1" showErrorMessage="1" allowBlank="1" type="list">
      <formula1>"Linear,Flat"</formula1>
    </dataValidation>
  </dataValidations>
  <pageMargins left="0.75" right="0.75" top="1" bottom="1" header="0.5" footer="0.5"/>
  <pageSetup orientation="landscape" scale="8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Q96"/>
  <sheetViews>
    <sheetView workbookViewId="0">
      <selection activeCell="A16" sqref="A16"/>
    </sheetView>
  </sheetViews>
  <sheetFormatPr baseColWidth="8" defaultRowHeight="13.2"/>
  <cols>
    <col width="10.5546875" bestFit="1" customWidth="1" min="3" max="3"/>
    <col width="9.5546875" bestFit="1" customWidth="1" min="4" max="5"/>
    <col width="10.5546875" bestFit="1" customWidth="1" min="6" max="6"/>
  </cols>
  <sheetData>
    <row r="1">
      <c r="A1" s="92" t="inlineStr">
        <is>
          <t>Pre-accident</t>
        </is>
      </c>
      <c r="C1" s="419" t="n"/>
      <c r="D1" s="419" t="n"/>
      <c r="E1" s="92" t="n"/>
      <c r="F1" s="92" t="n"/>
    </row>
    <row r="2">
      <c r="A2" s="88" t="inlineStr">
        <is>
          <t>At the time of the accident, the claimant was a learner in Grade 02.</t>
        </is>
      </c>
    </row>
    <row r="3">
      <c r="A3" s="88" t="inlineStr">
        <is>
          <t>Had the accident not occurred, the claimant would probably have completed Grade 12 and thereafter obtained a Diploma (NQF Level 6).</t>
        </is>
      </c>
    </row>
    <row r="4">
      <c r="A4" s="88" t="inlineStr">
        <is>
          <t>Following completion of tertiary studies and a post-qualification unemployment period, he would probably have entered the labour market at approximately age 23, earning at the lower quartile of early-career Diploma earners.</t>
        </is>
      </c>
    </row>
    <row r="5">
      <c r="A5" s="88" t="n"/>
    </row>
    <row r="6">
      <c r="A6" s="88" t="n"/>
    </row>
    <row r="7">
      <c r="A7" s="88" t="n"/>
    </row>
    <row r="8">
      <c r="A8" s="88" t="inlineStr">
        <is>
          <t>Thereafter, annual inflationary increases would likely have applied until retirement at age 65.</t>
        </is>
      </c>
    </row>
    <row r="9">
      <c r="A9" s="88" t="n"/>
    </row>
    <row r="10">
      <c r="A10" s="88" t="inlineStr">
        <is>
          <t>Post-accident</t>
        </is>
      </c>
      <c r="C10" s="92" t="n"/>
      <c r="D10" s="419" t="n"/>
      <c r="E10" s="92" t="n"/>
    </row>
    <row r="11">
      <c r="A11" s="88" t="inlineStr">
        <is>
          <t>Following the accident, the claimant's educational and vocational prospects are likely limited to Grade 12 (NQF Level 4).</t>
        </is>
      </c>
    </row>
    <row r="12">
      <c r="A12" s="88" t="inlineStr">
        <is>
          <t>He would therefore likely enter the labour market at approximately age 21 and compete within the semi-skilled segment of the non-corporate labour market.</t>
        </is>
      </c>
    </row>
    <row r="13">
      <c r="A13" s="88" t="inlineStr">
        <is>
          <t>Earnings would likely commence at the lower quartile of semi-skilled workers and progress gradually to approximately the midpoint between the median and upper quartile by age 45.</t>
        </is>
      </c>
    </row>
    <row r="14">
      <c r="A14" s="88" t="inlineStr">
        <is>
          <t>In  2019, she was a Level 4 Electrical Construction student at a TVET college and failed 1 module (Mathematics).</t>
        </is>
      </c>
    </row>
    <row r="15">
      <c r="A15" s="88" t="inlineStr">
        <is>
          <t>In 2020, she repeated the module, failed and then discontinued with her studies.</t>
        </is>
      </c>
    </row>
    <row r="16">
      <c r="A16" s="88" t="inlineStr">
        <is>
          <t>Thereafter, annual inflationary increases would likely apply until retirement at age 65.</t>
        </is>
      </c>
    </row>
    <row r="17">
      <c r="A17" s="88" t="n"/>
    </row>
    <row r="18">
      <c r="A18" s="88" t="n"/>
    </row>
    <row r="19">
      <c r="A19" s="88" t="n"/>
    </row>
    <row r="20">
      <c r="A20" s="88" t="inlineStr">
        <is>
          <t>Thereafter, salary inflationary increases until retirement at the age of 65 years.</t>
        </is>
      </c>
    </row>
    <row r="21">
      <c r="A21" s="88" t="n"/>
    </row>
    <row r="22">
      <c r="A22" s="88" t="n"/>
    </row>
    <row r="23">
      <c r="A23" s="88" t="n"/>
    </row>
    <row r="24">
      <c r="A24" s="88" t="n"/>
    </row>
    <row r="25">
      <c r="A25" s="88" t="inlineStr">
        <is>
          <t>His earnings would increased by salary inflation until retirement at the age of 65 years.</t>
        </is>
      </c>
    </row>
    <row r="26">
      <c r="A26" s="88" t="n"/>
    </row>
    <row r="27">
      <c r="A27" s="88" t="n"/>
      <c r="P27" t="n">
        <v>6.5</v>
      </c>
    </row>
    <row r="28">
      <c r="A28" s="88" t="n"/>
      <c r="P28" t="n">
        <v>7</v>
      </c>
    </row>
    <row r="29">
      <c r="A29" s="88" t="n"/>
      <c r="D29" s="501" t="n"/>
      <c r="P29" t="n">
        <v>8</v>
      </c>
      <c r="Q29">
        <f>P28+P29</f>
        <v/>
      </c>
    </row>
    <row r="30">
      <c r="A30" s="88" t="n"/>
      <c r="D30" s="501" t="n"/>
      <c r="E30" s="501" t="n"/>
    </row>
    <row r="31">
      <c r="A31" s="88" t="n"/>
      <c r="D31" s="501" t="n"/>
      <c r="E31" s="501" t="n"/>
    </row>
    <row r="32">
      <c r="A32" s="88" t="n"/>
      <c r="D32" s="501" t="n"/>
      <c r="E32" s="501" t="n"/>
    </row>
    <row r="33">
      <c r="A33" s="88" t="n"/>
      <c r="E33" s="506" t="n">
        <v>45536</v>
      </c>
    </row>
    <row r="34">
      <c r="A34" s="88" t="n"/>
      <c r="E34" s="506" t="n">
        <v>45566</v>
      </c>
      <c r="F34" t="n">
        <v>1</v>
      </c>
    </row>
    <row r="35">
      <c r="A35" s="88" t="n"/>
      <c r="E35" s="506" t="n">
        <v>45597</v>
      </c>
      <c r="F35" t="n">
        <v>2</v>
      </c>
    </row>
    <row r="36">
      <c r="E36" s="506" t="n">
        <v>45627</v>
      </c>
      <c r="F36" t="n">
        <v>3</v>
      </c>
    </row>
    <row r="37">
      <c r="E37" s="506" t="n">
        <v>45658</v>
      </c>
      <c r="F37" t="n">
        <v>4</v>
      </c>
    </row>
    <row r="38">
      <c r="A38" s="88" t="n"/>
      <c r="E38" s="506" t="n">
        <v>45689</v>
      </c>
      <c r="F38" t="n">
        <v>5</v>
      </c>
    </row>
    <row r="39">
      <c r="A39" s="88" t="n"/>
      <c r="E39" s="506" t="n">
        <v>45717</v>
      </c>
      <c r="F39" t="n">
        <v>6</v>
      </c>
    </row>
    <row r="40">
      <c r="A40" s="88" t="n"/>
      <c r="E40" s="506" t="n">
        <v>45748</v>
      </c>
      <c r="F40" t="n">
        <v>7</v>
      </c>
    </row>
    <row r="41">
      <c r="A41" s="88" t="n"/>
      <c r="E41" s="506" t="n">
        <v>45778</v>
      </c>
      <c r="F41" t="n">
        <v>8</v>
      </c>
    </row>
    <row r="42">
      <c r="A42" s="88" t="n"/>
      <c r="E42" s="506" t="n">
        <v>45809</v>
      </c>
      <c r="F42" t="n">
        <v>9</v>
      </c>
    </row>
    <row r="43">
      <c r="A43" s="88" t="n"/>
      <c r="E43" s="506" t="n">
        <v>45839</v>
      </c>
      <c r="F43" t="n">
        <v>10</v>
      </c>
    </row>
    <row r="44">
      <c r="A44" s="88" t="n"/>
      <c r="E44" s="506" t="n">
        <v>45870</v>
      </c>
      <c r="F44" t="n">
        <v>11</v>
      </c>
    </row>
    <row r="45">
      <c r="A45" s="88" t="n"/>
      <c r="E45" s="506" t="n">
        <v>45901</v>
      </c>
      <c r="F45" t="n">
        <v>12</v>
      </c>
    </row>
    <row r="46">
      <c r="A46" s="88" t="n"/>
      <c r="E46" s="506" t="n">
        <v>45931</v>
      </c>
      <c r="F46" t="n">
        <v>13</v>
      </c>
    </row>
    <row r="47">
      <c r="A47" s="502" t="n"/>
      <c r="E47" s="506" t="n">
        <v>45962</v>
      </c>
      <c r="F47" t="n">
        <v>14</v>
      </c>
    </row>
    <row r="48">
      <c r="A48" s="88" t="n"/>
      <c r="E48" s="506" t="n">
        <v>45992</v>
      </c>
      <c r="F48" t="n">
        <v>15</v>
      </c>
    </row>
    <row r="49">
      <c r="A49" s="88" t="n"/>
      <c r="E49" s="506" t="n">
        <v>46023</v>
      </c>
      <c r="F49" t="n">
        <v>16</v>
      </c>
    </row>
    <row r="50">
      <c r="A50" s="88" t="n"/>
      <c r="E50" s="506" t="n">
        <v>46054</v>
      </c>
      <c r="F50" t="n">
        <v>17</v>
      </c>
    </row>
    <row r="51">
      <c r="A51" s="88" t="n"/>
      <c r="E51" s="506" t="n">
        <v>46082</v>
      </c>
      <c r="F51" t="n">
        <v>18</v>
      </c>
    </row>
    <row r="52">
      <c r="A52" s="88" t="n"/>
      <c r="E52" s="506" t="n">
        <v>46113</v>
      </c>
      <c r="F52" t="n">
        <v>19</v>
      </c>
    </row>
    <row r="53">
      <c r="A53" s="88" t="n"/>
      <c r="E53" s="506" t="n">
        <v>46143</v>
      </c>
      <c r="F53" t="n">
        <v>20</v>
      </c>
    </row>
    <row r="54">
      <c r="A54" s="88" t="n"/>
      <c r="E54" s="506" t="n">
        <v>46174</v>
      </c>
      <c r="F54" t="n">
        <v>21</v>
      </c>
    </row>
    <row r="55">
      <c r="A55" s="88" t="n"/>
      <c r="E55" s="506" t="n">
        <v>46204</v>
      </c>
      <c r="F55" t="n">
        <v>22</v>
      </c>
    </row>
    <row r="56">
      <c r="A56" s="88" t="n"/>
      <c r="E56" s="506" t="n">
        <v>46235</v>
      </c>
      <c r="F56" t="n">
        <v>23</v>
      </c>
    </row>
    <row r="57">
      <c r="A57" s="88" t="n"/>
      <c r="E57" s="506" t="n">
        <v>46266</v>
      </c>
      <c r="F57" t="n">
        <v>24</v>
      </c>
    </row>
    <row r="58">
      <c r="A58" s="88" t="n"/>
      <c r="E58" s="506" t="n">
        <v>46296</v>
      </c>
      <c r="F58" t="n">
        <v>25</v>
      </c>
    </row>
    <row r="59">
      <c r="A59" s="88" t="n"/>
      <c r="E59" s="506" t="n">
        <v>46327</v>
      </c>
      <c r="F59" t="n">
        <v>26</v>
      </c>
    </row>
    <row r="60">
      <c r="E60" s="506" t="n">
        <v>46357</v>
      </c>
      <c r="F60" t="n">
        <v>27</v>
      </c>
    </row>
    <row r="61">
      <c r="E61" s="506" t="n">
        <v>46388</v>
      </c>
      <c r="F61" t="n">
        <v>28</v>
      </c>
    </row>
    <row r="62">
      <c r="D62" s="501" t="n"/>
      <c r="E62" s="506" t="n">
        <v>46419</v>
      </c>
      <c r="F62" t="n">
        <v>29</v>
      </c>
    </row>
    <row r="63">
      <c r="E63" s="506" t="n">
        <v>46447</v>
      </c>
      <c r="F63" t="n">
        <v>30</v>
      </c>
    </row>
    <row r="64">
      <c r="E64" s="506" t="n">
        <v>46478</v>
      </c>
      <c r="F64" t="n">
        <v>31</v>
      </c>
    </row>
    <row r="65">
      <c r="E65" s="506" t="n">
        <v>46508</v>
      </c>
      <c r="F65" t="n">
        <v>32</v>
      </c>
    </row>
    <row r="66">
      <c r="E66" s="506" t="n">
        <v>46539</v>
      </c>
      <c r="F66" t="n">
        <v>33</v>
      </c>
    </row>
    <row r="67">
      <c r="E67" s="506" t="n">
        <v>46569</v>
      </c>
      <c r="F67" t="n">
        <v>34</v>
      </c>
    </row>
    <row r="68">
      <c r="E68" s="506" t="n">
        <v>46600</v>
      </c>
      <c r="F68" t="n">
        <v>35</v>
      </c>
    </row>
    <row r="69">
      <c r="E69" s="506" t="n">
        <v>46631</v>
      </c>
      <c r="F69" t="n">
        <v>36</v>
      </c>
    </row>
    <row r="70">
      <c r="E70" s="506" t="n">
        <v>46661</v>
      </c>
      <c r="F70" t="n">
        <v>37</v>
      </c>
    </row>
    <row r="71">
      <c r="E71" s="506" t="n">
        <v>46692</v>
      </c>
      <c r="F71" t="n">
        <v>38</v>
      </c>
    </row>
    <row r="72">
      <c r="E72" s="506" t="n">
        <v>46722</v>
      </c>
      <c r="F72" t="n">
        <v>39</v>
      </c>
    </row>
    <row r="73">
      <c r="E73" s="506" t="n">
        <v>46753</v>
      </c>
      <c r="F73" t="n">
        <v>40</v>
      </c>
    </row>
    <row r="74">
      <c r="E74" s="506" t="n">
        <v>46784</v>
      </c>
      <c r="F74" t="n">
        <v>41</v>
      </c>
    </row>
    <row r="75">
      <c r="E75" s="506" t="n">
        <v>46813</v>
      </c>
      <c r="F75" t="n">
        <v>42</v>
      </c>
    </row>
    <row r="76">
      <c r="E76" s="506" t="n">
        <v>46844</v>
      </c>
      <c r="F76" t="n">
        <v>43</v>
      </c>
    </row>
    <row r="77">
      <c r="E77" s="506" t="n">
        <v>46874</v>
      </c>
      <c r="F77" t="n">
        <v>44</v>
      </c>
    </row>
    <row r="78">
      <c r="E78" s="506" t="n">
        <v>46905</v>
      </c>
      <c r="F78" t="n">
        <v>45</v>
      </c>
    </row>
    <row r="79">
      <c r="E79" s="506" t="n">
        <v>46935</v>
      </c>
      <c r="F79" t="n">
        <v>46</v>
      </c>
    </row>
    <row r="80">
      <c r="E80" s="506" t="n">
        <v>46966</v>
      </c>
      <c r="F80" t="n">
        <v>47</v>
      </c>
    </row>
    <row r="81">
      <c r="E81" s="506" t="n">
        <v>46997</v>
      </c>
      <c r="F81" t="n">
        <v>48</v>
      </c>
    </row>
    <row r="82">
      <c r="E82" s="506" t="n">
        <v>47027</v>
      </c>
      <c r="F82" t="n">
        <v>49</v>
      </c>
    </row>
    <row r="83">
      <c r="E83" s="506" t="n">
        <v>47058</v>
      </c>
      <c r="F83" t="n">
        <v>50</v>
      </c>
    </row>
    <row r="84">
      <c r="E84" s="506" t="n">
        <v>47088</v>
      </c>
      <c r="F84" t="n">
        <v>51</v>
      </c>
    </row>
    <row r="85">
      <c r="B85">
        <f>54/12</f>
        <v/>
      </c>
      <c r="E85" s="506" t="n">
        <v>47119</v>
      </c>
      <c r="F85" t="n">
        <v>52</v>
      </c>
    </row>
    <row r="86">
      <c r="E86" s="506" t="n">
        <v>47150</v>
      </c>
      <c r="F86" t="n">
        <v>53</v>
      </c>
    </row>
    <row r="87">
      <c r="E87" s="506" t="n">
        <v>47178</v>
      </c>
      <c r="F87" t="n">
        <v>54</v>
      </c>
    </row>
    <row r="88">
      <c r="E88" s="506" t="n">
        <v>47209</v>
      </c>
    </row>
    <row r="89">
      <c r="E89" s="506" t="n"/>
    </row>
    <row r="90">
      <c r="E90" s="506" t="n"/>
    </row>
    <row r="91">
      <c r="E91" s="506" t="n"/>
    </row>
    <row r="92">
      <c r="E92" s="506" t="n"/>
    </row>
    <row r="93">
      <c r="E93" s="506" t="n"/>
    </row>
    <row r="94">
      <c r="E94" s="501" t="n"/>
    </row>
    <row r="95">
      <c r="E95" s="501" t="n"/>
    </row>
    <row r="96">
      <c r="E96" s="501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B4" sqref="B4"/>
    </sheetView>
  </sheetViews>
  <sheetFormatPr baseColWidth="8" defaultRowHeight="13.2"/>
  <cols>
    <col width="16.6640625" bestFit="1" customWidth="1" min="4" max="4"/>
  </cols>
  <sheetData>
    <row r="1">
      <c r="B1" s="88" t="inlineStr">
        <is>
          <t>Year</t>
        </is>
      </c>
      <c r="C1" s="88" t="inlineStr">
        <is>
          <t>Age</t>
        </is>
      </c>
      <c r="D1" s="88" t="inlineStr">
        <is>
          <t>Grade</t>
        </is>
      </c>
    </row>
    <row r="2">
      <c r="B2" t="n">
        <v>2023</v>
      </c>
      <c r="C2" t="n">
        <v>10</v>
      </c>
      <c r="D2" t="n">
        <v>6</v>
      </c>
    </row>
    <row r="3">
      <c r="B3">
        <f>B2+6</f>
        <v/>
      </c>
      <c r="C3">
        <f>C2+6</f>
        <v/>
      </c>
      <c r="D3">
        <f>D2+6</f>
        <v/>
      </c>
    </row>
    <row r="4">
      <c r="B4">
        <f>B3+3</f>
        <v/>
      </c>
      <c r="C4">
        <f>C3+3</f>
        <v/>
      </c>
      <c r="D4" s="88" t="inlineStr">
        <is>
          <t>Diploma at a TVET</t>
        </is>
      </c>
    </row>
    <row r="5">
      <c r="B5">
        <f>B4+1</f>
        <v/>
      </c>
      <c r="C5">
        <f>C4+1</f>
        <v/>
      </c>
      <c r="D5" s="88" t="inlineStr">
        <is>
          <t>Internship</t>
        </is>
      </c>
      <c r="E5" s="88" t="inlineStr">
        <is>
          <t>18-months</t>
        </is>
      </c>
    </row>
    <row r="6">
      <c r="A6" s="88" t="inlineStr">
        <is>
          <t>July</t>
        </is>
      </c>
      <c r="B6">
        <f>B5+1</f>
        <v/>
      </c>
      <c r="C6">
        <f>C5+1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EG285"/>
  <sheetViews>
    <sheetView workbookViewId="0">
      <pane xSplit="5" ySplit="9" topLeftCell="K10" activePane="bottomRight" state="frozen"/>
      <selection pane="topRight" activeCell="F1" sqref="F1"/>
      <selection pane="bottomLeft" activeCell="A10" sqref="A10"/>
      <selection pane="bottomRight" activeCell="AC11" sqref="AC11"/>
    </sheetView>
  </sheetViews>
  <sheetFormatPr baseColWidth="8" defaultColWidth="10" defaultRowHeight="10.2"/>
  <cols>
    <col hidden="1" width="13.6640625" customWidth="1" style="1" min="1" max="1"/>
    <col hidden="1" width="12.33203125" customWidth="1" style="1" min="2" max="2"/>
    <col width="14.44140625" bestFit="1" customWidth="1" style="1" min="3" max="3"/>
    <col width="14" bestFit="1" customWidth="1" style="1" min="4" max="4"/>
    <col width="10.33203125" bestFit="1" customWidth="1" style="47" min="5" max="5"/>
    <col width="10.33203125" customWidth="1" style="47" min="6" max="12"/>
    <col width="2.44140625" customWidth="1" style="136" min="13" max="13"/>
    <col width="10.33203125" customWidth="1" style="47" min="14" max="20"/>
    <col width="2.44140625" customWidth="1" style="139" min="21" max="21"/>
    <col width="9" bestFit="1" customWidth="1" style="1" min="22" max="22"/>
    <col width="9" customWidth="1" style="31" min="23" max="23"/>
    <col width="11.44140625" bestFit="1" customWidth="1" style="2" min="24" max="24"/>
    <col width="5.5546875" bestFit="1" customWidth="1" style="31" min="25" max="25"/>
    <col hidden="1" width="1.5546875" customWidth="1" style="1" min="26" max="26"/>
    <col width="10.44140625" bestFit="1" customWidth="1" style="1" min="27" max="27"/>
    <col width="6.33203125" bestFit="1" customWidth="1" style="2" min="28" max="28"/>
    <col width="11" bestFit="1" customWidth="1" style="2" min="29" max="29"/>
    <col width="11" customWidth="1" style="2" min="30" max="36"/>
    <col width="11" customWidth="1" style="99" min="37" max="38"/>
    <col width="10" customWidth="1" style="2" min="39" max="39"/>
    <col width="8.5546875" customWidth="1" style="2" min="40" max="40"/>
    <col width="10.5546875" bestFit="1" customWidth="1" style="2" min="41" max="41"/>
    <col width="11" customWidth="1" style="99" min="42" max="42"/>
    <col width="11" customWidth="1" style="2" min="43" max="43"/>
    <col width="11" customWidth="1" style="99" min="44" max="44"/>
    <col width="1.44140625" customWidth="1" style="104" min="45" max="45"/>
    <col width="8.6640625" customWidth="1" style="1" min="46" max="47"/>
    <col width="8.44140625" bestFit="1" customWidth="1" style="2" min="48" max="48"/>
    <col width="5.5546875" bestFit="1" customWidth="1" style="31" min="49" max="49"/>
    <col width="6.33203125" bestFit="1" customWidth="1" style="2" min="50" max="50"/>
    <col width="11" bestFit="1" customWidth="1" style="2" min="51" max="51"/>
    <col width="11" customWidth="1" style="2" min="52" max="58"/>
    <col width="11" customWidth="1" style="99" min="59" max="60"/>
    <col width="11" customWidth="1" style="2" min="61" max="63"/>
    <col width="11" customWidth="1" style="99" min="64" max="64"/>
    <col width="11" customWidth="1" style="2" min="65" max="65"/>
    <col width="12.33203125" bestFit="1" customWidth="1" style="99" min="66" max="66"/>
    <col width="2.6640625" customWidth="1" style="104" min="67" max="67"/>
    <col width="7" bestFit="1" customWidth="1" style="2" min="68" max="68"/>
    <col width="7" customWidth="1" style="2" min="69" max="69"/>
    <col width="8.33203125" customWidth="1" style="2" min="70" max="70"/>
    <col width="1" customWidth="1" style="2" min="71" max="71"/>
    <col width="8.44140625" bestFit="1" customWidth="1" style="1" min="72" max="72"/>
    <col width="10.44140625" bestFit="1" customWidth="1" style="1" min="73" max="73"/>
    <col width="1" customWidth="1" style="1" min="74" max="74"/>
    <col width="8.44140625" bestFit="1" customWidth="1" style="1" min="75" max="75"/>
    <col width="10.44140625" bestFit="1" customWidth="1" style="1" min="76" max="76"/>
    <col width="2.6640625" customWidth="1" style="104" min="77" max="77"/>
    <col width="10.6640625" customWidth="1" style="1" min="78" max="78"/>
    <col width="15.44140625" customWidth="1" style="1" min="79" max="80"/>
    <col width="1.44140625" customWidth="1" style="1" min="81" max="81"/>
    <col width="11.5546875" bestFit="1" customWidth="1" style="1" min="82" max="82"/>
    <col width="12.5546875" bestFit="1" customWidth="1" style="1" min="83" max="83"/>
    <col width="1.6640625" customWidth="1" style="1" min="84" max="84"/>
    <col width="10.6640625" bestFit="1" customWidth="1" style="1" min="85" max="86"/>
    <col width="2.5546875" customWidth="1" style="104" min="87" max="87"/>
    <col width="9.44140625" customWidth="1" style="1" min="88" max="102"/>
    <col width="4.33203125" customWidth="1" style="413" min="103" max="103"/>
    <col width="9.44140625" customWidth="1" style="1" min="104" max="110"/>
    <col width="4.6640625" customWidth="1" style="485" min="111" max="111"/>
    <col width="9.44140625" customWidth="1" style="1" min="112" max="117"/>
    <col width="10.5546875" bestFit="1" customWidth="1" style="1" min="118" max="118"/>
    <col width="9.44140625" customWidth="1" style="1" min="119" max="128"/>
    <col width="1.44140625" customWidth="1" style="99" min="129" max="129"/>
    <col width="9.44140625" customWidth="1" style="1" min="130" max="133"/>
    <col width="8.5546875" bestFit="1" customWidth="1" style="1" min="134" max="134"/>
    <col width="3.33203125" customWidth="1" style="104" min="135" max="135"/>
    <col width="8.44140625" bestFit="1" customWidth="1" style="1" min="136" max="136"/>
    <col width="10" customWidth="1" style="1" min="137" max="16384"/>
  </cols>
  <sheetData>
    <row r="1">
      <c r="C1" s="47" t="n"/>
      <c r="D1" s="47" t="n"/>
      <c r="Y1" s="52" t="n"/>
      <c r="Z1" s="42" t="n"/>
      <c r="AA1" s="4" t="n"/>
      <c r="AW1" s="52" t="n"/>
      <c r="BV1" s="2" t="n"/>
      <c r="CL1" s="398" t="n"/>
      <c r="CM1" s="398" t="n"/>
      <c r="CN1" s="398" t="n"/>
      <c r="CO1" s="398" t="n"/>
      <c r="CP1" s="398" t="n"/>
      <c r="CQ1" s="398" t="n"/>
      <c r="CR1" s="398" t="n"/>
      <c r="CS1" s="399" t="n"/>
      <c r="CT1" s="399" t="n"/>
      <c r="CU1" s="399" t="n"/>
      <c r="CV1" s="399" t="n"/>
      <c r="CW1" s="399" t="n"/>
      <c r="CX1" s="399" t="n"/>
    </row>
    <row r="2">
      <c r="C2" s="47" t="n"/>
      <c r="D2" s="47" t="n"/>
      <c r="M2" s="207" t="n">
        <v>1</v>
      </c>
      <c r="Y2" s="52" t="n"/>
      <c r="Z2" s="42" t="n"/>
      <c r="AA2" s="5" t="n"/>
      <c r="AW2" s="52" t="n"/>
      <c r="BV2" s="2" t="n"/>
      <c r="CL2" s="398" t="n"/>
      <c r="CM2" s="398" t="n"/>
      <c r="CN2" s="398" t="n"/>
      <c r="CO2" s="398" t="n"/>
      <c r="CP2" s="398" t="n"/>
      <c r="CQ2" s="398" t="n"/>
      <c r="CR2" s="398" t="n"/>
      <c r="CS2" s="399" t="n"/>
      <c r="CT2" s="399" t="n"/>
      <c r="CU2" s="399" t="n"/>
      <c r="CV2" s="399" t="n"/>
      <c r="CW2" s="399" t="n"/>
      <c r="CX2" s="399" t="n"/>
    </row>
    <row r="3">
      <c r="C3" s="47" t="n"/>
      <c r="D3" s="47" t="n"/>
      <c r="M3" s="207">
        <f>M2+1</f>
        <v/>
      </c>
      <c r="V3" s="82" t="n"/>
      <c r="Y3" s="52" t="n"/>
      <c r="Z3" s="42" t="n"/>
      <c r="AA3" s="7" t="n"/>
      <c r="AW3" s="52" t="n"/>
      <c r="BV3" s="2" t="n"/>
      <c r="CA3" s="121" t="inlineStr">
        <is>
          <t>Pre-Accident</t>
        </is>
      </c>
      <c r="CB3" s="122" t="inlineStr">
        <is>
          <t>Post-Accident</t>
        </is>
      </c>
      <c r="CL3" s="398" t="n"/>
      <c r="CM3" s="398" t="n"/>
      <c r="CN3" s="398" t="n"/>
      <c r="CO3" s="398" t="n"/>
      <c r="CP3" s="398" t="n"/>
      <c r="CQ3" s="398" t="n"/>
      <c r="CR3" s="398" t="n"/>
      <c r="CS3" s="399" t="n"/>
      <c r="CT3" s="399" t="n"/>
      <c r="CU3" s="399" t="n"/>
      <c r="CV3" s="399" t="n"/>
      <c r="CW3" s="399" t="n"/>
      <c r="CX3" s="399" t="n"/>
      <c r="ED3" s="134" t="n"/>
    </row>
    <row r="4">
      <c r="C4" s="47" t="n"/>
      <c r="D4" s="47" t="n"/>
      <c r="M4" s="207">
        <f>M3+1</f>
        <v/>
      </c>
      <c r="V4" s="35" t="n"/>
      <c r="Y4" s="52" t="n"/>
      <c r="Z4" s="42" t="n"/>
      <c r="AA4" s="8" t="n"/>
      <c r="AW4" s="52" t="n"/>
      <c r="BO4" s="568" t="n"/>
      <c r="BV4" s="569" t="n"/>
      <c r="BZ4" s="146" t="inlineStr">
        <is>
          <t>PL</t>
        </is>
      </c>
      <c r="CA4" s="119">
        <f>SUM(CA$11:CA$96) - SUMIF(E:E,"FL",CA:CA)</f>
        <v/>
      </c>
      <c r="CB4" s="119">
        <f>SUM(CB$11:CB$96) - SUMIF(E:E,"FL",CB:CB)</f>
        <v/>
      </c>
      <c r="CL4" s="398" t="n"/>
      <c r="CM4" s="398" t="n"/>
      <c r="CN4" s="398" t="n"/>
      <c r="CO4" s="398" t="n"/>
      <c r="CP4" s="398" t="n"/>
      <c r="CQ4" s="398" t="n"/>
      <c r="CR4" s="398" t="n"/>
      <c r="CS4" s="399" t="n"/>
      <c r="CT4" s="399" t="n"/>
      <c r="CU4" s="399" t="n"/>
      <c r="CV4" s="399" t="n"/>
      <c r="CW4" s="399" t="n"/>
      <c r="CX4" s="399" t="n"/>
      <c r="ED4" s="134" t="n"/>
    </row>
    <row r="5" ht="13.2" customHeight="1">
      <c r="C5" s="47" t="n"/>
      <c r="D5" s="47" t="n"/>
      <c r="H5" s="47" t="inlineStr">
        <is>
          <t>IF(E4="","",INDEX('LOE Sc1'!$G$11:$G$85,MATCH(Summary!E4,'LOE Sc1'!$I$11:$I$85,0)))</t>
        </is>
      </c>
      <c r="M5" s="207">
        <f>M4+1</f>
        <v/>
      </c>
      <c r="Y5" s="52" t="n"/>
      <c r="Z5" s="42" t="n"/>
      <c r="AA5" s="3" t="n"/>
      <c r="AR5" s="103" t="n"/>
      <c r="AW5" s="52" t="n"/>
      <c r="BN5" s="103" t="n"/>
      <c r="BO5" s="568" t="n"/>
      <c r="BV5" s="2" t="n"/>
      <c r="BZ5" s="146" t="inlineStr">
        <is>
          <t>Cont-PL</t>
        </is>
      </c>
      <c r="CA5" s="570">
        <f>-CA4*pre_PL</f>
        <v/>
      </c>
      <c r="CB5" s="570">
        <f>-CB4*post_PL</f>
        <v/>
      </c>
      <c r="CL5" s="398" t="n"/>
      <c r="CM5" s="398" t="n"/>
      <c r="CN5" s="398" t="n"/>
      <c r="CO5" s="398" t="n"/>
      <c r="CP5" s="398" t="n"/>
      <c r="CQ5" s="398" t="n"/>
      <c r="CR5" s="398" t="n"/>
      <c r="CS5" s="399" t="n"/>
      <c r="CT5" s="399" t="n"/>
      <c r="CU5" s="399" t="n"/>
      <c r="CV5" s="399" t="n"/>
      <c r="CW5" s="399" t="n"/>
      <c r="CX5" s="399" t="n"/>
      <c r="ED5" s="135" t="n"/>
      <c r="EE5" s="132" t="n"/>
    </row>
    <row r="6" ht="15" customHeight="1">
      <c r="C6" s="82" t="n"/>
      <c r="D6" s="82" t="n"/>
      <c r="E6" s="82" t="n"/>
      <c r="F6" s="82" t="n"/>
      <c r="G6" s="82" t="n"/>
      <c r="H6" s="82" t="n"/>
      <c r="I6" s="82" t="n"/>
      <c r="K6" s="82" t="n"/>
      <c r="L6" s="82" t="n"/>
      <c r="M6" s="207">
        <f>M5+1</f>
        <v/>
      </c>
      <c r="N6" s="82" t="n"/>
      <c r="O6" s="82" t="n"/>
      <c r="P6" s="82" t="n"/>
      <c r="Q6" s="82" t="n"/>
      <c r="S6" s="82" t="n"/>
      <c r="T6" s="82" t="n"/>
      <c r="U6" s="140" t="n"/>
      <c r="V6" s="525" t="n"/>
      <c r="W6" s="55" t="n"/>
      <c r="X6" s="14" t="n"/>
      <c r="Y6" s="52" t="n"/>
      <c r="Z6" s="42" t="n"/>
      <c r="AA6" s="15" t="n"/>
      <c r="AM6" s="2" t="inlineStr">
        <is>
          <t>include in income after tax</t>
        </is>
      </c>
      <c r="AV6" s="14" t="n"/>
      <c r="AW6" s="52" t="n"/>
      <c r="BI6" s="2" t="inlineStr">
        <is>
          <t>include in income after tax</t>
        </is>
      </c>
      <c r="BO6" s="571" t="n"/>
      <c r="BT6" s="525" t="inlineStr">
        <is>
          <t>Pre-Accident</t>
        </is>
      </c>
      <c r="BV6" s="572" t="n"/>
      <c r="BW6" s="525" t="inlineStr">
        <is>
          <t>Post-Accident</t>
        </is>
      </c>
      <c r="BY6" s="111" t="n"/>
      <c r="BZ6" s="146" t="inlineStr">
        <is>
          <t>FL</t>
        </is>
      </c>
      <c r="CA6" s="118">
        <f>SUMIF(E:E,"FL",CA:CA)</f>
        <v/>
      </c>
      <c r="CB6" s="118">
        <f>SUMIF(E:E,"FL",CB:CB)</f>
        <v/>
      </c>
      <c r="CC6" s="41" t="n"/>
      <c r="CD6" s="41" t="n"/>
      <c r="CE6" s="41" t="n"/>
      <c r="CF6" s="41" t="n"/>
      <c r="CG6" s="573" t="n"/>
      <c r="CH6" s="573" t="n"/>
      <c r="CI6" s="574" t="n"/>
      <c r="CJ6" s="573" t="n"/>
      <c r="CK6" s="573" t="n"/>
      <c r="CL6" s="575" t="n"/>
      <c r="CM6" s="575" t="n"/>
      <c r="CN6" s="575" t="n"/>
      <c r="CO6" s="575" t="n"/>
      <c r="CP6" s="575" t="n"/>
      <c r="CQ6" s="575" t="n"/>
      <c r="CR6" s="575" t="n"/>
      <c r="CS6" s="576" t="n"/>
      <c r="CT6" s="576" t="n"/>
      <c r="CU6" s="576" t="n"/>
      <c r="CV6" s="576" t="n"/>
      <c r="CW6" s="576" t="n"/>
      <c r="CX6" s="576" t="n"/>
      <c r="CY6" s="577" t="n"/>
      <c r="CZ6" s="573" t="n"/>
      <c r="DA6" s="573" t="n"/>
      <c r="DB6" s="573" t="n"/>
      <c r="DC6" s="573" t="n"/>
      <c r="DD6" s="573" t="n"/>
      <c r="DE6" s="573" t="n"/>
      <c r="DF6" s="573" t="n"/>
      <c r="DG6" s="578" t="n"/>
      <c r="DH6" s="573" t="n"/>
      <c r="DI6" s="573" t="n"/>
      <c r="DJ6" s="573" t="n"/>
      <c r="DK6" s="573" t="n"/>
      <c r="DL6" s="573" t="n"/>
      <c r="DM6" s="573" t="n"/>
      <c r="DN6" s="573" t="n"/>
      <c r="DO6" s="573" t="n"/>
      <c r="DP6" s="573" t="n"/>
      <c r="DQ6" s="573" t="n"/>
      <c r="DR6" s="573" t="n"/>
      <c r="DS6" s="573" t="n"/>
      <c r="DT6" s="573" t="n"/>
      <c r="DU6" s="573" t="n"/>
      <c r="DV6" s="573" t="n"/>
      <c r="DW6" s="573" t="n"/>
      <c r="DX6" s="573" t="n"/>
      <c r="DY6" s="579" t="n"/>
      <c r="DZ6" s="573" t="n"/>
      <c r="EA6" s="573" t="n"/>
      <c r="EB6" s="573" t="n"/>
      <c r="EC6" s="573" t="n"/>
      <c r="ED6" s="135" t="n"/>
      <c r="EE6" s="133" t="n"/>
      <c r="EG6" s="573" t="n"/>
    </row>
    <row r="7" ht="14.25" customHeight="1">
      <c r="A7" s="82" t="n"/>
      <c r="B7" s="82" t="n"/>
      <c r="C7" s="82" t="n"/>
      <c r="D7" s="82" t="n"/>
      <c r="E7" s="82" t="n"/>
      <c r="F7" s="83" t="inlineStr">
        <is>
          <t>Financial Year</t>
        </is>
      </c>
      <c r="G7" s="19" t="n">
        <v>2027</v>
      </c>
      <c r="H7" s="54">
        <f>VLOOKUP(Current,CPI!A:E,4,)</f>
        <v/>
      </c>
      <c r="I7" s="35" t="n"/>
      <c r="K7" s="35" t="n"/>
      <c r="L7" s="35" t="n"/>
      <c r="M7" s="207">
        <f>M6+1</f>
        <v/>
      </c>
      <c r="N7" s="35" t="n"/>
      <c r="O7" s="35" t="n"/>
      <c r="P7" s="35" t="n"/>
      <c r="Q7" s="35" t="n"/>
      <c r="S7" s="35" t="n"/>
      <c r="T7" s="35" t="n"/>
      <c r="U7" s="141" t="n"/>
      <c r="V7" s="525" t="n"/>
      <c r="W7" s="25" t="n"/>
      <c r="X7" s="17" t="n"/>
      <c r="Y7" s="53" t="n"/>
      <c r="Z7" s="59" t="n"/>
      <c r="AA7" s="580" t="n"/>
      <c r="AM7" s="2">
        <f>IF(GEPF_pre="Y","N","Y")</f>
        <v/>
      </c>
      <c r="AN7" s="2" t="inlineStr">
        <is>
          <t>Y</t>
        </is>
      </c>
      <c r="AV7" s="17" t="n"/>
      <c r="AW7" s="53" t="n"/>
      <c r="BI7" s="2">
        <f>IF(GEPF_post="Y","N","Y")</f>
        <v/>
      </c>
      <c r="BJ7" s="2" t="inlineStr">
        <is>
          <t>Y</t>
        </is>
      </c>
      <c r="BN7" s="581" t="n"/>
      <c r="BT7" s="56" t="inlineStr">
        <is>
          <t>Lx</t>
        </is>
      </c>
      <c r="BU7" s="12">
        <f>IF(gender="M",VLOOKUP(ROUND(age_DoC,)+pre_mort+IF(MONTH(DoC)&lt;MONTH(DoB),-1,0),'SALT LIFE TABLES'!$A$7:$E$106,2),VLOOKUP(ROUND(age_DoC,)+pre_mort+IF(MONTH(DoC)&lt;MONTH(DoB),-1,0),'SALT LIFE TABLES'!$A$7:$E$106,4))</f>
        <v/>
      </c>
      <c r="BV7" s="2" t="n"/>
      <c r="BW7" s="56" t="inlineStr">
        <is>
          <t>Lx</t>
        </is>
      </c>
      <c r="BX7" s="12">
        <f>IF(gender="M",VLOOKUP(ROUND(age_DoC,)+post_mort+IF(MONTH(DoC)&lt;MONTH(DoB),-1,0),'SALT LIFE TABLES'!$A$7:$E$106,2),VLOOKUP(ROUND(age_DoC,)+post_mort+IF(MONTH(DoC)&lt;MONTH(DoB),-1,0),'SALT LIFE TABLES'!$A$7:$E$106,4))</f>
        <v/>
      </c>
      <c r="BZ7" s="146" t="inlineStr">
        <is>
          <t>Cont-FL</t>
        </is>
      </c>
      <c r="CA7" s="570">
        <f>-CA6*pre_FL</f>
        <v/>
      </c>
      <c r="CB7" s="570">
        <f>-CB6*post_FL</f>
        <v/>
      </c>
      <c r="CD7" s="582" t="n"/>
      <c r="CG7" s="164" t="inlineStr">
        <is>
          <t>Cap</t>
        </is>
      </c>
      <c r="CH7" s="165">
        <f>Cap</f>
        <v/>
      </c>
      <c r="CK7" s="402" t="inlineStr">
        <is>
          <t>Pre-Accident Tax</t>
        </is>
      </c>
      <c r="CL7" s="403" t="n"/>
      <c r="CM7" s="404" t="n"/>
      <c r="CN7" s="404" t="n"/>
      <c r="CO7" s="404" t="n"/>
      <c r="CP7" s="404" t="n"/>
      <c r="CQ7" s="404" t="n"/>
      <c r="CR7" s="404" t="n"/>
      <c r="CS7" s="405" t="n"/>
      <c r="CT7" s="405" t="n"/>
      <c r="CU7" s="405" t="n"/>
      <c r="CV7" s="405" t="n"/>
      <c r="CW7" s="405" t="n"/>
      <c r="CX7" s="405" t="n"/>
      <c r="ED7" s="134" t="n"/>
    </row>
    <row r="8" ht="36" customHeight="1">
      <c r="A8" s="82" t="n"/>
      <c r="B8" s="82" t="n"/>
      <c r="C8" s="82" t="n"/>
      <c r="D8" s="82" t="n"/>
      <c r="E8" s="82" t="n"/>
      <c r="G8" s="526" t="inlineStr">
        <is>
          <t>Pre-Accident Earnings</t>
        </is>
      </c>
      <c r="L8" s="83" t="n"/>
      <c r="M8" s="207">
        <f>M7+1</f>
        <v/>
      </c>
      <c r="N8" s="83" t="n"/>
      <c r="O8" s="526" t="inlineStr">
        <is>
          <t>Post-Accident Earnings</t>
        </is>
      </c>
      <c r="T8" s="83" t="n"/>
      <c r="U8" s="142" t="n"/>
      <c r="X8" s="17" t="n"/>
      <c r="Y8" s="54" t="n"/>
      <c r="Z8" s="583" t="n"/>
      <c r="AA8" s="19" t="n"/>
      <c r="AB8" s="527" t="inlineStr">
        <is>
          <t>Pre-Accident</t>
        </is>
      </c>
      <c r="AV8" s="17" t="n"/>
      <c r="AW8" s="54" t="n"/>
      <c r="AX8" s="527" t="inlineStr">
        <is>
          <t>Post-Accident</t>
        </is>
      </c>
      <c r="BT8" s="584" t="inlineStr">
        <is>
          <t>From Date of Incident</t>
        </is>
      </c>
      <c r="BU8" s="584" t="inlineStr">
        <is>
          <t>From Calculation Date</t>
        </is>
      </c>
      <c r="BV8" s="2" t="n"/>
      <c r="BW8" s="584" t="inlineStr">
        <is>
          <t>From Date of Incident</t>
        </is>
      </c>
      <c r="BX8" s="584" t="inlineStr">
        <is>
          <t>From Calculation Date</t>
        </is>
      </c>
      <c r="BY8" s="585" t="n"/>
      <c r="BZ8" s="584" t="inlineStr">
        <is>
          <t>Loss</t>
        </is>
      </c>
      <c r="CA8" s="584">
        <f>SUM(CA4:CA7)</f>
        <v/>
      </c>
      <c r="CB8" s="584">
        <f>SUM(CB4:CB7)</f>
        <v/>
      </c>
      <c r="CC8" s="584" t="n"/>
      <c r="CD8" s="584">
        <f>CA8-CB8</f>
        <v/>
      </c>
      <c r="CE8" s="584" t="n"/>
      <c r="CF8" s="584" t="n"/>
      <c r="CG8" s="586">
        <f>SUM(CG11:CG1000)</f>
        <v/>
      </c>
      <c r="CH8" s="586">
        <f>SUM(CH11:CH1000)</f>
        <v/>
      </c>
      <c r="CI8" s="126" t="n"/>
      <c r="CJ8" s="18" t="inlineStr">
        <is>
          <t>Tax</t>
        </is>
      </c>
      <c r="CK8" s="406" t="inlineStr">
        <is>
          <t>Table Position</t>
        </is>
      </c>
      <c r="CL8" s="407" t="n">
        <v>0</v>
      </c>
      <c r="CM8" s="407">
        <f>CL8+1</f>
        <v/>
      </c>
      <c r="CN8" s="407">
        <f>CM8+1</f>
        <v/>
      </c>
      <c r="CO8" s="407">
        <f>CN8+1</f>
        <v/>
      </c>
      <c r="CP8" s="407">
        <f>CO8+1</f>
        <v/>
      </c>
      <c r="CQ8" s="407">
        <f>CP8+1</f>
        <v/>
      </c>
      <c r="CR8" s="407">
        <f>CQ8+1</f>
        <v/>
      </c>
      <c r="CS8" s="587" t="inlineStr">
        <is>
          <t>Rebate</t>
        </is>
      </c>
      <c r="CT8" s="409" t="n"/>
      <c r="CU8" s="409" t="n"/>
      <c r="CV8" s="409" t="n"/>
      <c r="CW8" s="409" t="n"/>
      <c r="CX8" s="409" t="n"/>
      <c r="CY8" s="415" t="n"/>
      <c r="CZ8" s="524" t="n"/>
      <c r="DA8" s="402" t="inlineStr">
        <is>
          <t>Pre-Accident Tax</t>
        </is>
      </c>
      <c r="DB8" s="402" t="n"/>
      <c r="DC8" s="402" t="n"/>
      <c r="DD8" s="402" t="n"/>
      <c r="DE8" s="402" t="n"/>
      <c r="DF8" s="524" t="n"/>
      <c r="DG8" s="487" t="n"/>
      <c r="DH8" s="524" t="n"/>
      <c r="DI8" s="402" t="inlineStr">
        <is>
          <t>Post-Accident Tax</t>
        </is>
      </c>
      <c r="DJ8" s="402" t="n"/>
      <c r="DK8" s="402" t="n"/>
      <c r="DL8" s="402" t="n"/>
      <c r="DM8" s="524" t="n"/>
      <c r="DN8" s="18" t="n"/>
      <c r="DO8" s="524" t="n"/>
      <c r="DW8" s="588" t="n"/>
      <c r="DX8" s="524" t="n"/>
      <c r="DY8" s="163" t="n"/>
      <c r="DZ8" s="524" t="n"/>
      <c r="EA8" s="524" t="n"/>
    </row>
    <row r="9" ht="47.25" customFormat="1" customHeight="1" s="80">
      <c r="A9" s="82" t="n"/>
      <c r="B9" s="82" t="n"/>
      <c r="C9" s="82" t="n"/>
      <c r="D9" s="82" t="n"/>
      <c r="E9" s="82" t="n"/>
      <c r="F9" s="84" t="n"/>
      <c r="G9" s="84" t="inlineStr">
        <is>
          <t>Financial Year</t>
        </is>
      </c>
      <c r="H9" s="84" t="inlineStr">
        <is>
          <t>Financial terms</t>
        </is>
      </c>
      <c r="I9" s="84" t="inlineStr">
        <is>
          <t xml:space="preserve">Salary </t>
        </is>
      </c>
      <c r="J9" s="84" t="inlineStr">
        <is>
          <t>Salary Today</t>
        </is>
      </c>
      <c r="K9" s="84" t="n"/>
      <c r="L9" s="84" t="inlineStr">
        <is>
          <t>Progression</t>
        </is>
      </c>
      <c r="M9" s="207">
        <f>M8+1</f>
        <v/>
      </c>
      <c r="N9" s="84" t="n"/>
      <c r="O9" s="84" t="inlineStr">
        <is>
          <t>Financial Year</t>
        </is>
      </c>
      <c r="P9" s="84" t="inlineStr">
        <is>
          <t>Financial terms</t>
        </is>
      </c>
      <c r="Q9" s="84" t="inlineStr">
        <is>
          <t xml:space="preserve">Salary </t>
        </is>
      </c>
      <c r="R9" s="84" t="inlineStr">
        <is>
          <t>Salary Today</t>
        </is>
      </c>
      <c r="S9" s="84" t="n"/>
      <c r="T9" s="84" t="inlineStr">
        <is>
          <t>Progression</t>
        </is>
      </c>
      <c r="U9" s="143" t="n"/>
      <c r="V9" s="20" t="inlineStr">
        <is>
          <t>Year</t>
        </is>
      </c>
      <c r="W9" s="81" t="inlineStr">
        <is>
          <t>Year of Salar</t>
        </is>
      </c>
      <c r="X9" s="91" t="inlineStr">
        <is>
          <t>Portion of Salary</t>
        </is>
      </c>
      <c r="Y9" s="77" t="inlineStr">
        <is>
          <t>Age</t>
        </is>
      </c>
      <c r="Z9" s="21" t="n"/>
      <c r="AA9" s="21" t="inlineStr">
        <is>
          <t>Future service to retirement</t>
        </is>
      </c>
      <c r="AB9" s="22" t="inlineStr">
        <is>
          <t>Income</t>
        </is>
      </c>
      <c r="AC9" s="22" t="inlineStr">
        <is>
          <t>Salary</t>
        </is>
      </c>
      <c r="AD9" s="22" t="inlineStr">
        <is>
          <t>Bonus/13th Cheque</t>
        </is>
      </c>
      <c r="AE9" s="22" t="inlineStr">
        <is>
          <t>Medical Aid</t>
        </is>
      </c>
      <c r="AF9" s="22" t="inlineStr">
        <is>
          <t>Housing Allowance</t>
        </is>
      </c>
      <c r="AG9" s="22" t="inlineStr">
        <is>
          <t>Overtime</t>
        </is>
      </c>
      <c r="AH9" s="22" t="inlineStr">
        <is>
          <t>Other Allowance</t>
        </is>
      </c>
      <c r="AI9" s="22" t="inlineStr">
        <is>
          <t>Service or Remote Allowance</t>
        </is>
      </c>
      <c r="AJ9" s="22" t="inlineStr">
        <is>
          <t>Other Allowance</t>
        </is>
      </c>
      <c r="AK9" s="100" t="inlineStr">
        <is>
          <t>Total Income</t>
        </is>
      </c>
      <c r="AL9" s="100" t="inlineStr">
        <is>
          <t xml:space="preserve">Pension </t>
        </is>
      </c>
      <c r="AM9" s="22" t="inlineStr">
        <is>
          <t>EE</t>
        </is>
      </c>
      <c r="AN9" s="22" t="inlineStr">
        <is>
          <t>ER</t>
        </is>
      </c>
      <c r="AO9" s="22" t="inlineStr">
        <is>
          <t>Gratuity</t>
        </is>
      </c>
      <c r="AP9" s="100" t="inlineStr">
        <is>
          <t>Taxable Income</t>
        </is>
      </c>
      <c r="AQ9" s="22" t="inlineStr">
        <is>
          <t>tax</t>
        </is>
      </c>
      <c r="AR9" s="100" t="inlineStr">
        <is>
          <t>income After Tax</t>
        </is>
      </c>
      <c r="AS9" s="105" t="n"/>
      <c r="AT9" s="21" t="inlineStr">
        <is>
          <t>Year</t>
        </is>
      </c>
      <c r="AU9" s="21" t="n"/>
      <c r="AV9" s="91" t="inlineStr">
        <is>
          <t>Portion of Salary</t>
        </is>
      </c>
      <c r="AW9" s="77" t="inlineStr">
        <is>
          <t>Age</t>
        </is>
      </c>
      <c r="AX9" s="22" t="inlineStr">
        <is>
          <t>Income</t>
        </is>
      </c>
      <c r="AY9" s="22" t="inlineStr">
        <is>
          <t>Salary</t>
        </is>
      </c>
      <c r="AZ9" s="22" t="inlineStr">
        <is>
          <t>Bonus/13th Cheque</t>
        </is>
      </c>
      <c r="BA9" s="22" t="inlineStr">
        <is>
          <t>Other Earnings</t>
        </is>
      </c>
      <c r="BB9" s="22" t="inlineStr">
        <is>
          <t>Housing Allowance</t>
        </is>
      </c>
      <c r="BC9" s="22" t="inlineStr">
        <is>
          <t>Overtime</t>
        </is>
      </c>
      <c r="BD9" s="22" t="inlineStr">
        <is>
          <t>Other Allowance</t>
        </is>
      </c>
      <c r="BE9" s="22" t="inlineStr">
        <is>
          <t>Service or Remote Allowance</t>
        </is>
      </c>
      <c r="BF9" s="22" t="inlineStr">
        <is>
          <t>Other Allowance</t>
        </is>
      </c>
      <c r="BG9" s="100" t="inlineStr">
        <is>
          <t>Total Income</t>
        </is>
      </c>
      <c r="BH9" s="100" t="inlineStr">
        <is>
          <t>Pension</t>
        </is>
      </c>
      <c r="BI9" s="22" t="inlineStr">
        <is>
          <t>EE</t>
        </is>
      </c>
      <c r="BJ9" s="22" t="inlineStr">
        <is>
          <t>ER</t>
        </is>
      </c>
      <c r="BK9" s="91" t="inlineStr">
        <is>
          <t>Gratuity</t>
        </is>
      </c>
      <c r="BL9" s="100" t="inlineStr">
        <is>
          <t>Taxable Income</t>
        </is>
      </c>
      <c r="BM9" s="22" t="inlineStr">
        <is>
          <t>tax</t>
        </is>
      </c>
      <c r="BN9" s="100" t="inlineStr">
        <is>
          <t>income After Tax</t>
        </is>
      </c>
      <c r="BO9" s="105" t="n"/>
      <c r="BP9" s="22" t="inlineStr">
        <is>
          <t>t</t>
        </is>
      </c>
      <c r="BQ9" s="22" t="inlineStr">
        <is>
          <t>CPI</t>
        </is>
      </c>
      <c r="BR9" s="22" t="inlineStr">
        <is>
          <t>Discount Rate</t>
        </is>
      </c>
      <c r="BS9" s="22" t="n"/>
      <c r="BT9" s="78" t="inlineStr">
        <is>
          <t>Lx</t>
        </is>
      </c>
      <c r="BU9" s="79" t="inlineStr">
        <is>
          <t>tPx</t>
        </is>
      </c>
      <c r="BV9" s="22" t="n"/>
      <c r="BW9" s="78" t="inlineStr">
        <is>
          <t>Lx</t>
        </is>
      </c>
      <c r="BX9" s="79" t="inlineStr">
        <is>
          <t>tPx</t>
        </is>
      </c>
      <c r="BY9" s="113" t="n"/>
      <c r="BZ9" s="79" t="n"/>
      <c r="CA9" s="117" t="inlineStr">
        <is>
          <t>Pre-Accident</t>
        </is>
      </c>
      <c r="CB9" s="117" t="inlineStr">
        <is>
          <t>Post-Accident</t>
        </is>
      </c>
      <c r="CC9" s="117" t="n"/>
      <c r="CD9" s="117" t="inlineStr">
        <is>
          <t>Pre-Accident</t>
        </is>
      </c>
      <c r="CE9" s="117" t="inlineStr">
        <is>
          <t>Post-Accident</t>
        </is>
      </c>
      <c r="CF9" s="117" t="n"/>
      <c r="CG9" s="36" t="inlineStr">
        <is>
          <t>Differencing</t>
        </is>
      </c>
      <c r="CH9" s="36" t="inlineStr">
        <is>
          <t>Cap Effect</t>
        </is>
      </c>
      <c r="CI9" s="127" t="n"/>
      <c r="CJ9" s="36" t="inlineStr">
        <is>
          <t>Tax Year</t>
        </is>
      </c>
      <c r="CK9" s="36" t="inlineStr">
        <is>
          <t>Position</t>
        </is>
      </c>
      <c r="CL9" s="410" t="inlineStr">
        <is>
          <t>Limits</t>
        </is>
      </c>
      <c r="CM9" s="410" t="n"/>
      <c r="CN9" s="410" t="n"/>
      <c r="CO9" s="410" t="n"/>
      <c r="CP9" s="410" t="n"/>
      <c r="CQ9" s="410" t="n"/>
      <c r="CR9" s="410" t="n"/>
      <c r="CS9" s="411" t="inlineStr">
        <is>
          <t>Less than 65 years</t>
        </is>
      </c>
      <c r="CT9" s="411" t="inlineStr">
        <is>
          <t>less than 75 years</t>
        </is>
      </c>
      <c r="CU9" s="411" t="inlineStr">
        <is>
          <t>greater than 75 years</t>
        </is>
      </c>
      <c r="CV9" s="411" t="inlineStr">
        <is>
          <t>Prinicipal</t>
        </is>
      </c>
      <c r="CW9" s="411" t="inlineStr">
        <is>
          <t>1st Dependant</t>
        </is>
      </c>
      <c r="CX9" s="411" t="inlineStr">
        <is>
          <t>2nd Dependant</t>
        </is>
      </c>
      <c r="CY9" s="416" t="n"/>
      <c r="CZ9" s="36" t="inlineStr">
        <is>
          <t>Income</t>
        </is>
      </c>
      <c r="DA9" s="36" t="inlineStr">
        <is>
          <t>Lower Limit</t>
        </is>
      </c>
      <c r="DB9" s="36" t="inlineStr">
        <is>
          <t>Rate</t>
        </is>
      </c>
      <c r="DC9" s="36" t="inlineStr">
        <is>
          <t>Sum Tax</t>
        </is>
      </c>
      <c r="DD9" s="36" t="inlineStr">
        <is>
          <t>Rebate</t>
        </is>
      </c>
      <c r="DE9" s="36" t="inlineStr">
        <is>
          <t>Medical</t>
        </is>
      </c>
      <c r="DF9" s="36" t="inlineStr">
        <is>
          <t>Tax</t>
        </is>
      </c>
      <c r="DG9" s="488" t="n"/>
      <c r="DH9" s="36" t="inlineStr">
        <is>
          <t>Income</t>
        </is>
      </c>
      <c r="DI9" s="36" t="inlineStr">
        <is>
          <t>Lower Limit</t>
        </is>
      </c>
      <c r="DJ9" s="36" t="inlineStr">
        <is>
          <t>Rate</t>
        </is>
      </c>
      <c r="DK9" s="36" t="inlineStr">
        <is>
          <t>Sum Tax</t>
        </is>
      </c>
      <c r="DL9" s="36" t="inlineStr">
        <is>
          <t>Medical</t>
        </is>
      </c>
      <c r="DM9" s="36" t="inlineStr">
        <is>
          <t>Tax</t>
        </is>
      </c>
      <c r="DN9" s="36" t="n"/>
      <c r="DO9" s="36" t="n"/>
      <c r="DP9" s="36" t="n"/>
      <c r="DQ9" s="36" t="n"/>
      <c r="DR9" s="36" t="n"/>
      <c r="DS9" s="36" t="n"/>
      <c r="DT9" s="36" t="n"/>
      <c r="DU9" s="36" t="n"/>
      <c r="DV9" s="36" t="n"/>
      <c r="DW9" s="36" t="n"/>
      <c r="DX9" s="36" t="n"/>
      <c r="DY9" s="130" t="n"/>
      <c r="DZ9" s="36" t="n"/>
      <c r="EA9" s="36" t="n"/>
      <c r="EB9" s="36" t="n"/>
      <c r="EC9" s="36" t="n"/>
      <c r="ED9" s="36" t="n"/>
      <c r="EE9" s="105" t="n"/>
      <c r="EF9" s="21" t="n"/>
    </row>
    <row r="10">
      <c r="A10" s="565" t="n"/>
      <c r="B10" s="589" t="n"/>
      <c r="C10" s="589" t="n"/>
      <c r="D10" s="589" t="n"/>
      <c r="E10" s="6">
        <f>IF(DoC=V10,"Calc Date",IF(V10&lt;DoC,"PL","FL"))</f>
        <v/>
      </c>
      <c r="F10" s="55">
        <f>ROUND(DATEDIF(DoB,DoA,"M")/12,)</f>
        <v/>
      </c>
      <c r="G10" s="6" t="n"/>
      <c r="H10" s="6" t="n"/>
      <c r="I10" s="6" t="n"/>
      <c r="J10" s="6" t="n"/>
      <c r="K10" s="6" t="n"/>
      <c r="L10" s="6" t="n"/>
      <c r="M10" s="137" t="n"/>
      <c r="N10" s="55">
        <f>ROUND(DATEDIF(DoB,DoA,"M")/12,)</f>
        <v/>
      </c>
      <c r="O10" s="6" t="n"/>
      <c r="P10" s="6" t="n"/>
      <c r="Q10" s="6" t="n"/>
      <c r="R10" s="6" t="n"/>
      <c r="S10" s="6" t="n"/>
      <c r="T10" s="6" t="n"/>
      <c r="U10" s="144" t="n"/>
      <c r="V10" s="6">
        <f>DoA</f>
        <v/>
      </c>
      <c r="X10" s="569" t="n">
        <v>0</v>
      </c>
      <c r="Y10" s="55">
        <f>ROUND(DATEDIF(DoB,V10,"M")/12,)</f>
        <v/>
      </c>
      <c r="Z10" s="590" t="n"/>
      <c r="AA10" s="25">
        <f>MAX(RetAge_Pre-Y10,0)</f>
        <v/>
      </c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101" t="n"/>
      <c r="AL10" s="101" t="n"/>
      <c r="AM10" s="26" t="n"/>
      <c r="AN10" s="26" t="n"/>
      <c r="AO10" s="26" t="n"/>
      <c r="AP10" s="101" t="n"/>
      <c r="AQ10" s="26" t="n"/>
      <c r="AR10" s="101" t="n"/>
      <c r="AS10" s="106" t="n"/>
      <c r="AT10" s="6">
        <f>DoA</f>
        <v/>
      </c>
      <c r="AU10" s="6" t="n"/>
      <c r="AV10" s="569" t="n">
        <v>0</v>
      </c>
      <c r="AW10" s="55">
        <f>ROUND(DATEDIF(DoB,AT10,"M")/12,)</f>
        <v/>
      </c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101" t="n"/>
      <c r="BH10" s="101" t="n"/>
      <c r="BI10" s="26" t="n"/>
      <c r="BJ10" s="26" t="n"/>
      <c r="BK10" s="26" t="n"/>
      <c r="BL10" s="101" t="n"/>
      <c r="BM10" s="26" t="n"/>
      <c r="BN10" s="101" t="n"/>
      <c r="BO10" s="591" t="n"/>
      <c r="BP10" s="26" t="n"/>
      <c r="BQ10" s="26" t="n"/>
      <c r="BR10" s="26" t="n"/>
      <c r="BS10" s="26" t="n"/>
      <c r="BT10" s="25">
        <f>IF(gender="M",VLOOKUP($Y10+pre_mort+IF(MONTH(DoC)&lt;MONTH(DoB),IF(MONTH(DoC)&lt;3,0,-1),IF(MONTH(DoB)&lt;3,-1,0)),'SALT LIFE TABLES'!$A$7:$E$106,2),VLOOKUP($Y10+pre_mort+IF(MONTH(DoC)&lt;MONTH(DoB),IF(MONTH(DoC)&lt;3,0,-1),IF(MONTH(DoB)&lt;3,-1,0)),'SALT LIFE TABLES'!$A$7:$E$106,4))</f>
        <v/>
      </c>
      <c r="BU10" s="592" t="n"/>
      <c r="BV10" s="593" t="n"/>
      <c r="BW10" s="25">
        <f>IF(gender="M",VLOOKUP($Y10+post_mort+IF(MONTH(DoC)&lt;MONTH(DoB),IF(MONTH(DoC)&lt;3,0,-1),IF(MONTH(DoB)&lt;3,-1,0)),'SALT LIFE TABLES'!$A$7:$E$106,2),VLOOKUP($Y10+post_mort+IF(MONTH(DoC)&lt;MONTH(DoB),IF(MONTH(DoC)&lt;3,0,-1),IF(MONTH(DoB)&lt;3,-1,0)),'SALT LIFE TABLES'!$A$7:$E$106,4))</f>
        <v/>
      </c>
      <c r="BX10" s="592" t="n"/>
      <c r="BY10" s="594" t="n"/>
      <c r="BZ10" s="592" t="n"/>
      <c r="CA10" s="592" t="n"/>
      <c r="CB10" s="592" t="n"/>
      <c r="CC10" s="592" t="n"/>
      <c r="CD10" s="592" t="n"/>
      <c r="CE10" s="592" t="n"/>
      <c r="CF10" s="592" t="n"/>
      <c r="CG10" s="37" t="n"/>
      <c r="CH10" s="37" t="n"/>
      <c r="CI10" s="128" t="n"/>
      <c r="CJ10" s="37" t="n"/>
      <c r="CK10" s="37" t="n"/>
      <c r="CL10" s="37" t="n"/>
      <c r="CM10" s="37" t="n"/>
      <c r="CN10" s="37" t="n"/>
      <c r="CO10" s="37" t="n"/>
      <c r="CP10" s="37" t="n"/>
      <c r="CQ10" s="37" t="n"/>
      <c r="CR10" s="37" t="n"/>
      <c r="CS10" s="37" t="n"/>
      <c r="CT10" s="37" t="n"/>
      <c r="CU10" s="37" t="n"/>
      <c r="CV10" s="37" t="n"/>
      <c r="CW10" s="37" t="n"/>
      <c r="CX10" s="37" t="n"/>
      <c r="CY10" s="417" t="n"/>
      <c r="CZ10" s="37" t="n"/>
      <c r="DA10" s="37" t="n"/>
      <c r="DB10" s="37" t="n"/>
      <c r="DC10" s="37" t="n"/>
      <c r="DD10" s="37" t="n"/>
      <c r="DE10" s="37" t="n"/>
      <c r="DF10" s="37" t="n"/>
      <c r="DG10" s="489" t="n"/>
      <c r="DH10" s="37" t="n"/>
      <c r="DI10" s="37" t="n"/>
      <c r="DJ10" s="37" t="n"/>
      <c r="DK10" s="37" t="n"/>
      <c r="DL10" s="37" t="n"/>
      <c r="DM10" s="37" t="n"/>
      <c r="DN10" s="37" t="n"/>
      <c r="DO10" s="37" t="n"/>
      <c r="DP10" s="37" t="n"/>
      <c r="DQ10" s="37" t="n"/>
      <c r="DR10" s="37" t="n"/>
      <c r="DS10" s="37" t="n"/>
      <c r="DT10" s="37" t="n"/>
      <c r="DU10" s="37" t="n"/>
      <c r="DV10" s="37" t="n"/>
      <c r="DW10" s="37" t="n"/>
      <c r="DX10" s="37" t="n"/>
      <c r="DY10" s="131" t="n"/>
      <c r="DZ10" s="37" t="n"/>
      <c r="EA10" s="37" t="n"/>
      <c r="EB10" s="37" t="n"/>
      <c r="EC10" s="37" t="n"/>
      <c r="ED10" s="35" t="n"/>
      <c r="EE10" s="595" t="n"/>
      <c r="EF10" s="25" t="n"/>
    </row>
    <row r="11">
      <c r="A11" s="589" t="n"/>
      <c r="B11" s="589" t="n"/>
      <c r="C11" s="596">
        <f>Y11</f>
        <v/>
      </c>
      <c r="D11" s="160">
        <f>AU11</f>
        <v/>
      </c>
      <c r="E11" s="87">
        <f>IF(DoC=V11,"Calc Date",IF(V11&lt;DoC,"PL","FL"))</f>
        <v/>
      </c>
      <c r="F11" s="310">
        <f>C11</f>
        <v/>
      </c>
      <c r="G11" s="31">
        <f>VLOOKUP(F11,C$10:D$148,2)</f>
        <v/>
      </c>
      <c r="H11" s="314">
        <f>IF(Summary!G4="",H10,Summary!G4)</f>
        <v/>
      </c>
      <c r="I11" s="282">
        <f>IF(Summary!E4="",I10,Summary!E4)</f>
        <v/>
      </c>
      <c r="J11" s="589">
        <f>I11*index/VLOOKUP($H11,CPI!A:E,4,FALSE)</f>
        <v/>
      </c>
      <c r="K11" s="589">
        <f>IF(L11="Linear",(J11-J10)/(G11-G10),0)</f>
        <v/>
      </c>
      <c r="L11" s="6" t="n"/>
      <c r="M11" s="137" t="n"/>
      <c r="N11" s="310">
        <f>F11</f>
        <v/>
      </c>
      <c r="O11" s="31">
        <f>VLOOKUP(N11,C$10:D$148,2,)</f>
        <v/>
      </c>
      <c r="P11" s="314">
        <f>IF(Summary!G54="",P10,Summary!G54)</f>
        <v/>
      </c>
      <c r="Q11" s="282">
        <f>IF(Summary!E54="",Q10,Summary!E54)</f>
        <v/>
      </c>
      <c r="R11" s="589">
        <f>Q11*index/VLOOKUP($P11,CPI!A:E,4,FALSE)</f>
        <v/>
      </c>
      <c r="S11" s="589">
        <f>IF(T11="Linear",(R11-R10)/(O11-O10),0)</f>
        <v/>
      </c>
      <c r="T11" s="6" t="n"/>
      <c r="U11" s="144" t="n"/>
      <c r="V11" s="6">
        <f>IF(AND($V10=DoA,MONTH(V10)&lt;3),DATE(YEAR(DoA),3,1),IF(AND(IFERROR(DATEDIF(V10,DoC,"M"),12)&lt;12,IFERROR(DATEDIF(V10,DoC,"M"),12)&gt;0),DoC,DATE(YEAR(V10)+(1-AND(YEAR(DoC)=Current,V10=DoC)-AND(V10=DoA,MONTH(V10)&lt;3)),3,1)))</f>
        <v/>
      </c>
      <c r="W11" s="31">
        <f>IF(V11=DoR_Pre,IF(MONTH(DoR_Pre)&gt;3,YEAR(DoR_Pre)+1,YEAR(DoR_Pre)),IF(MONTH(V11)&gt;3,Current,YEAR(V11)))</f>
        <v/>
      </c>
      <c r="X11" s="597">
        <f>IF(W11=Current,ROUND((V11-V10)/365.25,5),_xlfn.IFNA(INDEX(Summary!$A$5:$A$22,MATCH('LOE Sc1'!W11,Summary!$C$5:$C$22,0)),IF(W11=Ret_Yr_pre,ROUND((DoR_Pre-V10)/365.25,5),ROUND((V11-V10)/365.25,2))))</f>
        <v/>
      </c>
      <c r="Y11" s="55">
        <f>IF(AND(V11=DoC,MONTH(DoC)&lt;&gt;3),ROUNDDOWN(DATEDIF(DoB,V12,"M")/12,),ROUNDDOWN(DATEDIF(DoB,V11,"M")/12,))</f>
        <v/>
      </c>
      <c r="Z11" s="590" t="n"/>
      <c r="AA11" s="25">
        <f>MAX(RetAge_Pre-Y11,0)</f>
        <v/>
      </c>
      <c r="AB11" s="26">
        <f t="array" ref="AB11">IF(W11&gt;Ret_Yr_pre,0,_xlfn.IFNA(VLOOKUP(Y11,F$11:J$1000,5,),IF(AND(W11=Current,V11&gt;DoC,MONTH(DoC)&lt;&gt;3),AB10,AB10+INDEX(K$11:K$1000,MATCH(Y11,F$11:F$1000,1)+1))))</f>
        <v/>
      </c>
      <c r="AC11" s="590">
        <f>IF(V11&lt;DoC,AB11*VLOOKUP(YEAR(V11),CPI!A:E,4,FALSE)/index,AB11*real_i^INT(BP11))</f>
        <v/>
      </c>
      <c r="AD11" s="590">
        <f>$AC11/12*Bonus</f>
        <v/>
      </c>
      <c r="AE11" s="590">
        <f>IF($E11="FL",MedSub*m^INT(BP11),MedSub)*IF(Summary!$C$31="Y",1,0)*(W11&lt;=Ret_Yr_pre)*(Summary!C$31="Y")</f>
        <v/>
      </c>
      <c r="AF11" s="590">
        <f>IF(Summary!$C$30="Y",IF(E11&lt;&gt;"PL",VLOOKUP(Current,'Housing Allowance'!$A:$B,2,),VLOOKUP(YEAR($V11),'Housing Allowance'!$A:$B,2,)),0)*(W11&lt;=Ret_Yr_pre)</f>
        <v/>
      </c>
      <c r="AG11" s="590">
        <f>AC11*overtime</f>
        <v/>
      </c>
      <c r="AH11" s="590">
        <f>AC11*allow_1</f>
        <v/>
      </c>
      <c r="AI11" s="590">
        <f>(AB11&lt;&gt;0)*12*allow_2</f>
        <v/>
      </c>
      <c r="AJ11" s="590" t="n"/>
      <c r="AK11" s="581">
        <f>IF(YEAR(W11)&lt;=Ret_Yr_pre,SUM(AC11:AJ11),0)*IF($W11=Ret_Yr_pre,X11,1)</f>
        <v/>
      </c>
      <c r="AL11" s="581">
        <f>IF($W11&gt;=Ret_Yr_pre,pens_Pre*(GEPF_pre="Y"),0)*IF($W11=Ret_Yr_pre,1-$X11,1)*IF(Ret_Yr_pre&lt;Current,(_xlfn.IFNA(VLOOKUP($D11,CPI!$A:$E,2,FALSE),VLOOKUP(Current,CPI!$A:$E,2,FALSE))/VLOOKUP(Ret_Yr_pre,CPI!$A:$E,2,FALSE)),1)</f>
        <v/>
      </c>
      <c r="AM11" s="590">
        <f>$AC11*ee*IF($W11=Ret_Yr_pre,$X11,1)</f>
        <v/>
      </c>
      <c r="AN11" s="590">
        <f>$AC11*er*IF($W11=Ret_Yr_pre,$X11,1)</f>
        <v/>
      </c>
      <c r="AO11" s="590">
        <f>IF('LOE Sc1'!$W11=Ret_Yr_pre,Gratuity_Pre*(GEPF_pre="Y"),0)</f>
        <v/>
      </c>
      <c r="AP11" s="581">
        <f>AK11+AL11-AM11-AN11*(GEPF_pre="Y")</f>
        <v/>
      </c>
      <c r="AQ11" s="590">
        <f>IF(DF11&lt;0,0,DF11)</f>
        <v/>
      </c>
      <c r="AR11" s="581">
        <f>(AP11-AQ11+AM11*(AM$7="Y")+AN11*(AN$7="Y"))*IF($W11&lt;Ret_Yr_pre,$X11,1)+AO11</f>
        <v/>
      </c>
      <c r="AS11" s="595" t="n"/>
      <c r="AT11" s="6">
        <f>V11</f>
        <v/>
      </c>
      <c r="AU11" s="31">
        <f>W11</f>
        <v/>
      </c>
      <c r="AV11" s="598">
        <f>IF(AU11=Current,ROUND((AT11-AT10)/365.25,5),_xlfn.IFNA(INDEX(Summary!$A$55:$A$72,MATCH('LOE Sc1'!AU11,Summary!$C$55:$C$72,0)),IF(AU11=Ret_Yr_post,ROUND((DoR_Post-AT10)/365.25,5),ROUND((AT11-AT10)/365.25,2))))</f>
        <v/>
      </c>
      <c r="AW11" s="55">
        <f>Y11</f>
        <v/>
      </c>
      <c r="AX11" s="26">
        <f t="array" ref="AX11">IF(AU11&gt;Ret_Yr_post,0,_xlfn.IFNA(VLOOKUP(AW11,N$11:S$1000,5,),IF(AND(AU11=Current,AT11&gt;DoC,MONTH(DoC)&lt;&gt;3),AX10,AX10+INDEX(S$11:S$1000,MATCH(AW11,N$11:N$1000,1)+1))))</f>
        <v/>
      </c>
      <c r="AY11" s="590">
        <f>IF($V11&lt;DoC,AX11*VLOOKUP(YEAR($V11),CPI_Table,4,FALSE)/index,AX11*real_i^INT(BP11))</f>
        <v/>
      </c>
      <c r="AZ11" s="590">
        <f>$AY11/12*Bonus_Post*($AW11&lt;=RetAge_Post)</f>
        <v/>
      </c>
      <c r="BA11" s="590">
        <f>IF($E11="FL",MedSub*m^INT(BP11),MedSub)*IF(Summary!$C$81="Y",1,0)*($AU11&lt;=Ret_Yr_post)*(Summary!$C$81="Y")</f>
        <v/>
      </c>
      <c r="BB11" s="590">
        <f>IF(Summary!$C$80="Y",IF($E11&lt;&gt;"PL",VLOOKUP(Current,'Housing Allowance'!$A:$B,2,),VLOOKUP(YEAR($AT11),'Housing Allowance'!$A:$B,2,)),0)*($AU11&lt;=Ret_Yr_post)</f>
        <v/>
      </c>
      <c r="BC11" s="590">
        <f>AY11*overtime_post</f>
        <v/>
      </c>
      <c r="BD11" s="590">
        <f>$AY11*allow_1_post</f>
        <v/>
      </c>
      <c r="BE11" s="590">
        <f>($AY11&lt;&gt;0)*allow_2_post*12</f>
        <v/>
      </c>
      <c r="BF11" s="590" t="n"/>
      <c r="BG11" s="581">
        <f>IF(YEAR($V11)&lt;=Ret_Yr_post,SUM(AY11:BF11),0)*IF($W11=Ret_Yr_post,AV11,1)</f>
        <v/>
      </c>
      <c r="BH11" s="581">
        <f>IF($W11&gt;=Ret_Yr_post,pens_Post*(GEPF_pre="Y"),0)*IF($W11=Ret_Yr_post,1-$AV11,1)*IF(Ret_Yr_post&lt;Current,(_xlfn.IFNA(VLOOKUP($D11,CPI!$A:$E,2,FALSE),VLOOKUP(Current,CPI!$A:$E,2,FALSE))/VLOOKUP(Ret_Yr_post,CPI!$A:$E,2,FALSE)),1)</f>
        <v/>
      </c>
      <c r="BI11" s="590">
        <f>$AY11*ee_post*IF($W11=Ret_Yr_post,$AV11,1)</f>
        <v/>
      </c>
      <c r="BJ11" s="590">
        <f>$AY11*er_post*IF($W11=Ret_Yr_post,$AV11,1)</f>
        <v/>
      </c>
      <c r="BK11" s="590">
        <f>IF('LOE Sc1'!$W11=Ret_Yr_post,Gratuity_Post*(GEPF_post="Y"),0)</f>
        <v/>
      </c>
      <c r="BL11" s="581">
        <f>BG11+BH11-BI11-BJ11*(GEPF_post="Y")</f>
        <v/>
      </c>
      <c r="BM11" s="590">
        <f>IF(DM11&lt;0,0,DM11)</f>
        <v/>
      </c>
      <c r="BN11" s="581">
        <f>(BL11-BM11+BI11*(BI$7="Y")+BJ11*(BJ$7="Y"))*IF($W11&lt;Ret_Yr_post,AV11,1)+BK11</f>
        <v/>
      </c>
      <c r="BO11" s="591" t="n"/>
      <c r="BP11" s="592">
        <f>IF($E11="FL",IF($X11&lt;=DoC,DATEDIF(DoC,$V11,"M")/12,0),0)</f>
        <v/>
      </c>
      <c r="BQ11" s="592">
        <f>IF($E11="FL",(1+CPI)^INT(BP11),0)</f>
        <v/>
      </c>
      <c r="BR11" s="592">
        <f>IF($E11="FL",IF(($BP11-0.5)&gt;=0,1/(1+d)^($BP11-0.5),1/(1+d)^($BP11)),0)</f>
        <v/>
      </c>
      <c r="BS11" s="592" t="n"/>
      <c r="BT11" s="25">
        <f>IF(gender="M",VLOOKUP($Y11+pre_mort+IF(MONTH(DoC)&lt;MONTH(DoB),IF(MONTH(DoC)&lt;3,0,-1),IF(MONTH(DoB)&lt;3,-1,0)),'SALT LIFE TABLES'!$A$7:$E$106,2),VLOOKUP($Y11+pre_mort+IF(MONTH(DoC)&lt;MONTH(DoB),IF(MONTH(DoC)&lt;3,0,-1),IF(MONTH(DoB)&lt;3,-1,0)),'SALT LIFE TABLES'!$A$7:$E$106,4))</f>
        <v/>
      </c>
      <c r="BU11" s="592">
        <f>IF($E11="PL",1,BT11/BU$7)</f>
        <v/>
      </c>
      <c r="BV11" s="593" t="n"/>
      <c r="BW11" s="25">
        <f>IF(gender="M",VLOOKUP($Y11+post_mort+IF(MONTH(DoC)&lt;MONTH(DoB),IF(MONTH(DoC)&lt;3,0,-1),IF(MONTH(DoB)&lt;3,-1,0)),'SALT LIFE TABLES'!$A$7:$E$106,2),VLOOKUP($Y11+post_mort+IF(MONTH(DoC)&lt;MONTH(DoB),IF(MONTH(DoC)&lt;3,0,-1),IF(MONTH(DoB)&lt;3,-1,0)),'SALT LIFE TABLES'!$A$7:$E$106,4))</f>
        <v/>
      </c>
      <c r="BX11" s="592">
        <f>IF($E11="PL",1,BW11/BX$7)</f>
        <v/>
      </c>
      <c r="BY11" s="594" t="n"/>
      <c r="BZ11" s="592" t="n"/>
      <c r="CA11" s="592">
        <f>IF($E11="FL",$AR11*$BQ11*$BR11*$BU11,$AR11)</f>
        <v/>
      </c>
      <c r="CB11" s="592">
        <f>IF($E11="FL",$BN11*$BQ11*$BR11*$BX11,$BN11)</f>
        <v/>
      </c>
      <c r="CC11" s="592" t="n"/>
      <c r="CD11" s="592">
        <f>IF($E11="FL",$CA11*(1-pre_FL),$CA11*(1-pre_PL))</f>
        <v/>
      </c>
      <c r="CE11" s="592">
        <f>IF($E11="FL",$CB11*(1-post_FL),$CB11*(1-post_PL))</f>
        <v/>
      </c>
      <c r="CF11" s="592" t="n"/>
      <c r="CG11" s="599">
        <f>CD11-CE11</f>
        <v/>
      </c>
      <c r="CH11" s="599">
        <f>MIN(CG11,IF(W11=Ret_Yr_pre,1,$X11)*Cap)</f>
        <v/>
      </c>
      <c r="CI11" s="128" t="n"/>
      <c r="CJ11" s="37">
        <f>IF(D11&gt;Current,Current,D11)</f>
        <v/>
      </c>
      <c r="CK11" s="37">
        <f>MATCH($CJ11,Tax_Tables[Tax Year],0)</f>
        <v/>
      </c>
      <c r="CL11" s="600" t="n">
        <v>0</v>
      </c>
      <c r="CM11" s="600">
        <f t="array" ref="CM11">INDEX(Tax_Tables[[Limits]:[Limits]],$CK11+CM$8)</f>
        <v/>
      </c>
      <c r="CN11" s="600">
        <f t="array" ref="CN11">INDEX(Tax_Tables[[Limits]:[Limits]],$CK11+CN$8)</f>
        <v/>
      </c>
      <c r="CO11" s="600">
        <f t="array" ref="CO11">INDEX(Tax_Tables[[Limits]:[Limits]],$CK11+CO$8)</f>
        <v/>
      </c>
      <c r="CP11" s="600">
        <f t="array" ref="CP11">INDEX(Tax_Tables[[Limits]:[Limits]],$CK11+CP$8)</f>
        <v/>
      </c>
      <c r="CQ11" s="600">
        <f t="array" ref="CQ11">INDEX(Tax_Tables[[Limits]:[Limits]],$CK11+CQ$8)</f>
        <v/>
      </c>
      <c r="CR11" s="600">
        <f t="array" ref="CR11">INDEX(Tax_Tables[[Limits]:[Limits]],$CK11+CR$8)</f>
        <v/>
      </c>
      <c r="CS11" s="37">
        <f>INDEX(Rebate[&lt;65],MATCH($CJ11,Rebate[[Tax Year]:[Tax Year]],0))</f>
        <v/>
      </c>
      <c r="CT11" s="37">
        <f>INDEX(Rebate[&lt;75],MATCH($CJ11,Rebate[[Tax Year]:[Tax Year]],0))</f>
        <v/>
      </c>
      <c r="CU11" s="37">
        <f>INDEX(Rebate[&gt;75],MATCH($CJ11,Rebate[[Tax Year]:[Tax Year]],0))</f>
        <v/>
      </c>
      <c r="CV11" s="37">
        <f>INDEX(Tax_Credit[Principal],MATCH($CJ11,Tax_Credit[[Tax Year]:[Tax Year]],0))</f>
        <v/>
      </c>
      <c r="CW11" s="37">
        <f>INDEX(Tax_Credit[First Dependant],MATCH($CJ11,Tax_Credit[[Tax Year]:[Tax Year]],0))</f>
        <v/>
      </c>
      <c r="CX11" s="37">
        <f>INDEX(Tax_Credit[Each Additional],MATCH($CJ11,Tax_Credit[[Tax Year]:[Tax Year]],0))</f>
        <v/>
      </c>
      <c r="CY11" s="484">
        <f>Y11</f>
        <v/>
      </c>
      <c r="CZ11" s="601">
        <f>AP11</f>
        <v/>
      </c>
      <c r="DA11" s="37">
        <f t="array" ref="DA11">INDEX($CL11:$CR11,0,MATCH($CZ11,$CL11:$CR11,1))</f>
        <v/>
      </c>
      <c r="DB11" s="37">
        <f t="array" ref="DB11">IFERROR(INDEX(Tax_Tables[Percentages],$CK11+MATCH($DA11,$CL11:$CR11,0)-1),"")</f>
        <v/>
      </c>
      <c r="DC11" s="37">
        <f t="array" ref="DC11">IFERROR(INDEX(Tax_Tables[Tax],$CK11+MATCH($DA11,$CL11:$CR11,0)-1),"")</f>
        <v/>
      </c>
      <c r="DD11" s="37">
        <f>IF($CY11&lt;65,$CS11,IF($CY11&lt;75,$CT11,$CU11))</f>
        <v/>
      </c>
      <c r="DE11" s="37">
        <f>CV11*(Summary!$C$31="Y")+(Summary!$C$31="Y")*(CW11*(Pre_MDep&gt;=1)+CX11*MAX(Pre_MDep-1,0))</f>
        <v/>
      </c>
      <c r="DF11" s="599">
        <f>IFERROR(MAX(DB11*(CZ11-DA11)+DC11-DD11-DE11*12,0),"")</f>
        <v/>
      </c>
      <c r="DG11" s="602" t="n"/>
      <c r="DH11" s="601">
        <f>BL11</f>
        <v/>
      </c>
      <c r="DI11" s="37">
        <f t="array" ref="DI11">INDEX($CL11:$CR11,0,MATCH($DH11,$CL11:$CR11,1))</f>
        <v/>
      </c>
      <c r="DJ11" s="37">
        <f t="array" ref="DJ11">IFERROR(INDEX(Tax_Tables[Percentages],$CK11+MATCH($DI11,$CL11:$CR11,0)-1),"")</f>
        <v/>
      </c>
      <c r="DK11" s="37">
        <f t="array" ref="DK11">IFERROR(INDEX(Tax_Tables[Tax],$CK11+MATCH($DI11,$CL11:$CR11,0)-1),"")</f>
        <v/>
      </c>
      <c r="DL11" s="37">
        <f>CV11*(Summary!$C$81="Y")+(Summary!$C$81="Y")*(CW11*(Post_MDep&gt;=1)+CX11*MAX(Post_MDep-1,0))</f>
        <v/>
      </c>
      <c r="DM11" s="599">
        <f>IFERROR(MAX(DJ11*(DH11-DI11)+DK11-DD11-DL11*12,0),"")</f>
        <v/>
      </c>
      <c r="DN11" s="601" t="n"/>
      <c r="DO11" s="37" t="n"/>
      <c r="DP11" s="37" t="n"/>
      <c r="DQ11" s="37" t="n"/>
      <c r="DR11" s="37" t="n"/>
      <c r="DS11" s="37" t="n"/>
      <c r="DT11" s="37" t="n"/>
      <c r="DU11" s="37" t="n"/>
      <c r="DV11" s="37" t="n"/>
      <c r="DW11" s="37" t="n"/>
      <c r="DX11" s="599" t="n"/>
      <c r="DY11" s="131" t="n"/>
      <c r="DZ11" s="601" t="n"/>
      <c r="EA11" s="37" t="n"/>
      <c r="EB11" s="37" t="n"/>
      <c r="EC11" s="37" t="n"/>
      <c r="ED11" s="599" t="n"/>
      <c r="EE11" s="595" t="n"/>
      <c r="EF11" s="25" t="n"/>
    </row>
    <row r="12">
      <c r="A12" s="589" t="n"/>
      <c r="B12" s="589" t="n"/>
      <c r="C12" s="596">
        <f>C11+D12-D11</f>
        <v/>
      </c>
      <c r="D12" s="160">
        <f>AU12</f>
        <v/>
      </c>
      <c r="E12" s="87">
        <f>IF(DoC=V12,"Calc Date",IF(V12&lt;DoC,"PL","FL"))</f>
        <v/>
      </c>
      <c r="F12" s="310">
        <f>IF(Summary!D5="",F11,Summary!D5)</f>
        <v/>
      </c>
      <c r="G12" s="31">
        <f>VLOOKUP(F12,C$10:D$148,2)</f>
        <v/>
      </c>
      <c r="H12" s="314">
        <f>IF(Summary!G5="",H11,Summary!G5)</f>
        <v/>
      </c>
      <c r="I12" s="282">
        <f>IF(Summary!E5="",I11,Summary!E5)</f>
        <v/>
      </c>
      <c r="J12" s="589">
        <f>I12*index/VLOOKUP($H12,CPI!A:E,4,FALSE)</f>
        <v/>
      </c>
      <c r="K12" s="589">
        <f>IF(L12="Linear",(J12-J11)/(G12-G11),0)</f>
        <v/>
      </c>
      <c r="L12" s="308">
        <f>IF(Summary!H5="",L11,Summary!H5)</f>
        <v/>
      </c>
      <c r="M12" s="137" t="n"/>
      <c r="N12" s="310">
        <f>IF(Summary!D55="",N11,Summary!D55)</f>
        <v/>
      </c>
      <c r="O12" s="31">
        <f>O11+N12-N11</f>
        <v/>
      </c>
      <c r="P12" s="314">
        <f>IF(Summary!G55="",P11,Summary!G55)</f>
        <v/>
      </c>
      <c r="Q12" s="282">
        <f>IF(Summary!E55="",Q11,Summary!E55)</f>
        <v/>
      </c>
      <c r="R12" s="589">
        <f>Q12*index/VLOOKUP($P12,CPI!A:E,4,FALSE)</f>
        <v/>
      </c>
      <c r="S12" s="589">
        <f>IF(T12="Linear",(R12-R11)/(O12-O11),0)</f>
        <v/>
      </c>
      <c r="T12" s="308">
        <f>IF(Summary!H55="",T11,Summary!H55)</f>
        <v/>
      </c>
      <c r="U12" s="144" t="n"/>
      <c r="V12" s="6">
        <f>IF(AND($V11=DoA,MONTH(V11)&lt;3),DATE(YEAR(DoA),3,1),IF(AND(IFERROR(DATEDIF(V11,DoC,"M"),12)&lt;12,IFERROR(DATEDIF(V11,DoC,"M"),12)&gt;0),DoC,DATE(YEAR(V11)+(1-AND(YEAR(DoC)=Current,V11=DoC)-AND(V11=DoA,MONTH(V11)&lt;3)),3,1)))</f>
        <v/>
      </c>
      <c r="W12" s="31">
        <f>IF(V12=DoR_Pre,IF(MONTH(DoR_Pre)&gt;3,YEAR(DoR_Pre)+1,YEAR(DoR_Pre)),IF(MONTH(V12)&gt;3,Current,YEAR(V12)))</f>
        <v/>
      </c>
      <c r="X12" s="597">
        <f>IF(W12=Current,ROUND((V12-V11)/365.25,5),_xlfn.IFNA(INDEX(Summary!$A$5:$A$22,MATCH('LOE Sc1'!W12,Summary!$C$5:$C$22,0)),IF(W12=Ret_Yr_pre,ROUND((DoR_Pre-V11)/365.25,5),ROUND((V12-V11)/365.25,2))))</f>
        <v/>
      </c>
      <c r="Y12" s="55">
        <f>IF(AND(V12=DoC,MONTH(DoC)&lt;&gt;3),ROUNDDOWN(DATEDIF(DoB,V13,"M")/12,),ROUNDDOWN(DATEDIF(DoB,V12,"M")/12,))</f>
        <v/>
      </c>
      <c r="Z12" s="590" t="n"/>
      <c r="AA12" s="25">
        <f>MAX(RetAge_Pre-Y12,0)</f>
        <v/>
      </c>
      <c r="AB12" s="26">
        <f t="array" ref="AB12">IF(W12&gt;Ret_Yr_pre,0,_xlfn.IFNA(VLOOKUP(Y12,F$11:J$1000,5,),IF(AND(W12=Current,V12&gt;DoC,MONTH(DoC)&lt;&gt;3),AB11,AB11+INDEX(K$11:K$1000,MATCH(Y12,F$11:F$1000,1)+1))))</f>
        <v/>
      </c>
      <c r="AC12" s="590">
        <f>IF(V12&lt;DoC,AB12*VLOOKUP(YEAR(V12),CPI!A:E,4,FALSE)/index,AB12*real_i^INT(BP12))</f>
        <v/>
      </c>
      <c r="AD12" s="590">
        <f>$AC12/12*Bonus</f>
        <v/>
      </c>
      <c r="AE12" s="590">
        <f>IF($E12="FL",MedSub*m^INT(BP12),MedSub)*IF(Summary!$C$31="Y",1,0)*(W12&lt;=Ret_Yr_pre)*(Summary!C$31="Y")</f>
        <v/>
      </c>
      <c r="AF12" s="590">
        <f>IF(Summary!$C$30="Y",IF(E12&lt;&gt;"PL",VLOOKUP(Current,'Housing Allowance'!$A:$B,2,),VLOOKUP(YEAR($V12),'Housing Allowance'!$A:$B,2,)),0)*(W12&lt;=Ret_Yr_pre)</f>
        <v/>
      </c>
      <c r="AG12" s="590">
        <f>AC12*overtime</f>
        <v/>
      </c>
      <c r="AH12" s="590">
        <f>AC12*allow_1</f>
        <v/>
      </c>
      <c r="AI12" s="590">
        <f>(AB12&lt;&gt;0)*12*allow_2</f>
        <v/>
      </c>
      <c r="AJ12" s="590" t="n"/>
      <c r="AK12" s="581">
        <f>IF(YEAR(W12)&lt;=Ret_Yr_pre,SUM(AC12:AJ12),0)*IF($W12=Ret_Yr_pre,X12,1)</f>
        <v/>
      </c>
      <c r="AL12" s="581">
        <f>IF($W12&gt;=Ret_Yr_pre,pens_Pre*(GEPF_pre="Y"),0)*IF($W12=Ret_Yr_pre,1-$X12,1)*IF(Ret_Yr_pre&lt;Current,(_xlfn.IFNA(VLOOKUP($D12,CPI!$A:$E,2,FALSE),VLOOKUP(Current,CPI!$A:$E,2,FALSE))/VLOOKUP(Ret_Yr_pre,CPI!$A:$E,2,FALSE)),1)</f>
        <v/>
      </c>
      <c r="AM12" s="590">
        <f>$AC12*ee*IF($W12=Ret_Yr_pre,$X12,1)</f>
        <v/>
      </c>
      <c r="AN12" s="590">
        <f>$AC12*er*IF($W12=Ret_Yr_pre,$X12,1)</f>
        <v/>
      </c>
      <c r="AO12" s="590">
        <f>IF('LOE Sc1'!$W12=Ret_Yr_pre,Gratuity_Pre*(GEPF_pre="Y"),0)</f>
        <v/>
      </c>
      <c r="AP12" s="581">
        <f>AK12+AL12-$AM12-AN12*(GEPF_pre="Y")</f>
        <v/>
      </c>
      <c r="AQ12" s="590">
        <f>IF(DF12&lt;0,0,DF12)</f>
        <v/>
      </c>
      <c r="AR12" s="581">
        <f>(AP12-AQ12+AM12*(AM$7="Y")+AN12*(AN$7="Y"))*IF(W12&lt;Ret_Yr_pre,X12,1)+AO12</f>
        <v/>
      </c>
      <c r="AS12" s="595" t="n"/>
      <c r="AT12" s="6">
        <f>V12</f>
        <v/>
      </c>
      <c r="AU12" s="31">
        <f>W12</f>
        <v/>
      </c>
      <c r="AV12" s="598">
        <f>IF(AU12=Current,ROUND((AT12-AT11)/365.25,5),_xlfn.IFNA(INDEX(Summary!$A$55:$A$72,MATCH('LOE Sc1'!AU12,Summary!$C$55:$C$72,0)),IF(AU12=Ret_Yr_post,ROUND((DoR_Post-AT11)/365.25,5),ROUND((AT12-AT11)/365.25,2))))</f>
        <v/>
      </c>
      <c r="AW12" s="55">
        <f>Y12</f>
        <v/>
      </c>
      <c r="AX12" s="26">
        <f t="array" ref="AX12">IF(AU12&gt;Ret_Yr_post,0,_xlfn.IFNA(VLOOKUP(AW12,N$11:S$1000,5,),IF(AND(AU12=Current,AT12&gt;DoC,MONTH(DoC)&lt;&gt;3),AX11,AX11+INDEX(S$11:S$1000,MATCH(AW12,N$11:N$1000,1)+1))))</f>
        <v/>
      </c>
      <c r="AY12" s="590">
        <f>IF($V12&lt;DoC,AX12*VLOOKUP(YEAR($V12),CPI_Table,4,FALSE)/index,AX12*real_i^INT(BP12))</f>
        <v/>
      </c>
      <c r="AZ12" s="590">
        <f>$AY12/12*Bonus_Post*($AW12&lt;=RetAge_Post)</f>
        <v/>
      </c>
      <c r="BA12" s="590">
        <f>IF($E12="FL",MedSub*m^INT(BP12),MedSub)*IF(Summary!$C$81="Y",1,0)*($AU12&lt;=Ret_Yr_post)*(Summary!$C$81="Y")</f>
        <v/>
      </c>
      <c r="BB12" s="590">
        <f>IF(Summary!$C$80="Y",IF($E12&lt;&gt;"PL",VLOOKUP(Current,'Housing Allowance'!$A:$B,2,),VLOOKUP(YEAR($AT12),'Housing Allowance'!$A:$B,2,)),0)*($AU12&lt;=Ret_Yr_post)</f>
        <v/>
      </c>
      <c r="BC12" s="590">
        <f>AY12*overtime_post</f>
        <v/>
      </c>
      <c r="BD12" s="590">
        <f>$AY12*allow_1_post</f>
        <v/>
      </c>
      <c r="BE12" s="590">
        <f>($AY12&lt;&gt;0)*allow_2_post*12</f>
        <v/>
      </c>
      <c r="BF12" s="590" t="n"/>
      <c r="BG12" s="581">
        <f>IF(YEAR($V12)&lt;=Ret_Yr_post,SUM(AY12:BF12),0)*IF($W12=Ret_Yr_post,AV12,1)</f>
        <v/>
      </c>
      <c r="BH12" s="581">
        <f>IF($W12&gt;=Ret_Yr_post,pens_Post*(GEPF_pre="Y"),0)*IF($W12=Ret_Yr_post,1-$AV12,1)*IF(Ret_Yr_post&lt;Current,(_xlfn.IFNA(VLOOKUP($D12,CPI!$A:$E,2,FALSE),VLOOKUP(Current,CPI!$A:$E,2,FALSE))/VLOOKUP(Ret_Yr_post,CPI!$A:$E,2,FALSE)),1)</f>
        <v/>
      </c>
      <c r="BI12" s="590">
        <f>$AY12*ee_post*IF($W12=Ret_Yr_post,$AV12,1)</f>
        <v/>
      </c>
      <c r="BJ12" s="590">
        <f>$AY12*er_post*IF($W12=Ret_Yr_post,$AV12,1)</f>
        <v/>
      </c>
      <c r="BK12" s="590">
        <f>IF('LOE Sc1'!$W12=Ret_Yr_post,Gratuity_Post*(GEPF_post="Y"),0)</f>
        <v/>
      </c>
      <c r="BL12" s="581">
        <f>BG12+BH12-BI12-BJ12*(GEPF_post="Y")</f>
        <v/>
      </c>
      <c r="BM12" s="590">
        <f>IF(DM12&lt;0,0,DM12)</f>
        <v/>
      </c>
      <c r="BN12" s="581">
        <f>(BL12-BM12+BI12*(BI$7="Y")+BJ12*(BJ$7="Y"))*IF($W12&lt;Ret_Yr_post,AV12,1)+BK12</f>
        <v/>
      </c>
      <c r="BO12" s="591" t="n"/>
      <c r="BP12" s="592">
        <f>IF($E12="FL",IF($X12&lt;=DoC,DATEDIF(DoC,$V12,"M")/12,0),0)</f>
        <v/>
      </c>
      <c r="BQ12" s="592">
        <f>IF($E12="FL",(1+CPI)^INT(BP12),0)</f>
        <v/>
      </c>
      <c r="BR12" s="592">
        <f>IF($E12="FL",IF(($BP12-0.5)&gt;=0,1/(1+d)^($BP12-0.5),1/(1+d)^($BP12)),0)</f>
        <v/>
      </c>
      <c r="BS12" s="592" t="n"/>
      <c r="BT12" s="25">
        <f>IF(gender="M",VLOOKUP($Y12+pre_mort+IF(MONTH(DoC)&lt;MONTH(DoB),IF(MONTH(DoC)&lt;3,0,-1),IF(MONTH(DoB)&lt;3,-1,0)),'SALT LIFE TABLES'!$A$7:$E$106,2),VLOOKUP($Y12+pre_mort+IF(MONTH(DoC)&lt;MONTH(DoB),IF(MONTH(DoC)&lt;3,0,-1),IF(MONTH(DoB)&lt;3,-1,0)),'SALT LIFE TABLES'!$A$7:$E$106,4))</f>
        <v/>
      </c>
      <c r="BU12" s="592">
        <f>IF($E12="PL",1,BT12/BU$7)</f>
        <v/>
      </c>
      <c r="BV12" s="593" t="n"/>
      <c r="BW12" s="25">
        <f>IF(gender="M",VLOOKUP($Y12+post_mort+IF(MONTH(DoC)&lt;MONTH(DoB),IF(MONTH(DoC)&lt;3,0,-1),IF(MONTH(DoB)&lt;3,-1,0)),'SALT LIFE TABLES'!$A$7:$E$106,2),VLOOKUP($Y12+post_mort+IF(MONTH(DoC)&lt;MONTH(DoB),IF(MONTH(DoC)&lt;3,0,-1),IF(MONTH(DoB)&lt;3,-1,0)),'SALT LIFE TABLES'!$A$7:$E$106,4))</f>
        <v/>
      </c>
      <c r="BX12" s="592">
        <f>IF($E12="PL",1,BW12/BX$7)</f>
        <v/>
      </c>
      <c r="BY12" s="594" t="n"/>
      <c r="BZ12" s="592" t="n"/>
      <c r="CA12" s="592">
        <f>IF($E12="FL",$AR12*$BQ12*$BR12*$BU12,$AR12)</f>
        <v/>
      </c>
      <c r="CB12" s="592">
        <f>IF($E12="FL",$BN12*$BQ12*$BR12*$BX12,$BN12)</f>
        <v/>
      </c>
      <c r="CC12" s="592" t="n"/>
      <c r="CD12" s="592">
        <f>IF($E12="FL",$CA12*(1-pre_FL),$CA12*(1-pre_PL))</f>
        <v/>
      </c>
      <c r="CE12" s="592">
        <f>IF($E12="FL",$CB12*(1-post_FL),$CB12*(1-post_PL))</f>
        <v/>
      </c>
      <c r="CF12" s="592" t="n"/>
      <c r="CG12" s="599">
        <f>CD12-CE12</f>
        <v/>
      </c>
      <c r="CH12" s="599">
        <f>MIN(CG12,IF(W12=Ret_Yr_pre,1,$X12)*Cap)</f>
        <v/>
      </c>
      <c r="CI12" s="128" t="n"/>
      <c r="CJ12" s="37">
        <f>IF(D12&gt;Current,Current,D12)</f>
        <v/>
      </c>
      <c r="CK12" s="37">
        <f>MATCH($CJ12,Tax_Tables[Tax Year],0)</f>
        <v/>
      </c>
      <c r="CL12" s="600" t="n">
        <v>0</v>
      </c>
      <c r="CM12" s="600">
        <f t="array" ref="CM12">INDEX(Tax_Tables[[Limits]:[Limits]],$CK12+CM$8)</f>
        <v/>
      </c>
      <c r="CN12" s="600">
        <f t="array" ref="CN12">INDEX(Tax_Tables[[Limits]:[Limits]],$CK12+CN$8)</f>
        <v/>
      </c>
      <c r="CO12" s="600">
        <f t="array" ref="CO12">INDEX(Tax_Tables[[Limits]:[Limits]],$CK12+CO$8)</f>
        <v/>
      </c>
      <c r="CP12" s="600">
        <f t="array" ref="CP12">INDEX(Tax_Tables[[Limits]:[Limits]],$CK12+CP$8)</f>
        <v/>
      </c>
      <c r="CQ12" s="600">
        <f t="array" ref="CQ12">INDEX(Tax_Tables[[Limits]:[Limits]],$CK12+CQ$8)</f>
        <v/>
      </c>
      <c r="CR12" s="600">
        <f t="array" ref="CR12">INDEX(Tax_Tables[[Limits]:[Limits]],$CK12+CR$8)</f>
        <v/>
      </c>
      <c r="CS12" s="37">
        <f>INDEX(Rebate[&lt;65],MATCH($CJ12,Rebate[[Tax Year]:[Tax Year]],0))</f>
        <v/>
      </c>
      <c r="CT12" s="37">
        <f>INDEX(Rebate[&lt;75],MATCH($CJ12,Rebate[[Tax Year]:[Tax Year]],0))</f>
        <v/>
      </c>
      <c r="CU12" s="37">
        <f>INDEX(Rebate[&gt;75],MATCH($CJ12,Rebate[[Tax Year]:[Tax Year]],0))</f>
        <v/>
      </c>
      <c r="CV12" s="37">
        <f>INDEX(Tax_Credit[Principal],MATCH($CJ12,Tax_Credit[[Tax Year]:[Tax Year]],0))</f>
        <v/>
      </c>
      <c r="CW12" s="37">
        <f>INDEX(Tax_Credit[First Dependant],MATCH($CJ12,Tax_Credit[[Tax Year]:[Tax Year]],0))</f>
        <v/>
      </c>
      <c r="CX12" s="37">
        <f>INDEX(Tax_Credit[Each Additional],MATCH($CJ12,Tax_Credit[[Tax Year]:[Tax Year]],0))</f>
        <v/>
      </c>
      <c r="CY12" s="484">
        <f>Y12</f>
        <v/>
      </c>
      <c r="CZ12" s="601">
        <f>AP12</f>
        <v/>
      </c>
      <c r="DA12" s="37">
        <f t="array" ref="DA12">INDEX($CL12:$CR12,0,MATCH($CZ12,$CL12:$CR12,1))</f>
        <v/>
      </c>
      <c r="DB12" s="37">
        <f t="array" ref="DB12">IFERROR(INDEX(Tax_Tables[Percentages],$CK12+MATCH($DA12,$CL12:$CR12,0)-1),"")</f>
        <v/>
      </c>
      <c r="DC12" s="37">
        <f t="array" ref="DC12">IFERROR(INDEX(Tax_Tables[Tax],$CK12+MATCH($DA12,$CL12:$CR12,0)-1),"")</f>
        <v/>
      </c>
      <c r="DD12" s="37">
        <f>IF(CY12&lt;65,CS12,IF(CY12&lt;75,CT12,CU12))</f>
        <v/>
      </c>
      <c r="DE12" s="37">
        <f>CV12*(Summary!$C$31="Y")+(Summary!$C$31="Y")*(CW12*(Pre_MDep&gt;=1)+CX12*MAX(Pre_MDep-1,0))</f>
        <v/>
      </c>
      <c r="DF12" s="599">
        <f>IFERROR(MAX(DB12*(CZ12-DA12)+DC12-DD12-DE12*12,0),"")</f>
        <v/>
      </c>
      <c r="DG12" s="602" t="n"/>
      <c r="DH12" s="601">
        <f>BL12</f>
        <v/>
      </c>
      <c r="DI12" s="37">
        <f t="array" ref="DI12">INDEX($CL12:$CR12,0,MATCH($DH12,$CL12:$CR12,1))</f>
        <v/>
      </c>
      <c r="DJ12" s="37">
        <f t="array" ref="DJ12">IFERROR(INDEX(Tax_Tables[Percentages],$CK12+MATCH($DI12,$CL12:$CR12,0)-1),"")</f>
        <v/>
      </c>
      <c r="DK12" s="37">
        <f t="array" ref="DK12">IFERROR(INDEX(Tax_Tables[Tax],$CK12+MATCH($DI12,$CL12:$CR12,0)-1),"")</f>
        <v/>
      </c>
      <c r="DL12" s="37">
        <f>CV12*(Summary!$C$81="Y")+(Summary!$C$81="Y")*(CW12*(Post_MDep&gt;=1)+CX12*MAX(Post_MDep-1,0))</f>
        <v/>
      </c>
      <c r="DM12" s="599">
        <f>IFERROR(MAX(DJ12*(DH12-DI12)+DK12-DD12-DL12*12,0),"")</f>
        <v/>
      </c>
      <c r="DN12" s="601" t="n"/>
      <c r="DO12" s="37" t="n"/>
      <c r="DP12" s="37" t="n"/>
      <c r="DQ12" s="37" t="n"/>
      <c r="DR12" s="37" t="n"/>
      <c r="DS12" s="37" t="n"/>
      <c r="DT12" s="37" t="n"/>
      <c r="DU12" s="37" t="n"/>
      <c r="DV12" s="37" t="n"/>
      <c r="DW12" s="37" t="n"/>
      <c r="DX12" s="599" t="n"/>
      <c r="DY12" s="131" t="n"/>
      <c r="DZ12" s="601" t="n"/>
      <c r="EA12" s="37" t="n"/>
      <c r="EB12" s="37" t="n"/>
      <c r="EC12" s="37" t="n"/>
      <c r="ED12" s="599" t="n"/>
      <c r="EE12" s="595" t="n"/>
      <c r="EF12" s="25" t="n"/>
    </row>
    <row r="13">
      <c r="A13" s="589" t="n"/>
      <c r="B13" s="589" t="n"/>
      <c r="C13" s="596">
        <f>C12+D13-D12</f>
        <v/>
      </c>
      <c r="D13" s="160">
        <f>AU13</f>
        <v/>
      </c>
      <c r="E13" s="87">
        <f>IF(DoC=V13,"Calc Date",IF(V13&lt;DoC,"PL","FL"))</f>
        <v/>
      </c>
      <c r="F13" s="310">
        <f>IF(Summary!D6="",F12,Summary!D6)</f>
        <v/>
      </c>
      <c r="G13" s="31">
        <f>VLOOKUP(F13,C$10:D$148,2)</f>
        <v/>
      </c>
      <c r="H13" s="314">
        <f>IF(Summary!G6="",H12,Summary!G6)</f>
        <v/>
      </c>
      <c r="I13" s="282">
        <f>IF(Summary!E6="",I12,Summary!E6)</f>
        <v/>
      </c>
      <c r="J13" s="589">
        <f>I13*index/VLOOKUP($H13,CPI!A:E,4,FALSE)</f>
        <v/>
      </c>
      <c r="K13" s="589">
        <f>IF(L13="Linear",(J13-J12)/(G13-G12),0)</f>
        <v/>
      </c>
      <c r="L13" s="308">
        <f>IF(Summary!H6="",L12,Summary!H6)</f>
        <v/>
      </c>
      <c r="M13" s="137" t="n"/>
      <c r="N13" s="310">
        <f>IF(Summary!D56="",N12,Summary!D56)</f>
        <v/>
      </c>
      <c r="O13" s="31">
        <f>O12+N13-N12</f>
        <v/>
      </c>
      <c r="P13" s="314">
        <f>IF(Summary!G56="",P12,Summary!G56)</f>
        <v/>
      </c>
      <c r="Q13" s="282">
        <f>IF(Summary!E56="",Q12,Summary!E56)</f>
        <v/>
      </c>
      <c r="R13" s="589">
        <f>Q13*index/VLOOKUP($P13,CPI!A:E,4,FALSE)</f>
        <v/>
      </c>
      <c r="S13" s="589">
        <f>IF(T13="Linear",(R13-R12)/(O13-O12),0)</f>
        <v/>
      </c>
      <c r="T13" s="308">
        <f>IF(Summary!H56="",T12,Summary!H56)</f>
        <v/>
      </c>
      <c r="U13" s="144" t="n"/>
      <c r="V13" s="6">
        <f>IF(AND($V12=DoA,MONTH(V12)&lt;3),DATE(YEAR(DoA),3,1),IF(AND(IFERROR(DATEDIF(V12,DoC,"M"),12)&lt;12,IFERROR(DATEDIF(V12,DoC,"M"),12)&gt;0),DoC,DATE(YEAR(V12)+(1-AND(YEAR(DoC)=Current,V12=DoC)-AND(V12=DoA,MONTH(V12)&lt;3)),3,1)))</f>
        <v/>
      </c>
      <c r="W13" s="31">
        <f>IF(V13=DoR_Pre,IF(MONTH(DoR_Pre)&gt;3,YEAR(DoR_Pre)+1,YEAR(DoR_Pre)),IF(MONTH(V13)&gt;3,Current,YEAR(V13)))</f>
        <v/>
      </c>
      <c r="X13" s="597">
        <f>IF(W13=Current,ROUND((V13-V12)/365.25,5),_xlfn.IFNA(INDEX(Summary!$A$5:$A$22,MATCH('LOE Sc1'!W13,Summary!$C$5:$C$22,0)),IF(W13=Ret_Yr_pre,ROUND((DoR_Pre-V12)/365.25,5),ROUND((V13-V12)/365.25,2))))</f>
        <v/>
      </c>
      <c r="Y13" s="55">
        <f>IF(AND(V13=DoC,MONTH(DoC)&lt;&gt;3),ROUNDDOWN(DATEDIF(DoB,V14,"M")/12,),ROUNDDOWN(DATEDIF(DoB,V13,"M")/12,))</f>
        <v/>
      </c>
      <c r="Z13" s="590" t="n"/>
      <c r="AA13" s="25">
        <f>MAX(RetAge_Pre-Y13,0)</f>
        <v/>
      </c>
      <c r="AB13" s="26">
        <f t="array" ref="AB13">IF(W13&gt;Ret_Yr_pre,0,_xlfn.IFNA(VLOOKUP(Y13,F$11:J$1000,5,),IF(AND(W13=Current,V13&gt;DoC,MONTH(DoC)&lt;&gt;3),AB12,AB12+INDEX(K$11:K$1000,MATCH(Y13,F$11:F$1000,1)+1))))</f>
        <v/>
      </c>
      <c r="AC13" s="590">
        <f>IF(V13&lt;DoC,AB13*VLOOKUP(YEAR(V13),CPI!A:E,4,FALSE)/index,AB13*real_i^INT(BP13))</f>
        <v/>
      </c>
      <c r="AD13" s="590">
        <f>$AC13/12*Bonus</f>
        <v/>
      </c>
      <c r="AE13" s="590">
        <f>IF($E13="FL",MedSub*m^INT(BP13),MedSub)*IF(Summary!$C$31="Y",1,0)*(W13&lt;=Ret_Yr_pre)*(Summary!C$31="Y")</f>
        <v/>
      </c>
      <c r="AF13" s="590">
        <f>IF(Summary!$C$30="Y",IF(E13&lt;&gt;"PL",VLOOKUP(Current,'Housing Allowance'!$A:$B,2,),VLOOKUP(YEAR($V13),'Housing Allowance'!$A:$B,2,)),0)*(W13&lt;=Ret_Yr_pre)</f>
        <v/>
      </c>
      <c r="AG13" s="590">
        <f>AC13*overtime</f>
        <v/>
      </c>
      <c r="AH13" s="590">
        <f>AC13*allow_1</f>
        <v/>
      </c>
      <c r="AI13" s="590">
        <f>(AB13&lt;&gt;0)*12*allow_2</f>
        <v/>
      </c>
      <c r="AJ13" s="590" t="n"/>
      <c r="AK13" s="581">
        <f>IF(YEAR(W13)&lt;=Ret_Yr_pre,SUM(AC13:AJ13),0)*IF($W13=Ret_Yr_pre,X13,1)</f>
        <v/>
      </c>
      <c r="AL13" s="581">
        <f>IF($W13&gt;=Ret_Yr_pre,pens_Pre*(GEPF_pre="Y"),0)*IF($W13=Ret_Yr_pre,1-$X13,1)*IF(Ret_Yr_pre&lt;Current,(_xlfn.IFNA(VLOOKUP($D13,CPI!$A:$E,2,FALSE),VLOOKUP(Current,CPI!$A:$E,2,FALSE))/VLOOKUP(Ret_Yr_pre,CPI!$A:$E,2,FALSE)),1)</f>
        <v/>
      </c>
      <c r="AM13" s="590">
        <f>$AC13*ee*IF($W13=Ret_Yr_pre,$X13,1)</f>
        <v/>
      </c>
      <c r="AN13" s="590">
        <f>$AC13*er*IF($W13=Ret_Yr_pre,$X13,1)</f>
        <v/>
      </c>
      <c r="AO13" s="590">
        <f>IF('LOE Sc1'!$W13=Ret_Yr_pre,Gratuity_Pre*(GEPF_pre="Y"),0)</f>
        <v/>
      </c>
      <c r="AP13" s="581">
        <f>AK13+AL13-$AM13-AN13*(GEPF_pre="Y")</f>
        <v/>
      </c>
      <c r="AQ13" s="590">
        <f>IF(DF13&lt;0,0,DF13)</f>
        <v/>
      </c>
      <c r="AR13" s="581">
        <f>(AP13-AQ13+AM13*(AM$7="Y")+AN13*(AN$7="Y"))*IF(W13&lt;Ret_Yr_pre,X13,1)+AO13</f>
        <v/>
      </c>
      <c r="AS13" s="595" t="n"/>
      <c r="AT13" s="6">
        <f>V13</f>
        <v/>
      </c>
      <c r="AU13" s="31">
        <f>W13</f>
        <v/>
      </c>
      <c r="AV13" s="598">
        <f>IF(AU13=Current,ROUND((AT13-AT12)/365.25,5),_xlfn.IFNA(INDEX(Summary!$A$55:$A$72,MATCH('LOE Sc1'!AU13,Summary!$C$55:$C$72,0)),IF(AU13=Ret_Yr_post,ROUND((DoR_Post-AT12)/365.25,5),ROUND((AT13-AT12)/365.25,2))))</f>
        <v/>
      </c>
      <c r="AW13" s="55">
        <f>Y13</f>
        <v/>
      </c>
      <c r="AX13" s="26">
        <f t="array" ref="AX13">IF(AU13&gt;Ret_Yr_post,0,_xlfn.IFNA(VLOOKUP(AW13,N$11:S$1000,5,),IF(AND(AU13=Current,AT13&gt;DoC,MONTH(DoC)&lt;&gt;3),AX12,AX12+INDEX(S$11:S$1000,MATCH(AW13,N$11:N$1000,1)+1))))</f>
        <v/>
      </c>
      <c r="AY13" s="590">
        <f>IF($V13&lt;DoC,AX13*VLOOKUP(YEAR($V13),CPI_Table,4,FALSE)/index,AX13*real_i^INT(BP13))</f>
        <v/>
      </c>
      <c r="AZ13" s="590">
        <f>$AY13/12*Bonus_Post*($AW13&lt;=RetAge_Post)</f>
        <v/>
      </c>
      <c r="BA13" s="590">
        <f>IF($E13="FL",MedSub*m^INT(BP13),MedSub)*IF(Summary!$C$81="Y",1,0)*($AU13&lt;=Ret_Yr_post)*(Summary!$C$81="Y")</f>
        <v/>
      </c>
      <c r="BB13" s="590">
        <f>IF(Summary!$C$80="Y",IF($E13&lt;&gt;"PL",VLOOKUP(Current,'Housing Allowance'!$A:$B,2,),VLOOKUP(YEAR($AT13),'Housing Allowance'!$A:$B,2,)),0)*($AU13&lt;=Ret_Yr_post)</f>
        <v/>
      </c>
      <c r="BC13" s="590">
        <f>AY13*overtime_post</f>
        <v/>
      </c>
      <c r="BD13" s="590">
        <f>$AY13*allow_1_post</f>
        <v/>
      </c>
      <c r="BE13" s="590">
        <f>($AY13&lt;&gt;0)*allow_2_post*12</f>
        <v/>
      </c>
      <c r="BF13" s="590" t="n"/>
      <c r="BG13" s="581">
        <f>IF(YEAR($V13)&lt;=Ret_Yr_post,SUM(AY13:BF13),0)*IF($W13=Ret_Yr_post,AV13,1)</f>
        <v/>
      </c>
      <c r="BH13" s="581">
        <f>IF($W13&gt;=Ret_Yr_post,pens_Post*(GEPF_pre="Y"),0)*IF($W13=Ret_Yr_post,1-$AV13,1)*IF(Ret_Yr_post&lt;Current,(_xlfn.IFNA(VLOOKUP($D13,CPI!$A:$E,2,FALSE),VLOOKUP(Current,CPI!$A:$E,2,FALSE))/VLOOKUP(Ret_Yr_post,CPI!$A:$E,2,FALSE)),1)</f>
        <v/>
      </c>
      <c r="BI13" s="590">
        <f>$AY13*ee_post*IF($W13=Ret_Yr_post,$AV13,1)</f>
        <v/>
      </c>
      <c r="BJ13" s="590">
        <f>$AY13*er_post*IF($W13=Ret_Yr_post,$AV13,1)</f>
        <v/>
      </c>
      <c r="BK13" s="590">
        <f>IF('LOE Sc1'!$W13=Ret_Yr_post,Gratuity_Post*(GEPF_post="Y"),0)</f>
        <v/>
      </c>
      <c r="BL13" s="581">
        <f>BG13+BH13-BI13-BJ13*(GEPF_post="Y")</f>
        <v/>
      </c>
      <c r="BM13" s="590">
        <f>IF(DM13&lt;0,0,DM13)</f>
        <v/>
      </c>
      <c r="BN13" s="581">
        <f>(BL13-BM13+BI13*(BI$7="Y")+BJ13*(BJ$7="Y"))*IF($W13&lt;Ret_Yr_post,AV13,1)+BK13</f>
        <v/>
      </c>
      <c r="BO13" s="591" t="n"/>
      <c r="BP13" s="592">
        <f>IF($E13="FL",IF($X13&lt;=DoC,DATEDIF(DoC,$V13,"M")/12,0),0)</f>
        <v/>
      </c>
      <c r="BQ13" s="592">
        <f>IF($E13="FL",(1+CPI)^INT(BP13),0)</f>
        <v/>
      </c>
      <c r="BR13" s="592">
        <f>IF($E13="FL",IF(($BP13-0.5)&gt;=0,1/(1+d)^($BP13-0.5),1/(1+d)^($BP13)),0)</f>
        <v/>
      </c>
      <c r="BS13" s="592" t="n"/>
      <c r="BT13" s="25">
        <f>IF(gender="M",VLOOKUP($Y13+pre_mort+IF(MONTH(DoC)&lt;MONTH(DoB),IF(MONTH(DoC)&lt;3,0,-1),IF(MONTH(DoB)&lt;3,-1,0)),'SALT LIFE TABLES'!$A$7:$E$106,2),VLOOKUP($Y13+pre_mort+IF(MONTH(DoC)&lt;MONTH(DoB),IF(MONTH(DoC)&lt;3,0,-1),IF(MONTH(DoB)&lt;3,-1,0)),'SALT LIFE TABLES'!$A$7:$E$106,4))</f>
        <v/>
      </c>
      <c r="BU13" s="592">
        <f>IF($E13="PL",1,BT13/BU$7)</f>
        <v/>
      </c>
      <c r="BV13" s="593" t="n"/>
      <c r="BW13" s="25">
        <f>IF(gender="M",VLOOKUP($Y13+post_mort+IF(MONTH(DoC)&lt;MONTH(DoB),IF(MONTH(DoC)&lt;3,0,-1),IF(MONTH(DoB)&lt;3,-1,0)),'SALT LIFE TABLES'!$A$7:$E$106,2),VLOOKUP($Y13+post_mort+IF(MONTH(DoC)&lt;MONTH(DoB),IF(MONTH(DoC)&lt;3,0,-1),IF(MONTH(DoB)&lt;3,-1,0)),'SALT LIFE TABLES'!$A$7:$E$106,4))</f>
        <v/>
      </c>
      <c r="BX13" s="592">
        <f>IF($E13="PL",1,BW13/BX$7)</f>
        <v/>
      </c>
      <c r="BY13" s="594" t="n"/>
      <c r="BZ13" s="592" t="n"/>
      <c r="CA13" s="592">
        <f>IF($E13="FL",$AR13*$BQ13*$BR13*$BU13,$AR13)</f>
        <v/>
      </c>
      <c r="CB13" s="592">
        <f>IF($E13="FL",$BN13*$BQ13*$BR13*$BX13,$BN13)</f>
        <v/>
      </c>
      <c r="CC13" s="592" t="n"/>
      <c r="CD13" s="592">
        <f>IF($E13="FL",$CA13*(1-pre_FL),$CA13*(1-pre_PL))</f>
        <v/>
      </c>
      <c r="CE13" s="592">
        <f>IF($E13="FL",$CB13*(1-post_FL),$CB13*(1-post_PL))</f>
        <v/>
      </c>
      <c r="CF13" s="592" t="n"/>
      <c r="CG13" s="599">
        <f>CD13-CE13</f>
        <v/>
      </c>
      <c r="CH13" s="599">
        <f>MIN(CG13,IF(W13=Ret_Yr_pre,1,$X13)*Cap)</f>
        <v/>
      </c>
      <c r="CI13" s="128" t="n"/>
      <c r="CJ13" s="37">
        <f>IF(D13&gt;Current,Current,D13)</f>
        <v/>
      </c>
      <c r="CK13" s="37">
        <f>MATCH($CJ13,Tax_Tables[Tax Year],0)</f>
        <v/>
      </c>
      <c r="CL13" s="600" t="n">
        <v>0</v>
      </c>
      <c r="CM13" s="600">
        <f t="array" ref="CM13">INDEX(Tax_Tables[[Limits]:[Limits]],$CK13+CM$8)</f>
        <v/>
      </c>
      <c r="CN13" s="600">
        <f t="array" ref="CN13">INDEX(Tax_Tables[[Limits]:[Limits]],$CK13+CN$8)</f>
        <v/>
      </c>
      <c r="CO13" s="600">
        <f t="array" ref="CO13">INDEX(Tax_Tables[[Limits]:[Limits]],$CK13+CO$8)</f>
        <v/>
      </c>
      <c r="CP13" s="600">
        <f t="array" ref="CP13">INDEX(Tax_Tables[[Limits]:[Limits]],$CK13+CP$8)</f>
        <v/>
      </c>
      <c r="CQ13" s="600">
        <f t="array" ref="CQ13">INDEX(Tax_Tables[[Limits]:[Limits]],$CK13+CQ$8)</f>
        <v/>
      </c>
      <c r="CR13" s="600">
        <f t="array" ref="CR13">INDEX(Tax_Tables[[Limits]:[Limits]],$CK13+CR$8)</f>
        <v/>
      </c>
      <c r="CS13" s="37">
        <f>INDEX(Rebate[&lt;65],MATCH($CJ13,Rebate[[Tax Year]:[Tax Year]],0))</f>
        <v/>
      </c>
      <c r="CT13" s="37">
        <f>INDEX(Rebate[&lt;75],MATCH($CJ13,Rebate[[Tax Year]:[Tax Year]],0))</f>
        <v/>
      </c>
      <c r="CU13" s="37">
        <f>INDEX(Rebate[&gt;75],MATCH($CJ13,Rebate[[Tax Year]:[Tax Year]],0))</f>
        <v/>
      </c>
      <c r="CV13" s="37">
        <f>INDEX(Tax_Credit[Principal],MATCH($CJ13,Tax_Credit[[Tax Year]:[Tax Year]],0))</f>
        <v/>
      </c>
      <c r="CW13" s="37">
        <f>INDEX(Tax_Credit[First Dependant],MATCH($CJ13,Tax_Credit[[Tax Year]:[Tax Year]],0))</f>
        <v/>
      </c>
      <c r="CX13" s="37">
        <f>INDEX(Tax_Credit[Each Additional],MATCH($CJ13,Tax_Credit[[Tax Year]:[Tax Year]],0))</f>
        <v/>
      </c>
      <c r="CY13" s="484">
        <f>Y13</f>
        <v/>
      </c>
      <c r="CZ13" s="601">
        <f>AP13</f>
        <v/>
      </c>
      <c r="DA13" s="37">
        <f t="array" ref="DA13">INDEX($CL13:$CR13,0,MATCH($CZ13,$CL13:$CR13,1))</f>
        <v/>
      </c>
      <c r="DB13" s="37">
        <f t="array" ref="DB13">IFERROR(INDEX(Tax_Tables[Percentages],$CK13+MATCH($DA13,$CL13:$CR13,0)-1),"")</f>
        <v/>
      </c>
      <c r="DC13" s="37">
        <f t="array" ref="DC13">IFERROR(INDEX(Tax_Tables[Tax],$CK13+MATCH($DA13,$CL13:$CR13,0)-1),"")</f>
        <v/>
      </c>
      <c r="DD13" s="37">
        <f>IF(CY13&lt;65,CS13,IF(CY13&lt;75,CT13,CU13))</f>
        <v/>
      </c>
      <c r="DE13" s="37">
        <f>CV13*(Summary!$C$31="Y")+(Summary!$C$31="Y")*(CW13*(Pre_MDep&gt;=1)+CX13*MAX(Pre_MDep-1,0))</f>
        <v/>
      </c>
      <c r="DF13" s="599">
        <f>IFERROR(MAX(DB13*(CZ13-DA13)+DC13-DD13-DE13*12,0),"")</f>
        <v/>
      </c>
      <c r="DG13" s="602" t="n"/>
      <c r="DH13" s="601">
        <f>BL13</f>
        <v/>
      </c>
      <c r="DI13" s="37">
        <f t="array" ref="DI13">INDEX($CL13:$CR13,0,MATCH($DH13,$CL13:$CR13,1))</f>
        <v/>
      </c>
      <c r="DJ13" s="37">
        <f t="array" ref="DJ13">IFERROR(INDEX(Tax_Tables[Percentages],$CK13+MATCH($DI13,$CL13:$CR13,0)-1),"")</f>
        <v/>
      </c>
      <c r="DK13" s="37">
        <f t="array" ref="DK13">IFERROR(INDEX(Tax_Tables[Tax],$CK13+MATCH($DI13,$CL13:$CR13,0)-1),"")</f>
        <v/>
      </c>
      <c r="DL13" s="37">
        <f>CV13*(Summary!$C$81="Y")+(Summary!$C$81="Y")*(CW13*(Post_MDep&gt;=1)+CX13*MAX(Post_MDep-1,0))</f>
        <v/>
      </c>
      <c r="DM13" s="599">
        <f>IFERROR(MAX(DJ13*(DH13-DI13)+DK13-DD13-DL13*12,0),"")</f>
        <v/>
      </c>
      <c r="DN13" s="601" t="n"/>
      <c r="DO13" s="37" t="n"/>
      <c r="DP13" s="37" t="n"/>
      <c r="DQ13" s="37" t="n"/>
      <c r="DR13" s="37" t="n"/>
      <c r="DS13" s="37" t="n"/>
      <c r="DT13" s="37" t="n"/>
      <c r="DU13" s="37" t="n"/>
      <c r="DV13" s="37" t="n"/>
      <c r="DW13" s="37" t="n"/>
      <c r="DX13" s="599" t="n"/>
      <c r="DY13" s="131" t="n"/>
      <c r="DZ13" s="601" t="n"/>
      <c r="EA13" s="37" t="n"/>
      <c r="EB13" s="37" t="n"/>
      <c r="EC13" s="37" t="n"/>
      <c r="ED13" s="599" t="n"/>
      <c r="EE13" s="595" t="n"/>
      <c r="EF13" s="25" t="n"/>
    </row>
    <row r="14">
      <c r="A14" s="589" t="n"/>
      <c r="B14" s="589" t="n"/>
      <c r="C14" s="596">
        <f>C13+D14-D13</f>
        <v/>
      </c>
      <c r="D14" s="160">
        <f>AU14</f>
        <v/>
      </c>
      <c r="E14" s="87">
        <f>IF(DoC=V14,"Calc Date",IF(V14&lt;DoC,"PL","FL"))</f>
        <v/>
      </c>
      <c r="F14" s="310">
        <f>IF(Summary!D7="",F13,Summary!D7)</f>
        <v/>
      </c>
      <c r="G14" s="31">
        <f>VLOOKUP(F14,C$10:D$148,2)</f>
        <v/>
      </c>
      <c r="H14" s="314">
        <f>IF(Summary!G7="",H13,Summary!G7)</f>
        <v/>
      </c>
      <c r="I14" s="282">
        <f>IF(Summary!E7="",I13,Summary!E7)</f>
        <v/>
      </c>
      <c r="J14" s="589">
        <f>I14*index/VLOOKUP($H14,CPI!A:E,4,FALSE)</f>
        <v/>
      </c>
      <c r="K14" s="589">
        <f>IF(L14="Linear",(J14-J13)/(G14-G13),0)</f>
        <v/>
      </c>
      <c r="L14" s="308">
        <f>IF(Summary!H7="",L13,Summary!H7)</f>
        <v/>
      </c>
      <c r="M14" s="137" t="n"/>
      <c r="N14" s="310">
        <f>IF(Summary!D57="",N13,Summary!D57)</f>
        <v/>
      </c>
      <c r="O14" s="31">
        <f>O13+N14-N13</f>
        <v/>
      </c>
      <c r="P14" s="314">
        <f>IF(Summary!G57="",P13,Summary!G57)</f>
        <v/>
      </c>
      <c r="Q14" s="282">
        <f>IF(Summary!E57="",Q13,Summary!E57)</f>
        <v/>
      </c>
      <c r="R14" s="589">
        <f>Q14*index/VLOOKUP($P14,CPI!A:E,4,FALSE)</f>
        <v/>
      </c>
      <c r="S14" s="589">
        <f>IF(T14="Linear",(R14-R13)/(O14-O13),0)</f>
        <v/>
      </c>
      <c r="T14" s="308">
        <f>IF(Summary!H57="",T13,Summary!H57)</f>
        <v/>
      </c>
      <c r="U14" s="144" t="n"/>
      <c r="V14" s="6">
        <f>IF(AND($V13=DoA,MONTH(V13)&lt;3),DATE(YEAR(DoA),3,1),IF(AND(IFERROR(DATEDIF(V13,DoC,"M"),12)&lt;12,IFERROR(DATEDIF(V13,DoC,"M"),12)&gt;0),DoC,DATE(YEAR(V13)+(1-AND(YEAR(DoC)=Current,V13=DoC)-AND(V13=DoA,MONTH(V13)&lt;3)),3,1)))</f>
        <v/>
      </c>
      <c r="W14" s="31">
        <f>IF(V14=DoR_Pre,IF(MONTH(DoR_Pre)&gt;3,YEAR(DoR_Pre)+1,YEAR(DoR_Pre)),IF(MONTH(V14)&gt;3,Current,YEAR(V14)))</f>
        <v/>
      </c>
      <c r="X14" s="597">
        <f>IF(W14=Current,ROUND((V14-V13)/365.25,5),_xlfn.IFNA(INDEX(Summary!$A$5:$A$22,MATCH('LOE Sc1'!W14,Summary!$C$5:$C$22,0)),IF(W14=Ret_Yr_pre,ROUND((DoR_Pre-V13)/365.25,5),ROUND((V14-V13)/365.25,2))))</f>
        <v/>
      </c>
      <c r="Y14" s="55">
        <f>IF(AND(V14=DoC,MONTH(DoC)&lt;&gt;3),ROUNDDOWN(DATEDIF(DoB,V15,"M")/12,),ROUNDDOWN(DATEDIF(DoB,V14,"M")/12,))</f>
        <v/>
      </c>
      <c r="Z14" s="590" t="n"/>
      <c r="AA14" s="25">
        <f>MAX(RetAge_Pre-Y14,0)</f>
        <v/>
      </c>
      <c r="AB14" s="26">
        <f t="array" ref="AB14">IF(W14&gt;Ret_Yr_pre,0,_xlfn.IFNA(VLOOKUP(Y14,F$11:J$1000,5,),IF(AND(W14=Current,V14&gt;DoC,MONTH(DoC)&lt;&gt;3),AB13,AB13+INDEX(K$11:K$1000,MATCH(Y14,F$11:F$1000,1)+1))))</f>
        <v/>
      </c>
      <c r="AC14" s="590">
        <f>IF(V14&lt;DoC,AB14*VLOOKUP(YEAR(V14),CPI!A:E,4,FALSE)/index,AB14*real_i^INT(BP14))</f>
        <v/>
      </c>
      <c r="AD14" s="590">
        <f>$AC14/12*Bonus</f>
        <v/>
      </c>
      <c r="AE14" s="590">
        <f>IF($E14="FL",MedSub*m^INT(BP14),MedSub)*IF(Summary!$C$31="Y",1,0)*(W14&lt;=Ret_Yr_pre)*(Summary!C$31="Y")</f>
        <v/>
      </c>
      <c r="AF14" s="590">
        <f>IF(Summary!$C$30="Y",IF(E14&lt;&gt;"PL",VLOOKUP(Current,'Housing Allowance'!$A:$B,2,),VLOOKUP(YEAR($V14),'Housing Allowance'!$A:$B,2,)),0)*(W14&lt;=Ret_Yr_pre)</f>
        <v/>
      </c>
      <c r="AG14" s="590">
        <f>AC14*overtime</f>
        <v/>
      </c>
      <c r="AH14" s="590">
        <f>AC14*allow_1</f>
        <v/>
      </c>
      <c r="AI14" s="590">
        <f>(AB14&lt;&gt;0)*12*allow_2</f>
        <v/>
      </c>
      <c r="AJ14" s="590" t="n"/>
      <c r="AK14" s="581">
        <f>IF(YEAR(W14)&lt;=Ret_Yr_pre,SUM(AC14:AJ14),0)*IF($W14=Ret_Yr_pre,X14,1)</f>
        <v/>
      </c>
      <c r="AL14" s="581">
        <f>IF($W14&gt;=Ret_Yr_pre,pens_Pre*(GEPF_pre="Y"),0)*IF($W14=Ret_Yr_pre,1-$X14,1)*IF(Ret_Yr_pre&lt;Current,(_xlfn.IFNA(VLOOKUP($D14,CPI!$A:$E,2,FALSE),VLOOKUP(Current,CPI!$A:$E,2,FALSE))/VLOOKUP(Ret_Yr_pre,CPI!$A:$E,2,FALSE)),1)</f>
        <v/>
      </c>
      <c r="AM14" s="590">
        <f>$AC14*ee*IF($W14=Ret_Yr_pre,$X14,1)</f>
        <v/>
      </c>
      <c r="AN14" s="590">
        <f>$AC14*er*IF($W14=Ret_Yr_pre,$X14,1)</f>
        <v/>
      </c>
      <c r="AO14" s="590">
        <f>IF('LOE Sc1'!$W14=Ret_Yr_pre,Gratuity_Pre*(GEPF_pre="Y"),0)</f>
        <v/>
      </c>
      <c r="AP14" s="581">
        <f>AK14+AL14-$AM14-AN14*(GEPF_pre="Y")</f>
        <v/>
      </c>
      <c r="AQ14" s="590">
        <f>IF(DF14&lt;0,0,DF14)</f>
        <v/>
      </c>
      <c r="AR14" s="581">
        <f>(AP14-AQ14+AM14*(AM$7="Y")+AN14*(AN$7="Y"))*IF(W14&lt;Ret_Yr_pre,X14,1)+AO14</f>
        <v/>
      </c>
      <c r="AS14" s="595" t="n"/>
      <c r="AT14" s="6">
        <f>V14</f>
        <v/>
      </c>
      <c r="AU14" s="31">
        <f>W14</f>
        <v/>
      </c>
      <c r="AV14" s="598">
        <f>IF(AU14=Current,ROUND((AT14-AT13)/365.25,5),_xlfn.IFNA(INDEX(Summary!$A$55:$A$72,MATCH('LOE Sc1'!AU14,Summary!$C$55:$C$72,0)),IF(AU14=Ret_Yr_post,ROUND((DoR_Post-AT13)/365.25,5),ROUND((AT14-AT13)/365.25,2))))</f>
        <v/>
      </c>
      <c r="AW14" s="55">
        <f>Y14</f>
        <v/>
      </c>
      <c r="AX14" s="26">
        <f t="array" ref="AX14">IF(AU14&gt;Ret_Yr_post,0,_xlfn.IFNA(VLOOKUP(AW14,N$11:S$1000,5,),IF(AND(AU14=Current,AT14&gt;DoC,MONTH(DoC)&lt;&gt;3),AX13,AX13+INDEX(S$11:S$1000,MATCH(AW14,N$11:N$1000,1)+1))))</f>
        <v/>
      </c>
      <c r="AY14" s="590">
        <f>IF($V14&lt;DoC,AX14*VLOOKUP(YEAR($V14),CPI_Table,4,FALSE)/index,AX14*real_i^INT(BP14))</f>
        <v/>
      </c>
      <c r="AZ14" s="590">
        <f>$AY14/12*Bonus_Post*($AW14&lt;=RetAge_Post)</f>
        <v/>
      </c>
      <c r="BA14" s="590">
        <f>IF($E14="FL",MedSub*m^INT(BP14),MedSub)*IF(Summary!$C$81="Y",1,0)*($AU14&lt;=Ret_Yr_post)*(Summary!$C$81="Y")</f>
        <v/>
      </c>
      <c r="BB14" s="590">
        <f>IF(Summary!$C$80="Y",IF($E14&lt;&gt;"PL",VLOOKUP(Current,'Housing Allowance'!$A:$B,2,),VLOOKUP(YEAR($AT14),'Housing Allowance'!$A:$B,2,)),0)*($AU14&lt;=Ret_Yr_post)</f>
        <v/>
      </c>
      <c r="BC14" s="590">
        <f>AY14*overtime_post</f>
        <v/>
      </c>
      <c r="BD14" s="590">
        <f>$AY14*allow_1_post</f>
        <v/>
      </c>
      <c r="BE14" s="590">
        <f>($AY14&lt;&gt;0)*allow_2_post*12</f>
        <v/>
      </c>
      <c r="BF14" s="590" t="n"/>
      <c r="BG14" s="581">
        <f>IF(YEAR($V14)&lt;=Ret_Yr_post,SUM(AY14:BF14),0)*IF($W14=Ret_Yr_post,AV14,1)</f>
        <v/>
      </c>
      <c r="BH14" s="581">
        <f>IF($W14&gt;=Ret_Yr_post,pens_Post*(GEPF_pre="Y"),0)*IF($W14=Ret_Yr_post,1-$AV14,1)*IF(Ret_Yr_post&lt;Current,(_xlfn.IFNA(VLOOKUP($D14,CPI!$A:$E,2,FALSE),VLOOKUP(Current,CPI!$A:$E,2,FALSE))/VLOOKUP(Ret_Yr_post,CPI!$A:$E,2,FALSE)),1)</f>
        <v/>
      </c>
      <c r="BI14" s="590">
        <f>$AY14*ee_post*IF($W14=Ret_Yr_post,$AV14,1)</f>
        <v/>
      </c>
      <c r="BJ14" s="590">
        <f>$AY14*er_post*IF($W14=Ret_Yr_post,$AV14,1)</f>
        <v/>
      </c>
      <c r="BK14" s="590">
        <f>IF('LOE Sc1'!$W14=Ret_Yr_post,Gratuity_Post*(GEPF_post="Y"),0)</f>
        <v/>
      </c>
      <c r="BL14" s="581">
        <f>BG14+BH14-BI14-BJ14*(GEPF_post="Y")</f>
        <v/>
      </c>
      <c r="BM14" s="590">
        <f>IF(DM14&lt;0,0,DM14)</f>
        <v/>
      </c>
      <c r="BN14" s="581">
        <f>(BL14-BM14+BI14*(BI$7="Y")+BJ14*(BJ$7="Y"))*IF($W14&lt;Ret_Yr_post,AV14,1)+BK14</f>
        <v/>
      </c>
      <c r="BO14" s="591" t="n"/>
      <c r="BP14" s="592">
        <f>IF($E14="FL",IF($X14&lt;=DoC,DATEDIF(DoC,$V14,"M")/12,0),0)</f>
        <v/>
      </c>
      <c r="BQ14" s="592">
        <f>IF($E14="FL",(1+CPI)^INT(BP14),0)</f>
        <v/>
      </c>
      <c r="BR14" s="592">
        <f>IF($E14="FL",IF(($BP14-0.5)&gt;=0,1/(1+d)^($BP14-0.5),1/(1+d)^($BP14)),0)</f>
        <v/>
      </c>
      <c r="BS14" s="592" t="n"/>
      <c r="BT14" s="25">
        <f>IF(gender="M",VLOOKUP($Y14+pre_mort+IF(MONTH(DoC)&lt;MONTH(DoB),IF(MONTH(DoC)&lt;3,0,-1),IF(MONTH(DoB)&lt;3,-1,0)),'SALT LIFE TABLES'!$A$7:$E$106,2),VLOOKUP($Y14+pre_mort+IF(MONTH(DoC)&lt;MONTH(DoB),IF(MONTH(DoC)&lt;3,0,-1),IF(MONTH(DoB)&lt;3,-1,0)),'SALT LIFE TABLES'!$A$7:$E$106,4))</f>
        <v/>
      </c>
      <c r="BU14" s="592">
        <f>IF($E14="PL",1,BT14/BU$7)</f>
        <v/>
      </c>
      <c r="BV14" s="593" t="n"/>
      <c r="BW14" s="25">
        <f>IF(gender="M",VLOOKUP($Y14+post_mort+IF(MONTH(DoC)&lt;MONTH(DoB),IF(MONTH(DoC)&lt;3,0,-1),IF(MONTH(DoB)&lt;3,-1,0)),'SALT LIFE TABLES'!$A$7:$E$106,2),VLOOKUP($Y14+post_mort+IF(MONTH(DoC)&lt;MONTH(DoB),IF(MONTH(DoC)&lt;3,0,-1),IF(MONTH(DoB)&lt;3,-1,0)),'SALT LIFE TABLES'!$A$7:$E$106,4))</f>
        <v/>
      </c>
      <c r="BX14" s="592">
        <f>IF($E14="PL",1,BW14/BX$7)</f>
        <v/>
      </c>
      <c r="BY14" s="594" t="n"/>
      <c r="BZ14" s="592" t="n"/>
      <c r="CA14" s="592">
        <f>IF($E14="FL",$AR14*$BQ14*$BR14*$BU14,$AR14)</f>
        <v/>
      </c>
      <c r="CB14" s="592">
        <f>IF($E14="FL",$BN14*$BQ14*$BR14*$BX14,$BN14)</f>
        <v/>
      </c>
      <c r="CC14" s="592" t="n"/>
      <c r="CD14" s="592">
        <f>IF($E14="FL",$CA14*(1-pre_FL),$CA14*(1-pre_PL))</f>
        <v/>
      </c>
      <c r="CE14" s="592">
        <f>IF($E14="FL",$CB14*(1-post_FL),$CB14*(1-post_PL))</f>
        <v/>
      </c>
      <c r="CF14" s="592" t="n"/>
      <c r="CG14" s="599">
        <f>CD14-CE14</f>
        <v/>
      </c>
      <c r="CH14" s="599">
        <f>MIN(CG14,IF(W14=Ret_Yr_pre,1,$X14)*Cap)</f>
        <v/>
      </c>
      <c r="CI14" s="128" t="n"/>
      <c r="CJ14" s="37">
        <f>IF(D14&gt;Current,Current,D14)</f>
        <v/>
      </c>
      <c r="CK14" s="37">
        <f>MATCH($CJ14,Tax_Tables[Tax Year],0)</f>
        <v/>
      </c>
      <c r="CL14" s="600" t="n">
        <v>0</v>
      </c>
      <c r="CM14" s="600">
        <f t="array" ref="CM14">INDEX(Tax_Tables[[Limits]:[Limits]],$CK14+CM$8)</f>
        <v/>
      </c>
      <c r="CN14" s="600">
        <f t="array" ref="CN14">INDEX(Tax_Tables[[Limits]:[Limits]],$CK14+CN$8)</f>
        <v/>
      </c>
      <c r="CO14" s="600">
        <f t="array" ref="CO14">INDEX(Tax_Tables[[Limits]:[Limits]],$CK14+CO$8)</f>
        <v/>
      </c>
      <c r="CP14" s="600">
        <f t="array" ref="CP14">INDEX(Tax_Tables[[Limits]:[Limits]],$CK14+CP$8)</f>
        <v/>
      </c>
      <c r="CQ14" s="600">
        <f t="array" ref="CQ14">INDEX(Tax_Tables[[Limits]:[Limits]],$CK14+CQ$8)</f>
        <v/>
      </c>
      <c r="CR14" s="600">
        <f t="array" ref="CR14">INDEX(Tax_Tables[[Limits]:[Limits]],$CK14+CR$8)</f>
        <v/>
      </c>
      <c r="CS14" s="37">
        <f>INDEX(Rebate[&lt;65],MATCH($CJ14,Rebate[[Tax Year]:[Tax Year]],0))</f>
        <v/>
      </c>
      <c r="CT14" s="37">
        <f>INDEX(Rebate[&lt;75],MATCH($CJ14,Rebate[[Tax Year]:[Tax Year]],0))</f>
        <v/>
      </c>
      <c r="CU14" s="37">
        <f>INDEX(Rebate[&gt;75],MATCH($CJ14,Rebate[[Tax Year]:[Tax Year]],0))</f>
        <v/>
      </c>
      <c r="CV14" s="37">
        <f>INDEX(Tax_Credit[Principal],MATCH($CJ14,Tax_Credit[[Tax Year]:[Tax Year]],0))</f>
        <v/>
      </c>
      <c r="CW14" s="37">
        <f>INDEX(Tax_Credit[First Dependant],MATCH($CJ14,Tax_Credit[[Tax Year]:[Tax Year]],0))</f>
        <v/>
      </c>
      <c r="CX14" s="37">
        <f>INDEX(Tax_Credit[Each Additional],MATCH($CJ14,Tax_Credit[[Tax Year]:[Tax Year]],0))</f>
        <v/>
      </c>
      <c r="CY14" s="484">
        <f>Y14</f>
        <v/>
      </c>
      <c r="CZ14" s="601">
        <f>AP14</f>
        <v/>
      </c>
      <c r="DA14" s="37">
        <f t="array" ref="DA14">INDEX($CL14:$CR14,0,MATCH($CZ14,$CL14:$CR14,1))</f>
        <v/>
      </c>
      <c r="DB14" s="37">
        <f t="array" ref="DB14">IFERROR(INDEX(Tax_Tables[Percentages],$CK14+MATCH($DA14,$CL14:$CR14,0)-1),"")</f>
        <v/>
      </c>
      <c r="DC14" s="37">
        <f t="array" ref="DC14">IFERROR(INDEX(Tax_Tables[Tax],$CK14+MATCH($DA14,$CL14:$CR14,0)-1),"")</f>
        <v/>
      </c>
      <c r="DD14" s="37">
        <f>IF(CY14&lt;65,CS14,IF(CY14&lt;75,CT14,CU14))</f>
        <v/>
      </c>
      <c r="DE14" s="37">
        <f>CV14*(Summary!$C$31="Y")+(Summary!$C$31="Y")*(CW14*(Pre_MDep&gt;=1)+CX14*MAX(Pre_MDep-1,0))</f>
        <v/>
      </c>
      <c r="DF14" s="599">
        <f>IFERROR(MAX(DB14*(CZ14-DA14)+DC14-DD14-DE14*12,0),"")</f>
        <v/>
      </c>
      <c r="DG14" s="602" t="n"/>
      <c r="DH14" s="601">
        <f>BL14</f>
        <v/>
      </c>
      <c r="DI14" s="37">
        <f t="array" ref="DI14">INDEX($CL14:$CR14,0,MATCH($DH14,$CL14:$CR14,1))</f>
        <v/>
      </c>
      <c r="DJ14" s="37">
        <f t="array" ref="DJ14">IFERROR(INDEX(Tax_Tables[Percentages],$CK14+MATCH($DI14,$CL14:$CR14,0)-1),"")</f>
        <v/>
      </c>
      <c r="DK14" s="37">
        <f t="array" ref="DK14">IFERROR(INDEX(Tax_Tables[Tax],$CK14+MATCH($DI14,$CL14:$CR14,0)-1),"")</f>
        <v/>
      </c>
      <c r="DL14" s="37">
        <f>CV14*(Summary!$C$81="Y")+(Summary!$C$81="Y")*(CW14*(Post_MDep&gt;=1)+CX14*MAX(Post_MDep-1,0))</f>
        <v/>
      </c>
      <c r="DM14" s="599">
        <f>IFERROR(MAX(DJ14*(DH14-DI14)+DK14-DD14-DL14*12,0),"")</f>
        <v/>
      </c>
      <c r="DN14" s="601" t="n"/>
      <c r="DO14" s="37" t="n"/>
      <c r="DP14" s="37" t="n"/>
      <c r="DQ14" s="37" t="n"/>
      <c r="DR14" s="37" t="n"/>
      <c r="DS14" s="37" t="n"/>
      <c r="DT14" s="37" t="n"/>
      <c r="DU14" s="37" t="n"/>
      <c r="DV14" s="37" t="n"/>
      <c r="DW14" s="37" t="n"/>
      <c r="DX14" s="599" t="n"/>
      <c r="DY14" s="131" t="n"/>
      <c r="DZ14" s="601" t="n"/>
      <c r="EA14" s="37" t="n"/>
      <c r="EB14" s="37" t="n"/>
      <c r="EC14" s="37" t="n"/>
      <c r="ED14" s="599" t="n"/>
      <c r="EE14" s="595" t="n"/>
      <c r="EF14" s="25" t="n"/>
    </row>
    <row r="15">
      <c r="C15" s="596">
        <f>C14+D15-D14</f>
        <v/>
      </c>
      <c r="D15" s="160">
        <f>AU15</f>
        <v/>
      </c>
      <c r="E15" s="87">
        <f>IF(DoC=V15,"Calc Date",IF(V15&lt;DoC,"PL","FL"))</f>
        <v/>
      </c>
      <c r="F15" s="310">
        <f>IF(Summary!D8="",F14,Summary!D8)</f>
        <v/>
      </c>
      <c r="G15" s="31">
        <f>VLOOKUP(F15,C$10:D$148,2)</f>
        <v/>
      </c>
      <c r="H15" s="314">
        <f>IF(Summary!G8="",H14,Summary!G8)</f>
        <v/>
      </c>
      <c r="I15" s="282">
        <f>IF(Summary!E8="",I14,Summary!E8)</f>
        <v/>
      </c>
      <c r="J15" s="589">
        <f>I15*index/VLOOKUP($H15,CPI!A:E,4,FALSE)</f>
        <v/>
      </c>
      <c r="K15" s="589">
        <f>IF(L15="Linear",(J15-J14)/(G15-G14),0)</f>
        <v/>
      </c>
      <c r="L15" s="308">
        <f>IF(Summary!H8="",L14,Summary!H8)</f>
        <v/>
      </c>
      <c r="M15" s="137" t="n"/>
      <c r="N15" s="310">
        <f>IF(Summary!D58="",N14,Summary!D58)</f>
        <v/>
      </c>
      <c r="O15" s="31">
        <f>O14+N15-N14</f>
        <v/>
      </c>
      <c r="P15" s="314">
        <f>IF(Summary!G58="",P14,Summary!G58)</f>
        <v/>
      </c>
      <c r="Q15" s="282">
        <f>IF(Summary!E58="",Q14,Summary!E58)</f>
        <v/>
      </c>
      <c r="R15" s="589">
        <f>Q15*index/VLOOKUP($P15,CPI!A:E,4,FALSE)</f>
        <v/>
      </c>
      <c r="S15" s="589">
        <f>IF(T15="Linear",(R15-R14)/(O15-O14),0)</f>
        <v/>
      </c>
      <c r="T15" s="308">
        <f>IF(Summary!H58="",T14,Summary!H58)</f>
        <v/>
      </c>
      <c r="U15" s="144" t="n"/>
      <c r="V15" s="6">
        <f>IF(AND($V14=DoA,MONTH(V14)&lt;3),DATE(YEAR(DoA),3,1),IF(AND(IFERROR(DATEDIF(V14,DoC,"M"),12)&lt;12,IFERROR(DATEDIF(V14,DoC,"M"),12)&gt;0),DoC,DATE(YEAR(V14)+(1-AND(YEAR(DoC)=Current,V14=DoC)-AND(V14=DoA,MONTH(V14)&lt;3)),3,1)))</f>
        <v/>
      </c>
      <c r="W15" s="31">
        <f>IF(V15=DoR_Pre,IF(MONTH(DoR_Pre)&gt;3,YEAR(DoR_Pre)+1,YEAR(DoR_Pre)),IF(MONTH(V15)&gt;3,Current,YEAR(V15)))</f>
        <v/>
      </c>
      <c r="X15" s="597">
        <f>IF(W15=Current,ROUND((V15-V14)/365.25,5),_xlfn.IFNA(INDEX(Summary!$A$5:$A$22,MATCH('LOE Sc1'!W15,Summary!$C$5:$C$22,0)),IF(W15=Ret_Yr_pre,ROUND((DoR_Pre-V14)/365.25,5),ROUND((V15-V14)/365.25,2))))</f>
        <v/>
      </c>
      <c r="Y15" s="55">
        <f>IF(AND(V15=DoC,MONTH(DoC)&lt;&gt;3),ROUNDDOWN(DATEDIF(DoB,V16,"M")/12,),ROUNDDOWN(DATEDIF(DoB,V15,"M")/12,))</f>
        <v/>
      </c>
      <c r="Z15" s="590" t="n"/>
      <c r="AA15" s="25">
        <f>MAX(RetAge_Pre-Y15,0)</f>
        <v/>
      </c>
      <c r="AB15" s="26">
        <f t="array" ref="AB15">IF(W15&gt;Ret_Yr_pre,0,_xlfn.IFNA(VLOOKUP(Y15,F$11:J$1000,5,),IF(AND(W15=Current,V15&gt;DoC,MONTH(DoC)&lt;&gt;3),AB14,AB14+INDEX(K$11:K$1000,MATCH(Y15,F$11:F$1000,1)+1))))</f>
        <v/>
      </c>
      <c r="AC15" s="590">
        <f>IF(V15&lt;DoC,AB15*VLOOKUP(YEAR(V15),CPI!A:E,4,FALSE)/index,AB15*real_i^INT(BP15))</f>
        <v/>
      </c>
      <c r="AD15" s="590">
        <f>$AC15/12*Bonus</f>
        <v/>
      </c>
      <c r="AE15" s="590">
        <f>IF($E15="FL",MedSub*m^INT(BP15),MedSub)*IF(Summary!$C$31="Y",1,0)*(W15&lt;=Ret_Yr_pre)*(Summary!C$31="Y")</f>
        <v/>
      </c>
      <c r="AF15" s="590">
        <f>IF(Summary!$C$30="Y",IF(E15&lt;&gt;"PL",VLOOKUP(Current,'Housing Allowance'!$A:$B,2,),VLOOKUP(YEAR($V15),'Housing Allowance'!$A:$B,2,)),0)*(W15&lt;=Ret_Yr_pre)</f>
        <v/>
      </c>
      <c r="AG15" s="590">
        <f>AC15*overtime</f>
        <v/>
      </c>
      <c r="AH15" s="590">
        <f>AC15*allow_1</f>
        <v/>
      </c>
      <c r="AI15" s="590">
        <f>(AB15&lt;&gt;0)*12*allow_2</f>
        <v/>
      </c>
      <c r="AJ15" s="590" t="n"/>
      <c r="AK15" s="581">
        <f>IF(YEAR(W15)&lt;=Ret_Yr_pre,SUM(AC15:AJ15),0)*IF($W15=Ret_Yr_pre,X15,1)</f>
        <v/>
      </c>
      <c r="AL15" s="581">
        <f>IF($W15&gt;=Ret_Yr_pre,pens_Pre*(GEPF_pre="Y"),0)*IF($W15=Ret_Yr_pre,1-$X15,1)*IF(Ret_Yr_pre&lt;Current,(_xlfn.IFNA(VLOOKUP($D15,CPI!$A:$E,2,FALSE),VLOOKUP(Current,CPI!$A:$E,2,FALSE))/VLOOKUP(Ret_Yr_pre,CPI!$A:$E,2,FALSE)),1)</f>
        <v/>
      </c>
      <c r="AM15" s="590">
        <f>$AC15*ee*IF($W15=Ret_Yr_pre,$X15,1)</f>
        <v/>
      </c>
      <c r="AN15" s="590">
        <f>$AC15*er*IF($W15=Ret_Yr_pre,$X15,1)</f>
        <v/>
      </c>
      <c r="AO15" s="590">
        <f>IF('LOE Sc1'!$W15=Ret_Yr_pre,Gratuity_Pre*(GEPF_pre="Y"),0)</f>
        <v/>
      </c>
      <c r="AP15" s="581">
        <f>AK15+AL15-$AM15-AN15*(GEPF_pre="Y")</f>
        <v/>
      </c>
      <c r="AQ15" s="590">
        <f>IF(DF15&lt;0,0,DF15)</f>
        <v/>
      </c>
      <c r="AR15" s="581">
        <f>(AP15-AQ15+AM15*(AM$7="Y")+AN15*(AN$7="Y"))*IF(W15&lt;Ret_Yr_pre,X15,1)+AO15</f>
        <v/>
      </c>
      <c r="AS15" s="595" t="n"/>
      <c r="AT15" s="6">
        <f>V15</f>
        <v/>
      </c>
      <c r="AU15" s="31">
        <f>W15</f>
        <v/>
      </c>
      <c r="AV15" s="598">
        <f>IF(AU15=Current,ROUND((AT15-AT14)/365.25,5),_xlfn.IFNA(INDEX(Summary!$A$55:$A$72,MATCH('LOE Sc1'!AU15,Summary!$C$55:$C$72,0)),IF(AU15=Ret_Yr_post,ROUND((DoR_Post-AT14)/365.25,5),ROUND((AT15-AT14)/365.25,2))))</f>
        <v/>
      </c>
      <c r="AW15" s="55">
        <f>Y15</f>
        <v/>
      </c>
      <c r="AX15" s="26">
        <f t="array" ref="AX15">IF(AU15&gt;Ret_Yr_post,0,_xlfn.IFNA(VLOOKUP(AW15,N$11:S$1000,5,),IF(AND(AU15=Current,AT15&gt;DoC,MONTH(DoC)&lt;&gt;3),AX14,AX14+INDEX(S$11:S$1000,MATCH(AW15,N$11:N$1000,1)+1))))</f>
        <v/>
      </c>
      <c r="AY15" s="590">
        <f>IF($V15&lt;DoC,AX15*VLOOKUP(YEAR($V15),CPI_Table,4,FALSE)/index,AX15*real_i^INT(BP15))</f>
        <v/>
      </c>
      <c r="AZ15" s="590">
        <f>$AY15/12*Bonus_Post*($AW15&lt;=RetAge_Post)</f>
        <v/>
      </c>
      <c r="BA15" s="590">
        <f>IF($E15="FL",MedSub*m^INT(BP15),MedSub)*IF(Summary!$C$81="Y",1,0)*($AU15&lt;=Ret_Yr_post)*(Summary!$C$81="Y")</f>
        <v/>
      </c>
      <c r="BB15" s="590">
        <f>IF(Summary!$C$80="Y",IF($E15&lt;&gt;"PL",VLOOKUP(Current,'Housing Allowance'!$A:$B,2,),VLOOKUP(YEAR($AT15),'Housing Allowance'!$A:$B,2,)),0)*($AU15&lt;=Ret_Yr_post)</f>
        <v/>
      </c>
      <c r="BC15" s="590">
        <f>AY15*overtime_post</f>
        <v/>
      </c>
      <c r="BD15" s="590">
        <f>$AY15*allow_1_post</f>
        <v/>
      </c>
      <c r="BE15" s="590">
        <f>($AY15&lt;&gt;0)*allow_2_post*12</f>
        <v/>
      </c>
      <c r="BF15" s="590" t="n"/>
      <c r="BG15" s="581">
        <f>IF(YEAR($V15)&lt;=Ret_Yr_post,SUM(AY15:BF15),0)*IF($W15=Ret_Yr_post,AV15,1)</f>
        <v/>
      </c>
      <c r="BH15" s="581">
        <f>IF($W15&gt;=Ret_Yr_post,pens_Post*(GEPF_pre="Y"),0)*IF($W15=Ret_Yr_post,1-$AV15,1)*IF(Ret_Yr_post&lt;Current,(_xlfn.IFNA(VLOOKUP($D15,CPI!$A:$E,2,FALSE),VLOOKUP(Current,CPI!$A:$E,2,FALSE))/VLOOKUP(Ret_Yr_post,CPI!$A:$E,2,FALSE)),1)</f>
        <v/>
      </c>
      <c r="BI15" s="590">
        <f>$AY15*ee_post*IF($W15=Ret_Yr_post,$AV15,1)</f>
        <v/>
      </c>
      <c r="BJ15" s="590">
        <f>$AY15*er_post*IF($W15=Ret_Yr_post,$AV15,1)</f>
        <v/>
      </c>
      <c r="BK15" s="590">
        <f>IF('LOE Sc1'!$W15=Ret_Yr_post,Gratuity_Post*(GEPF_post="Y"),0)</f>
        <v/>
      </c>
      <c r="BL15" s="581">
        <f>BG15+BH15-BI15-BJ15*(GEPF_post="Y")</f>
        <v/>
      </c>
      <c r="BM15" s="590">
        <f>IF(DM15&lt;0,0,DM15)</f>
        <v/>
      </c>
      <c r="BN15" s="581">
        <f>(BL15-BM15+BI15*(BI$7="Y")+BJ15*(BJ$7="Y"))*IF($W15&lt;Ret_Yr_post,AV15,1)+BK15</f>
        <v/>
      </c>
      <c r="BO15" s="591" t="n"/>
      <c r="BP15" s="592">
        <f>IF($E15="FL",IF($X15&lt;=DoC,DATEDIF(DoC,$V15,"M")/12,0),0)</f>
        <v/>
      </c>
      <c r="BQ15" s="592">
        <f>IF($E15="FL",(1+CPI)^INT(BP15),0)</f>
        <v/>
      </c>
      <c r="BR15" s="592">
        <f>IF($E15="FL",IF(($BP15-0.5)&gt;=0,1/(1+d)^($BP15-0.5),1/(1+d)^($BP15)),0)</f>
        <v/>
      </c>
      <c r="BS15" s="592" t="n"/>
      <c r="BT15" s="25">
        <f>IF(gender="M",VLOOKUP($Y15+pre_mort+IF(MONTH(DoC)&lt;MONTH(DoB),IF(MONTH(DoC)&lt;3,0,-1),IF(MONTH(DoB)&lt;3,-1,0)),'SALT LIFE TABLES'!$A$7:$E$106,2),VLOOKUP($Y15+pre_mort+IF(MONTH(DoC)&lt;MONTH(DoB),IF(MONTH(DoC)&lt;3,0,-1),IF(MONTH(DoB)&lt;3,-1,0)),'SALT LIFE TABLES'!$A$7:$E$106,4))</f>
        <v/>
      </c>
      <c r="BU15" s="592">
        <f>IF($E15="PL",1,BT15/BU$7)</f>
        <v/>
      </c>
      <c r="BV15" s="593" t="n"/>
      <c r="BW15" s="25">
        <f>IF(gender="M",VLOOKUP($Y15+post_mort+IF(MONTH(DoC)&lt;MONTH(DoB),IF(MONTH(DoC)&lt;3,0,-1),IF(MONTH(DoB)&lt;3,-1,0)),'SALT LIFE TABLES'!$A$7:$E$106,2),VLOOKUP($Y15+post_mort+IF(MONTH(DoC)&lt;MONTH(DoB),IF(MONTH(DoC)&lt;3,0,-1),IF(MONTH(DoB)&lt;3,-1,0)),'SALT LIFE TABLES'!$A$7:$E$106,4))</f>
        <v/>
      </c>
      <c r="BX15" s="592">
        <f>IF($E15="PL",1,BW15/BX$7)</f>
        <v/>
      </c>
      <c r="BY15" s="594" t="n"/>
      <c r="BZ15" s="592" t="n"/>
      <c r="CA15" s="592">
        <f>IF($E15="FL",$AR15*$BQ15*$BR15*$BU15,$AR15)</f>
        <v/>
      </c>
      <c r="CB15" s="592">
        <f>IF($E15="FL",$BN15*$BQ15*$BR15*$BX15,$BN15)</f>
        <v/>
      </c>
      <c r="CC15" s="592" t="n"/>
      <c r="CD15" s="592">
        <f>IF($E15="FL",$CA15*(1-pre_FL),$CA15*(1-pre_PL))</f>
        <v/>
      </c>
      <c r="CE15" s="592">
        <f>IF($E15="FL",$CB15*(1-post_FL),$CB15*(1-post_PL))</f>
        <v/>
      </c>
      <c r="CF15" s="592" t="n"/>
      <c r="CG15" s="599">
        <f>CD15-CE15</f>
        <v/>
      </c>
      <c r="CH15" s="599">
        <f>MIN(CG15,IF(W15=Ret_Yr_pre,1,$X15)*Cap)</f>
        <v/>
      </c>
      <c r="CI15" s="128" t="n"/>
      <c r="CJ15" s="37">
        <f>IF(D15&gt;Current,Current,D15)</f>
        <v/>
      </c>
      <c r="CK15" s="37">
        <f>MATCH($CJ15,Tax_Tables[Tax Year],0)</f>
        <v/>
      </c>
      <c r="CL15" s="600" t="n">
        <v>0</v>
      </c>
      <c r="CM15" s="600">
        <f t="array" ref="CM15">INDEX(Tax_Tables[[Limits]:[Limits]],$CK15+CM$8)</f>
        <v/>
      </c>
      <c r="CN15" s="600">
        <f t="array" ref="CN15">INDEX(Tax_Tables[[Limits]:[Limits]],$CK15+CN$8)</f>
        <v/>
      </c>
      <c r="CO15" s="600">
        <f t="array" ref="CO15">INDEX(Tax_Tables[[Limits]:[Limits]],$CK15+CO$8)</f>
        <v/>
      </c>
      <c r="CP15" s="600">
        <f t="array" ref="CP15">INDEX(Tax_Tables[[Limits]:[Limits]],$CK15+CP$8)</f>
        <v/>
      </c>
      <c r="CQ15" s="600">
        <f t="array" ref="CQ15">INDEX(Tax_Tables[[Limits]:[Limits]],$CK15+CQ$8)</f>
        <v/>
      </c>
      <c r="CR15" s="600">
        <f t="array" ref="CR15">INDEX(Tax_Tables[[Limits]:[Limits]],$CK15+CR$8)</f>
        <v/>
      </c>
      <c r="CS15" s="37">
        <f>INDEX(Rebate[&lt;65],MATCH($CJ15,Rebate[[Tax Year]:[Tax Year]],0))</f>
        <v/>
      </c>
      <c r="CT15" s="37">
        <f>INDEX(Rebate[&lt;75],MATCH($CJ15,Rebate[[Tax Year]:[Tax Year]],0))</f>
        <v/>
      </c>
      <c r="CU15" s="37">
        <f>INDEX(Rebate[&gt;75],MATCH($CJ15,Rebate[[Tax Year]:[Tax Year]],0))</f>
        <v/>
      </c>
      <c r="CV15" s="37">
        <f>INDEX(Tax_Credit[Principal],MATCH($CJ15,Tax_Credit[[Tax Year]:[Tax Year]],0))</f>
        <v/>
      </c>
      <c r="CW15" s="37">
        <f>INDEX(Tax_Credit[First Dependant],MATCH($CJ15,Tax_Credit[[Tax Year]:[Tax Year]],0))</f>
        <v/>
      </c>
      <c r="CX15" s="37">
        <f>INDEX(Tax_Credit[Each Additional],MATCH($CJ15,Tax_Credit[[Tax Year]:[Tax Year]],0))</f>
        <v/>
      </c>
      <c r="CY15" s="484">
        <f>Y15</f>
        <v/>
      </c>
      <c r="CZ15" s="601">
        <f>AP15</f>
        <v/>
      </c>
      <c r="DA15" s="37">
        <f t="array" ref="DA15">INDEX($CL15:$CR15,0,MATCH($CZ15,$CL15:$CR15,1))</f>
        <v/>
      </c>
      <c r="DB15" s="37">
        <f t="array" ref="DB15">IFERROR(INDEX(Tax_Tables[Percentages],$CK15+MATCH($DA15,$CL15:$CR15,0)-1),"")</f>
        <v/>
      </c>
      <c r="DC15" s="37">
        <f t="array" ref="DC15">IFERROR(INDEX(Tax_Tables[Tax],$CK15+MATCH($DA15,$CL15:$CR15,0)-1),"")</f>
        <v/>
      </c>
      <c r="DD15" s="37">
        <f>IF(CY15&lt;65,CS15,IF(CY15&lt;75,CT15,CU15))</f>
        <v/>
      </c>
      <c r="DE15" s="37">
        <f>CV15*(Summary!$C$31="Y")+(Summary!$C$31="Y")*(CW15*(Pre_MDep&gt;=1)+CX15*MAX(Pre_MDep-1,0))</f>
        <v/>
      </c>
      <c r="DF15" s="599">
        <f>IFERROR(MAX(DB15*(CZ15-DA15)+DC15-DD15-DE15*12,0),"")</f>
        <v/>
      </c>
      <c r="DG15" s="602" t="n"/>
      <c r="DH15" s="601">
        <f>BL15</f>
        <v/>
      </c>
      <c r="DI15" s="37">
        <f t="array" ref="DI15">INDEX($CL15:$CR15,0,MATCH($DH15,$CL15:$CR15,1))</f>
        <v/>
      </c>
      <c r="DJ15" s="37">
        <f t="array" ref="DJ15">IFERROR(INDEX(Tax_Tables[Percentages],$CK15+MATCH($DI15,$CL15:$CR15,0)-1),"")</f>
        <v/>
      </c>
      <c r="DK15" s="37">
        <f t="array" ref="DK15">IFERROR(INDEX(Tax_Tables[Tax],$CK15+MATCH($DI15,$CL15:$CR15,0)-1),"")</f>
        <v/>
      </c>
      <c r="DL15" s="37">
        <f>CV15*(Summary!$C$81="Y")+(Summary!$C$81="Y")*(CW15*(Post_MDep&gt;=1)+CX15*MAX(Post_MDep-1,0))</f>
        <v/>
      </c>
      <c r="DM15" s="599">
        <f>IFERROR(MAX(DJ15*(DH15-DI15)+DK15-DD15-DL15*12,0),"")</f>
        <v/>
      </c>
      <c r="DN15" s="601" t="n"/>
      <c r="DO15" s="37" t="n"/>
      <c r="DP15" s="37" t="n"/>
      <c r="DQ15" s="37" t="n"/>
      <c r="DR15" s="37" t="n"/>
      <c r="DS15" s="37" t="n"/>
      <c r="DT15" s="37" t="n"/>
      <c r="DU15" s="37" t="n"/>
      <c r="DV15" s="37" t="n"/>
      <c r="DW15" s="37" t="n"/>
      <c r="DX15" s="599" t="n"/>
      <c r="DY15" s="131" t="n"/>
      <c r="DZ15" s="601" t="n"/>
      <c r="EA15" s="37" t="n"/>
      <c r="EB15" s="37" t="n"/>
      <c r="EC15" s="37" t="n"/>
      <c r="ED15" s="599" t="n"/>
      <c r="EE15" s="595" t="n"/>
      <c r="EF15" s="25" t="n"/>
    </row>
    <row r="16">
      <c r="B16" s="43" t="n"/>
      <c r="C16" s="596">
        <f>C15+D16-D15</f>
        <v/>
      </c>
      <c r="D16" s="160">
        <f>AU16</f>
        <v/>
      </c>
      <c r="E16" s="87">
        <f>IF(DoC=V16,"Calc Date",IF(V16&lt;DoC,"PL","FL"))</f>
        <v/>
      </c>
      <c r="F16" s="310">
        <f>IF(Summary!D9="",F15,Summary!D9)</f>
        <v/>
      </c>
      <c r="G16" s="31">
        <f>VLOOKUP(F16,C$10:D$148,2)</f>
        <v/>
      </c>
      <c r="H16" s="314">
        <f>IF(Summary!G9="",H15,Summary!G9)</f>
        <v/>
      </c>
      <c r="I16" s="282">
        <f>IF(Summary!E9="",I15,Summary!E9)</f>
        <v/>
      </c>
      <c r="J16" s="589">
        <f>I16*index/VLOOKUP($H16,CPI!A:E,4,FALSE)</f>
        <v/>
      </c>
      <c r="K16" s="589">
        <f>IF(L16="Linear",(J16-J15)/(G16-G15),0)</f>
        <v/>
      </c>
      <c r="L16" s="308">
        <f>IF(Summary!H9="",L15,Summary!H9)</f>
        <v/>
      </c>
      <c r="M16" s="137" t="n"/>
      <c r="N16" s="310">
        <f>IF(Summary!D59="",N15,Summary!D59)</f>
        <v/>
      </c>
      <c r="O16" s="31">
        <f>O15+N16-N15</f>
        <v/>
      </c>
      <c r="P16" s="314">
        <f>IF(Summary!G59="",P15,Summary!G59)</f>
        <v/>
      </c>
      <c r="Q16" s="282">
        <f>IF(Summary!E59="",Q15,Summary!E59)</f>
        <v/>
      </c>
      <c r="R16" s="589">
        <f>Q16*index/VLOOKUP($P16,CPI!A:E,4,FALSE)</f>
        <v/>
      </c>
      <c r="S16" s="589">
        <f>IF(T16="Linear",(R16-R15)/(O16-O15),0)</f>
        <v/>
      </c>
      <c r="T16" s="308">
        <f>IF(Summary!H59="",T15,Summary!H59)</f>
        <v/>
      </c>
      <c r="U16" s="144" t="n"/>
      <c r="V16" s="6">
        <f>IF(AND($V15=DoA,MONTH(V15)&lt;3),DATE(YEAR(DoA),3,1),IF(AND(IFERROR(DATEDIF(V15,DoC,"M"),12)&lt;12,IFERROR(DATEDIF(V15,DoC,"M"),12)&gt;0),DoC,DATE(YEAR(V15)+(1-AND(YEAR(DoC)=Current,V15=DoC)-AND(V15=DoA,MONTH(V15)&lt;3)),3,1)))</f>
        <v/>
      </c>
      <c r="W16" s="31">
        <f>IF(V16=DoR_Pre,IF(MONTH(DoR_Pre)&gt;3,YEAR(DoR_Pre)+1,YEAR(DoR_Pre)),IF(MONTH(V16)&gt;3,Current,YEAR(V16)))</f>
        <v/>
      </c>
      <c r="X16" s="597">
        <f>IF(W16=Current,ROUND((V16-V15)/365.25,5),_xlfn.IFNA(INDEX(Summary!$A$5:$A$22,MATCH('LOE Sc1'!W16,Summary!$C$5:$C$22,0)),IF(W16=Ret_Yr_pre,ROUND((DoR_Pre-V15)/365.25,5),ROUND((V16-V15)/365.25,2))))</f>
        <v/>
      </c>
      <c r="Y16" s="55">
        <f>IF(AND(V16=DoC,MONTH(DoC)&lt;&gt;3),ROUNDDOWN(DATEDIF(DoB,V17,"M")/12,),ROUNDDOWN(DATEDIF(DoB,V16,"M")/12,))</f>
        <v/>
      </c>
      <c r="Z16" s="590" t="n"/>
      <c r="AA16" s="25">
        <f>MAX(RetAge_Pre-Y16,0)</f>
        <v/>
      </c>
      <c r="AB16" s="26">
        <f t="array" ref="AB16">IF(W16&gt;Ret_Yr_pre,0,_xlfn.IFNA(VLOOKUP(Y16,F$11:J$1000,5,),IF(AND(W16=Current,V16&gt;DoC,MONTH(DoC)&lt;&gt;3),AB15,AB15+INDEX(K$11:K$1000,MATCH(Y16,F$11:F$1000,1)+1))))</f>
        <v/>
      </c>
      <c r="AC16" s="590">
        <f>IF(V16&lt;DoC,AB16*VLOOKUP(YEAR(V16),CPI!A:E,4,FALSE)/index,AB16*real_i^INT(BP16))</f>
        <v/>
      </c>
      <c r="AD16" s="590">
        <f>$AC16/12*Bonus</f>
        <v/>
      </c>
      <c r="AE16" s="590">
        <f>IF($E16="FL",MedSub*m^INT(BP16),MedSub)*IF(Summary!$C$31="Y",1,0)*(W16&lt;=Ret_Yr_pre)*(Summary!C$31="Y")</f>
        <v/>
      </c>
      <c r="AF16" s="590">
        <f>IF(Summary!$C$30="Y",IF(E16&lt;&gt;"PL",VLOOKUP(Current,'Housing Allowance'!$A:$B,2,),VLOOKUP(YEAR($V16),'Housing Allowance'!$A:$B,2,)),0)*(W16&lt;=Ret_Yr_pre)</f>
        <v/>
      </c>
      <c r="AG16" s="590">
        <f>AC16*overtime</f>
        <v/>
      </c>
      <c r="AH16" s="590">
        <f>AC16*allow_1</f>
        <v/>
      </c>
      <c r="AI16" s="590">
        <f>(AB16&lt;&gt;0)*12*allow_2</f>
        <v/>
      </c>
      <c r="AJ16" s="590" t="n"/>
      <c r="AK16" s="581">
        <f>IF(YEAR(W16)&lt;=Ret_Yr_pre,SUM(AC16:AJ16),0)*IF($W16=Ret_Yr_pre,X16,1)</f>
        <v/>
      </c>
      <c r="AL16" s="581">
        <f>IF($W16&gt;=Ret_Yr_pre,pens_Pre*(GEPF_pre="Y"),0)*IF($W16=Ret_Yr_pre,1-$X16,1)*IF(Ret_Yr_pre&lt;Current,(_xlfn.IFNA(VLOOKUP($D16,CPI!$A:$E,2,FALSE),VLOOKUP(Current,CPI!$A:$E,2,FALSE))/VLOOKUP(Ret_Yr_pre,CPI!$A:$E,2,FALSE)),1)</f>
        <v/>
      </c>
      <c r="AM16" s="590">
        <f>$AC16*ee*IF($W16=Ret_Yr_pre,$X16,1)</f>
        <v/>
      </c>
      <c r="AN16" s="590">
        <f>$AC16*er*IF($W16=Ret_Yr_pre,$X16,1)</f>
        <v/>
      </c>
      <c r="AO16" s="590">
        <f>IF('LOE Sc1'!$W16=Ret_Yr_pre,Gratuity_Pre*(GEPF_pre="Y"),0)</f>
        <v/>
      </c>
      <c r="AP16" s="581">
        <f>AK16+AL16-$AM16-AN16*(GEPF_pre="Y")</f>
        <v/>
      </c>
      <c r="AQ16" s="590">
        <f>IF(DF16&lt;0,0,DF16)</f>
        <v/>
      </c>
      <c r="AR16" s="581">
        <f>(AP16-AQ16+AM16*(AM$7="Y")+AN16*(AN$7="Y"))*IF(W16&lt;Ret_Yr_pre,X16,1)+AO16</f>
        <v/>
      </c>
      <c r="AS16" s="595" t="n"/>
      <c r="AT16" s="6">
        <f>V16</f>
        <v/>
      </c>
      <c r="AU16" s="31">
        <f>W16</f>
        <v/>
      </c>
      <c r="AV16" s="598">
        <f>IF(AU16=Current,ROUND((AT16-AT15)/365.25,5),_xlfn.IFNA(INDEX(Summary!$A$55:$A$72,MATCH('LOE Sc1'!AU16,Summary!$C$55:$C$72,0)),IF(AU16=Ret_Yr_post,ROUND((DoR_Post-AT15)/365.25,5),ROUND((AT16-AT15)/365.25,2))))</f>
        <v/>
      </c>
      <c r="AW16" s="55">
        <f>Y16</f>
        <v/>
      </c>
      <c r="AX16" s="26">
        <f t="array" ref="AX16">IF(AU16&gt;Ret_Yr_post,0,_xlfn.IFNA(VLOOKUP(AW16,N$11:S$1000,5,),IF(AND(AU16=Current,AT16&gt;DoC,MONTH(DoC)&lt;&gt;3),AX15,AX15+INDEX(S$11:S$1000,MATCH(AW16,N$11:N$1000,1)+1))))</f>
        <v/>
      </c>
      <c r="AY16" s="590">
        <f>IF($V16&lt;DoC,AX16*VLOOKUP(YEAR($V16),CPI_Table,4,FALSE)/index,AX16*real_i^INT(BP16))</f>
        <v/>
      </c>
      <c r="AZ16" s="590">
        <f>$AY16/12*Bonus_Post*($AW16&lt;=RetAge_Post)</f>
        <v/>
      </c>
      <c r="BA16" s="590">
        <f>IF($E16="FL",MedSub*m^INT(BP16),MedSub)*IF(Summary!$C$81="Y",1,0)*($AU16&lt;=Ret_Yr_post)*(Summary!$C$81="Y")</f>
        <v/>
      </c>
      <c r="BB16" s="590">
        <f>IF(Summary!$C$80="Y",IF($E16&lt;&gt;"PL",VLOOKUP(Current,'Housing Allowance'!$A:$B,2,),VLOOKUP(YEAR($AT16),'Housing Allowance'!$A:$B,2,)),0)*($AU16&lt;=Ret_Yr_post)</f>
        <v/>
      </c>
      <c r="BC16" s="590">
        <f>AY16*overtime_post</f>
        <v/>
      </c>
      <c r="BD16" s="590">
        <f>$AY16*allow_1_post</f>
        <v/>
      </c>
      <c r="BE16" s="590">
        <f>($AY16&lt;&gt;0)*allow_2_post*12</f>
        <v/>
      </c>
      <c r="BF16" s="590" t="n"/>
      <c r="BG16" s="581">
        <f>IF(YEAR($V16)&lt;=Ret_Yr_post,SUM(AY16:BF16),0)*IF($W16=Ret_Yr_post,AV16,1)</f>
        <v/>
      </c>
      <c r="BH16" s="581">
        <f>IF($W16&gt;=Ret_Yr_post,pens_Post*(GEPF_pre="Y"),0)*IF($W16=Ret_Yr_post,1-$AV16,1)*IF(Ret_Yr_post&lt;Current,(_xlfn.IFNA(VLOOKUP($D16,CPI!$A:$E,2,FALSE),VLOOKUP(Current,CPI!$A:$E,2,FALSE))/VLOOKUP(Ret_Yr_post,CPI!$A:$E,2,FALSE)),1)</f>
        <v/>
      </c>
      <c r="BI16" s="590">
        <f>$AY16*ee_post*IF($W16=Ret_Yr_post,$AV16,1)</f>
        <v/>
      </c>
      <c r="BJ16" s="590">
        <f>$AY16*er_post*IF($W16=Ret_Yr_post,$AV16,1)</f>
        <v/>
      </c>
      <c r="BK16" s="590">
        <f>IF('LOE Sc1'!$W16=Ret_Yr_post,Gratuity_Post*(GEPF_post="Y"),0)</f>
        <v/>
      </c>
      <c r="BL16" s="581">
        <f>BG16+BH16-BI16-BJ16*(GEPF_post="Y")</f>
        <v/>
      </c>
      <c r="BM16" s="590">
        <f>IF(DM16&lt;0,0,DM16)</f>
        <v/>
      </c>
      <c r="BN16" s="581">
        <f>(BL16-BM16+BI16*(BI$7="Y")+BJ16*(BJ$7="Y"))*IF($W16&lt;Ret_Yr_post,AV16,1)+BK16</f>
        <v/>
      </c>
      <c r="BO16" s="591" t="n"/>
      <c r="BP16" s="592">
        <f>IF($E16="FL",IF($X16&lt;=DoC,DATEDIF(DoC,$V16,"M")/12,0),0)</f>
        <v/>
      </c>
      <c r="BQ16" s="592">
        <f>IF($E16="FL",(1+CPI)^INT(BP16),0)</f>
        <v/>
      </c>
      <c r="BR16" s="592">
        <f>IF($E16="FL",IF(($BP16-0.5)&gt;=0,1/(1+d)^($BP16-0.5),1/(1+d)^($BP16)),0)</f>
        <v/>
      </c>
      <c r="BS16" s="592" t="n"/>
      <c r="BT16" s="25">
        <f>IF(gender="M",VLOOKUP($Y16+pre_mort+IF(MONTH(DoC)&lt;MONTH(DoB),IF(MONTH(DoC)&lt;3,0,-1),IF(MONTH(DoB)&lt;3,-1,0)),'SALT LIFE TABLES'!$A$7:$E$106,2),VLOOKUP($Y16+pre_mort+IF(MONTH(DoC)&lt;MONTH(DoB),IF(MONTH(DoC)&lt;3,0,-1),IF(MONTH(DoB)&lt;3,-1,0)),'SALT LIFE TABLES'!$A$7:$E$106,4))</f>
        <v/>
      </c>
      <c r="BU16" s="592">
        <f>IF($E16="PL",1,BT16/BU$7)</f>
        <v/>
      </c>
      <c r="BV16" s="593" t="n"/>
      <c r="BW16" s="25">
        <f>IF(gender="M",VLOOKUP($Y16+post_mort+IF(MONTH(DoC)&lt;MONTH(DoB),IF(MONTH(DoC)&lt;3,0,-1),IF(MONTH(DoB)&lt;3,-1,0)),'SALT LIFE TABLES'!$A$7:$E$106,2),VLOOKUP($Y16+post_mort+IF(MONTH(DoC)&lt;MONTH(DoB),IF(MONTH(DoC)&lt;3,0,-1),IF(MONTH(DoB)&lt;3,-1,0)),'SALT LIFE TABLES'!$A$7:$E$106,4))</f>
        <v/>
      </c>
      <c r="BX16" s="592">
        <f>IF($E16="PL",1,BW16/BX$7)</f>
        <v/>
      </c>
      <c r="BY16" s="594" t="n"/>
      <c r="BZ16" s="592" t="n"/>
      <c r="CA16" s="592">
        <f>IF($E16="FL",$AR16*$BQ16*$BR16*$BU16,$AR16)</f>
        <v/>
      </c>
      <c r="CB16" s="592">
        <f>IF($E16="FL",$BN16*$BQ16*$BR16*$BX16,$BN16)</f>
        <v/>
      </c>
      <c r="CC16" s="592" t="n"/>
      <c r="CD16" s="592">
        <f>IF($E16="FL",$CA16*(1-pre_FL),$CA16*(1-pre_PL))</f>
        <v/>
      </c>
      <c r="CE16" s="592">
        <f>IF($E16="FL",$CB16*(1-post_FL),$CB16*(1-post_PL))</f>
        <v/>
      </c>
      <c r="CF16" s="592" t="n"/>
      <c r="CG16" s="599">
        <f>CD16-CE16</f>
        <v/>
      </c>
      <c r="CH16" s="599">
        <f>MIN(CG16,IF(W16=Ret_Yr_pre,1,$X16)*Cap)</f>
        <v/>
      </c>
      <c r="CI16" s="128" t="n"/>
      <c r="CJ16" s="37">
        <f>IF(D16&gt;Current,Current,D16)</f>
        <v/>
      </c>
      <c r="CK16" s="37">
        <f>MATCH($CJ16,Tax_Tables[Tax Year],0)</f>
        <v/>
      </c>
      <c r="CL16" s="600" t="n">
        <v>0</v>
      </c>
      <c r="CM16" s="600">
        <f t="array" ref="CM16">INDEX(Tax_Tables[[Limits]:[Limits]],$CK16+CM$8)</f>
        <v/>
      </c>
      <c r="CN16" s="600">
        <f t="array" ref="CN16">INDEX(Tax_Tables[[Limits]:[Limits]],$CK16+CN$8)</f>
        <v/>
      </c>
      <c r="CO16" s="600">
        <f t="array" ref="CO16">INDEX(Tax_Tables[[Limits]:[Limits]],$CK16+CO$8)</f>
        <v/>
      </c>
      <c r="CP16" s="600">
        <f t="array" ref="CP16">INDEX(Tax_Tables[[Limits]:[Limits]],$CK16+CP$8)</f>
        <v/>
      </c>
      <c r="CQ16" s="600">
        <f t="array" ref="CQ16">INDEX(Tax_Tables[[Limits]:[Limits]],$CK16+CQ$8)</f>
        <v/>
      </c>
      <c r="CR16" s="600">
        <f t="array" ref="CR16">INDEX(Tax_Tables[[Limits]:[Limits]],$CK16+CR$8)</f>
        <v/>
      </c>
      <c r="CS16" s="37">
        <f>INDEX(Rebate[&lt;65],MATCH($CJ16,Rebate[[Tax Year]:[Tax Year]],0))</f>
        <v/>
      </c>
      <c r="CT16" s="37">
        <f>INDEX(Rebate[&lt;75],MATCH($CJ16,Rebate[[Tax Year]:[Tax Year]],0))</f>
        <v/>
      </c>
      <c r="CU16" s="37">
        <f>INDEX(Rebate[&gt;75],MATCH($CJ16,Rebate[[Tax Year]:[Tax Year]],0))</f>
        <v/>
      </c>
      <c r="CV16" s="37">
        <f>INDEX(Tax_Credit[Principal],MATCH($CJ16,Tax_Credit[[Tax Year]:[Tax Year]],0))</f>
        <v/>
      </c>
      <c r="CW16" s="37">
        <f>INDEX(Tax_Credit[First Dependant],MATCH($CJ16,Tax_Credit[[Tax Year]:[Tax Year]],0))</f>
        <v/>
      </c>
      <c r="CX16" s="37">
        <f>INDEX(Tax_Credit[Each Additional],MATCH($CJ16,Tax_Credit[[Tax Year]:[Tax Year]],0))</f>
        <v/>
      </c>
      <c r="CY16" s="484">
        <f>Y16</f>
        <v/>
      </c>
      <c r="CZ16" s="601">
        <f>AP16</f>
        <v/>
      </c>
      <c r="DA16" s="37">
        <f t="array" ref="DA16">INDEX($CL16:$CR16,0,MATCH($CZ16,$CL16:$CR16,1))</f>
        <v/>
      </c>
      <c r="DB16" s="37">
        <f t="array" ref="DB16">IFERROR(INDEX(Tax_Tables[Percentages],$CK16+MATCH($DA16,$CL16:$CR16,0)-1),"")</f>
        <v/>
      </c>
      <c r="DC16" s="37">
        <f t="array" ref="DC16">IFERROR(INDEX(Tax_Tables[Tax],$CK16+MATCH($DA16,$CL16:$CR16,0)-1),"")</f>
        <v/>
      </c>
      <c r="DD16" s="37">
        <f>IF(CY16&lt;65,CS16,IF(CY16&lt;75,CT16,CU16))</f>
        <v/>
      </c>
      <c r="DE16" s="37">
        <f>CV16*(Summary!$C$31="Y")+(Summary!$C$31="Y")*(CW16*(Pre_MDep&gt;=1)+CX16*MAX(Pre_MDep-1,0))</f>
        <v/>
      </c>
      <c r="DF16" s="599">
        <f>IFERROR(MAX(DB16*(CZ16-DA16)+DC16-DD16-DE16*12,0),"")</f>
        <v/>
      </c>
      <c r="DG16" s="602" t="n"/>
      <c r="DH16" s="601">
        <f>BL16</f>
        <v/>
      </c>
      <c r="DI16" s="37">
        <f t="array" ref="DI16">INDEX($CL16:$CR16,0,MATCH($DH16,$CL16:$CR16,1))</f>
        <v/>
      </c>
      <c r="DJ16" s="37">
        <f t="array" ref="DJ16">IFERROR(INDEX(Tax_Tables[Percentages],$CK16+MATCH($DI16,$CL16:$CR16,0)-1),"")</f>
        <v/>
      </c>
      <c r="DK16" s="37">
        <f t="array" ref="DK16">IFERROR(INDEX(Tax_Tables[Tax],$CK16+MATCH($DI16,$CL16:$CR16,0)-1),"")</f>
        <v/>
      </c>
      <c r="DL16" s="37">
        <f>CV16*(Summary!$C$81="Y")+(Summary!$C$81="Y")*(CW16*(Post_MDep&gt;=1)+CX16*MAX(Post_MDep-1,0))</f>
        <v/>
      </c>
      <c r="DM16" s="599">
        <f>IFERROR(MAX(DJ16*(DH16-DI16)+DK16-DD16-DL16*12,0),"")</f>
        <v/>
      </c>
      <c r="DN16" s="601" t="n"/>
      <c r="DO16" s="37" t="n"/>
      <c r="DP16" s="37" t="n"/>
      <c r="DQ16" s="37" t="n"/>
      <c r="DR16" s="37" t="n"/>
      <c r="DS16" s="37" t="n"/>
      <c r="DT16" s="37" t="n"/>
      <c r="DU16" s="37" t="n"/>
      <c r="DV16" s="37" t="n"/>
      <c r="DW16" s="37" t="n"/>
      <c r="DX16" s="599" t="n"/>
      <c r="DY16" s="131" t="n"/>
      <c r="DZ16" s="601" t="n"/>
      <c r="EA16" s="37" t="n"/>
      <c r="EB16" s="37" t="n"/>
      <c r="EC16" s="37" t="n"/>
      <c r="ED16" s="599" t="n"/>
      <c r="EE16" s="595" t="n"/>
      <c r="EF16" s="25" t="n"/>
    </row>
    <row r="17">
      <c r="B17" s="43" t="n"/>
      <c r="C17" s="596">
        <f>C16+D17-D16</f>
        <v/>
      </c>
      <c r="D17" s="160">
        <f>AU17</f>
        <v/>
      </c>
      <c r="E17" s="87">
        <f>IF(DoC=V17,"Calc Date",IF(V17&lt;DoC,"PL","FL"))</f>
        <v/>
      </c>
      <c r="F17" s="310">
        <f>IF(Summary!D10="",F16,Summary!D10)</f>
        <v/>
      </c>
      <c r="G17" s="31">
        <f>VLOOKUP(F17,C$10:D$148,2)</f>
        <v/>
      </c>
      <c r="H17" s="314">
        <f>IF(Summary!G10="",H16,Summary!G10)</f>
        <v/>
      </c>
      <c r="I17" s="282">
        <f>IF(Summary!E10="",I16,Summary!E10)</f>
        <v/>
      </c>
      <c r="J17" s="589">
        <f>I17*index/VLOOKUP($H17,CPI!A:E,4,FALSE)</f>
        <v/>
      </c>
      <c r="K17" s="589">
        <f>IF(L17="Linear",(J17-J16)/(G17-G16),0)</f>
        <v/>
      </c>
      <c r="L17" s="308">
        <f>IF(Summary!H10="",L16,Summary!H10)</f>
        <v/>
      </c>
      <c r="M17" s="137" t="n"/>
      <c r="N17" s="310">
        <f>IF(Summary!D60="",N16,Summary!D60)</f>
        <v/>
      </c>
      <c r="O17" s="31">
        <f>O16+N17-N16</f>
        <v/>
      </c>
      <c r="P17" s="314">
        <f>IF(Summary!G60="",P16,Summary!G60)</f>
        <v/>
      </c>
      <c r="Q17" s="282">
        <f>IF(Summary!E60="",Q16,Summary!E60)</f>
        <v/>
      </c>
      <c r="R17" s="589">
        <f>Q17*index/VLOOKUP($P17,CPI!A:E,4,FALSE)</f>
        <v/>
      </c>
      <c r="S17" s="589">
        <f>IF(T17="Linear",(R17-R16)/(O17-O16),0)</f>
        <v/>
      </c>
      <c r="T17" s="308">
        <f>IF(Summary!H60="",T16,Summary!H60)</f>
        <v/>
      </c>
      <c r="U17" s="144" t="n"/>
      <c r="V17" s="6">
        <f>IF(AND($V16=DoA,MONTH(V16)&lt;3),DATE(YEAR(DoA),3,1),IF(AND(IFERROR(DATEDIF(V16,DoC,"M"),12)&lt;12,IFERROR(DATEDIF(V16,DoC,"M"),12)&gt;0),DoC,DATE(YEAR(V16)+(1-AND(YEAR(DoC)=Current,V16=DoC)-AND(V16=DoA,MONTH(V16)&lt;3)),3,1)))</f>
        <v/>
      </c>
      <c r="W17" s="31">
        <f>IF(V17=DoR_Pre,IF(MONTH(DoR_Pre)&gt;3,YEAR(DoR_Pre)+1,YEAR(DoR_Pre)),IF(MONTH(V17)&gt;3,Current,YEAR(V17)))</f>
        <v/>
      </c>
      <c r="X17" s="597">
        <f>IF(W17=Current,ROUND((V17-V16)/365.25,5),_xlfn.IFNA(INDEX(Summary!$A$5:$A$22,MATCH('LOE Sc1'!W17,Summary!$C$5:$C$22,0)),IF(W17=Ret_Yr_pre,ROUND((DoR_Pre-V16)/365.25,5),ROUND((V17-V16)/365.25,2))))</f>
        <v/>
      </c>
      <c r="Y17" s="55">
        <f>IF(AND(V17=DoC,MONTH(DoC)&lt;&gt;3),ROUNDDOWN(DATEDIF(DoB,V18,"M")/12,),ROUNDDOWN(DATEDIF(DoB,V17,"M")/12,))</f>
        <v/>
      </c>
      <c r="Z17" s="590" t="n"/>
      <c r="AA17" s="25">
        <f>MAX(RetAge_Pre-Y17,0)</f>
        <v/>
      </c>
      <c r="AB17" s="26">
        <f t="array" ref="AB17">IF(W17&gt;Ret_Yr_pre,0,_xlfn.IFNA(VLOOKUP(Y17,F$11:J$1000,5,),IF(AND(W17=Current,V17&gt;DoC,MONTH(DoC)&lt;&gt;3),AB16,AB16+INDEX(K$11:K$1000,MATCH(Y17,F$11:F$1000,1)+1))))</f>
        <v/>
      </c>
      <c r="AC17" s="590">
        <f>IF(V17&lt;DoC,AB17*VLOOKUP(YEAR(V17),CPI!A:E,4,FALSE)/index,AB17*real_i^INT(BP17))</f>
        <v/>
      </c>
      <c r="AD17" s="590">
        <f>$AC17/12*Bonus</f>
        <v/>
      </c>
      <c r="AE17" s="590">
        <f>IF($E17="FL",MedSub*m^INT(BP17),MedSub)*IF(Summary!$C$31="Y",1,0)*(W17&lt;=Ret_Yr_pre)*(Summary!C$31="Y")</f>
        <v/>
      </c>
      <c r="AF17" s="590">
        <f>IF(Summary!$C$30="Y",IF(E17&lt;&gt;"PL",VLOOKUP(Current,'Housing Allowance'!$A:$B,2,),VLOOKUP(YEAR($V17),'Housing Allowance'!$A:$B,2,)),0)*(W17&lt;=Ret_Yr_pre)</f>
        <v/>
      </c>
      <c r="AG17" s="590">
        <f>AC17*overtime</f>
        <v/>
      </c>
      <c r="AH17" s="590">
        <f>AC17*allow_1</f>
        <v/>
      </c>
      <c r="AI17" s="590">
        <f>(AB17&lt;&gt;0)*12*allow_2</f>
        <v/>
      </c>
      <c r="AJ17" s="590" t="n"/>
      <c r="AK17" s="581">
        <f>IF(YEAR(W17)&lt;=Ret_Yr_pre,SUM(AC17:AJ17),0)*IF($W17=Ret_Yr_pre,X17,1)</f>
        <v/>
      </c>
      <c r="AL17" s="581">
        <f>IF($W17&gt;=Ret_Yr_pre,pens_Pre*(GEPF_pre="Y"),0)*IF($W17=Ret_Yr_pre,1-$X17,1)*IF(Ret_Yr_pre&lt;Current,(_xlfn.IFNA(VLOOKUP($D17,CPI!$A:$E,2,FALSE),VLOOKUP(Current,CPI!$A:$E,2,FALSE))/VLOOKUP(Ret_Yr_pre,CPI!$A:$E,2,FALSE)),1)</f>
        <v/>
      </c>
      <c r="AM17" s="590">
        <f>$AC17*ee*IF($W17=Ret_Yr_pre,$X17,1)</f>
        <v/>
      </c>
      <c r="AN17" s="590">
        <f>$AC17*er*IF($W17=Ret_Yr_pre,$X17,1)</f>
        <v/>
      </c>
      <c r="AO17" s="590">
        <f>IF('LOE Sc1'!$W17=Ret_Yr_pre,Gratuity_Pre*(GEPF_pre="Y"),0)</f>
        <v/>
      </c>
      <c r="AP17" s="581">
        <f>AK17+AL17-$AM17-AN17*(GEPF_pre="Y")</f>
        <v/>
      </c>
      <c r="AQ17" s="590">
        <f>IF(DF17&lt;0,0,DF17)</f>
        <v/>
      </c>
      <c r="AR17" s="581">
        <f>(AP17-AQ17+AM17*(AM$7="Y")+AN17*(AN$7="Y"))*IF(W17&lt;Ret_Yr_pre,X17,1)+AO17</f>
        <v/>
      </c>
      <c r="AS17" s="595" t="n"/>
      <c r="AT17" s="6">
        <f>V17</f>
        <v/>
      </c>
      <c r="AU17" s="31">
        <f>W17</f>
        <v/>
      </c>
      <c r="AV17" s="598">
        <f>IF(AU17=Current,ROUND((AT17-AT16)/365.25,5),_xlfn.IFNA(INDEX(Summary!$A$55:$A$72,MATCH('LOE Sc1'!AU17,Summary!$C$55:$C$72,0)),IF(AU17=Ret_Yr_post,ROUND((DoR_Post-AT16)/365.25,5),ROUND((AT17-AT16)/365.25,2))))</f>
        <v/>
      </c>
      <c r="AW17" s="55">
        <f>Y17</f>
        <v/>
      </c>
      <c r="AX17" s="26">
        <f t="array" ref="AX17">IF(AU17&gt;Ret_Yr_post,0,_xlfn.IFNA(VLOOKUP(AW17,N$11:S$1000,5,),IF(AND(AU17=Current,AT17&gt;DoC,MONTH(DoC)&lt;&gt;3),AX16,AX16+INDEX(S$11:S$1000,MATCH(AW17,N$11:N$1000,1)+1))))</f>
        <v/>
      </c>
      <c r="AY17" s="590">
        <f>IF($V17&lt;DoC,AX17*VLOOKUP(YEAR($V17),CPI_Table,4,FALSE)/index,AX17*real_i^INT(BP17))</f>
        <v/>
      </c>
      <c r="AZ17" s="590">
        <f>$AY17/12*Bonus_Post*($AW17&lt;=RetAge_Post)</f>
        <v/>
      </c>
      <c r="BA17" s="590">
        <f>IF($E17="FL",MedSub*m^INT(BP17),MedSub)*IF(Summary!$C$81="Y",1,0)*($AU17&lt;=Ret_Yr_post)*(Summary!$C$81="Y")</f>
        <v/>
      </c>
      <c r="BB17" s="590">
        <f>IF(Summary!$C$80="Y",IF($E17&lt;&gt;"PL",VLOOKUP(Current,'Housing Allowance'!$A:$B,2,),VLOOKUP(YEAR($AT17),'Housing Allowance'!$A:$B,2,)),0)*($AU17&lt;=Ret_Yr_post)</f>
        <v/>
      </c>
      <c r="BC17" s="590">
        <f>AY17*overtime_post</f>
        <v/>
      </c>
      <c r="BD17" s="590">
        <f>$AY17*allow_1_post</f>
        <v/>
      </c>
      <c r="BE17" s="590">
        <f>($AY17&lt;&gt;0)*allow_2_post*12</f>
        <v/>
      </c>
      <c r="BF17" s="590" t="n"/>
      <c r="BG17" s="581">
        <f>IF(YEAR($V17)&lt;=Ret_Yr_post,SUM(AY17:BF17),0)*IF($W17=Ret_Yr_post,AV17,1)</f>
        <v/>
      </c>
      <c r="BH17" s="581">
        <f>IF($W17&gt;=Ret_Yr_post,pens_Post*(GEPF_pre="Y"),0)*IF($W17=Ret_Yr_post,1-$AV17,1)*IF(Ret_Yr_post&lt;Current,(_xlfn.IFNA(VLOOKUP($D17,CPI!$A:$E,2,FALSE),VLOOKUP(Current,CPI!$A:$E,2,FALSE))/VLOOKUP(Ret_Yr_post,CPI!$A:$E,2,FALSE)),1)</f>
        <v/>
      </c>
      <c r="BI17" s="590">
        <f>$AY17*ee_post*IF($W17=Ret_Yr_post,$AV17,1)</f>
        <v/>
      </c>
      <c r="BJ17" s="590">
        <f>$AY17*er_post*IF($W17=Ret_Yr_post,$AV17,1)</f>
        <v/>
      </c>
      <c r="BK17" s="590">
        <f>IF('LOE Sc1'!$W17=Ret_Yr_post,Gratuity_Post*(GEPF_post="Y"),0)</f>
        <v/>
      </c>
      <c r="BL17" s="581">
        <f>BG17+BH17-BI17-BJ17*(GEPF_post="Y")</f>
        <v/>
      </c>
      <c r="BM17" s="590">
        <f>IF(DM17&lt;0,0,DM17)</f>
        <v/>
      </c>
      <c r="BN17" s="581">
        <f>(BL17-BM17+BI17*(BI$7="Y")+BJ17*(BJ$7="Y"))*IF($W17&lt;Ret_Yr_post,AV17,1)+BK17</f>
        <v/>
      </c>
      <c r="BO17" s="591" t="n"/>
      <c r="BP17" s="592">
        <f>IF($E17="FL",IF($X17&lt;=DoC,DATEDIF(DoC,$V17,"M")/12,0),0)</f>
        <v/>
      </c>
      <c r="BQ17" s="592">
        <f>IF($E17="FL",(1+CPI)^INT(BP17),0)</f>
        <v/>
      </c>
      <c r="BR17" s="592">
        <f>IF($E17="FL",IF(($BP17-0.5)&gt;=0,1/(1+d)^($BP17-0.5),1/(1+d)^($BP17)),0)</f>
        <v/>
      </c>
      <c r="BS17" s="592" t="n"/>
      <c r="BT17" s="25">
        <f>IF(gender="M",VLOOKUP($Y17+pre_mort+IF(MONTH(DoC)&lt;MONTH(DoB),IF(MONTH(DoC)&lt;3,0,-1),IF(MONTH(DoB)&lt;3,-1,0)),'SALT LIFE TABLES'!$A$7:$E$106,2),VLOOKUP($Y17+pre_mort+IF(MONTH(DoC)&lt;MONTH(DoB),IF(MONTH(DoC)&lt;3,0,-1),IF(MONTH(DoB)&lt;3,-1,0)),'SALT LIFE TABLES'!$A$7:$E$106,4))</f>
        <v/>
      </c>
      <c r="BU17" s="592">
        <f>IF($E17="PL",1,BT17/BU$7)</f>
        <v/>
      </c>
      <c r="BV17" s="593" t="n"/>
      <c r="BW17" s="25">
        <f>IF(gender="M",VLOOKUP($Y17+post_mort+IF(MONTH(DoC)&lt;MONTH(DoB),IF(MONTH(DoC)&lt;3,0,-1),IF(MONTH(DoB)&lt;3,-1,0)),'SALT LIFE TABLES'!$A$7:$E$106,2),VLOOKUP($Y17+post_mort+IF(MONTH(DoC)&lt;MONTH(DoB),IF(MONTH(DoC)&lt;3,0,-1),IF(MONTH(DoB)&lt;3,-1,0)),'SALT LIFE TABLES'!$A$7:$E$106,4))</f>
        <v/>
      </c>
      <c r="BX17" s="592">
        <f>IF($E17="PL",1,BW17/BX$7)</f>
        <v/>
      </c>
      <c r="BY17" s="594" t="n"/>
      <c r="BZ17" s="592" t="n"/>
      <c r="CA17" s="592">
        <f>IF($E17="FL",$AR17*$BQ17*$BR17*$BU17,$AR17)</f>
        <v/>
      </c>
      <c r="CB17" s="592">
        <f>IF($E17="FL",$BN17*$BQ17*$BR17*$BX17,$BN17)</f>
        <v/>
      </c>
      <c r="CC17" s="592" t="n"/>
      <c r="CD17" s="592">
        <f>IF($E17="FL",$CA17*(1-pre_FL),$CA17*(1-pre_PL))</f>
        <v/>
      </c>
      <c r="CE17" s="592">
        <f>IF($E17="FL",$CB17*(1-post_FL),$CB17*(1-post_PL))</f>
        <v/>
      </c>
      <c r="CF17" s="592" t="n"/>
      <c r="CG17" s="599">
        <f>CD17-CE17</f>
        <v/>
      </c>
      <c r="CH17" s="599">
        <f>MIN(CG17,IF(W17=Ret_Yr_pre,1,$X17)*Cap)</f>
        <v/>
      </c>
      <c r="CI17" s="128" t="n"/>
      <c r="CJ17" s="37">
        <f>IF(D17&gt;Current,Current,D17)</f>
        <v/>
      </c>
      <c r="CK17" s="37">
        <f>MATCH($CJ17,Tax_Tables[Tax Year],0)</f>
        <v/>
      </c>
      <c r="CL17" s="600" t="n">
        <v>0</v>
      </c>
      <c r="CM17" s="600">
        <f t="array" ref="CM17">INDEX(Tax_Tables[[Limits]:[Limits]],$CK17+CM$8)</f>
        <v/>
      </c>
      <c r="CN17" s="600">
        <f t="array" ref="CN17">INDEX(Tax_Tables[[Limits]:[Limits]],$CK17+CN$8)</f>
        <v/>
      </c>
      <c r="CO17" s="600">
        <f t="array" ref="CO17">INDEX(Tax_Tables[[Limits]:[Limits]],$CK17+CO$8)</f>
        <v/>
      </c>
      <c r="CP17" s="600">
        <f t="array" ref="CP17">INDEX(Tax_Tables[[Limits]:[Limits]],$CK17+CP$8)</f>
        <v/>
      </c>
      <c r="CQ17" s="600">
        <f t="array" ref="CQ17">INDEX(Tax_Tables[[Limits]:[Limits]],$CK17+CQ$8)</f>
        <v/>
      </c>
      <c r="CR17" s="600">
        <f t="array" ref="CR17">INDEX(Tax_Tables[[Limits]:[Limits]],$CK17+CR$8)</f>
        <v/>
      </c>
      <c r="CS17" s="37">
        <f>INDEX(Rebate[&lt;65],MATCH($CJ17,Rebate[[Tax Year]:[Tax Year]],0))</f>
        <v/>
      </c>
      <c r="CT17" s="37">
        <f>INDEX(Rebate[&lt;75],MATCH($CJ17,Rebate[[Tax Year]:[Tax Year]],0))</f>
        <v/>
      </c>
      <c r="CU17" s="37">
        <f>INDEX(Rebate[&gt;75],MATCH($CJ17,Rebate[[Tax Year]:[Tax Year]],0))</f>
        <v/>
      </c>
      <c r="CV17" s="37">
        <f>INDEX(Tax_Credit[Principal],MATCH($CJ17,Tax_Credit[[Tax Year]:[Tax Year]],0))</f>
        <v/>
      </c>
      <c r="CW17" s="37">
        <f>INDEX(Tax_Credit[First Dependant],MATCH($CJ17,Tax_Credit[[Tax Year]:[Tax Year]],0))</f>
        <v/>
      </c>
      <c r="CX17" s="37">
        <f>INDEX(Tax_Credit[Each Additional],MATCH($CJ17,Tax_Credit[[Tax Year]:[Tax Year]],0))</f>
        <v/>
      </c>
      <c r="CY17" s="484">
        <f>Y17</f>
        <v/>
      </c>
      <c r="CZ17" s="601">
        <f>AP17</f>
        <v/>
      </c>
      <c r="DA17" s="37">
        <f t="array" ref="DA17">INDEX($CL17:$CR17,0,MATCH($CZ17,$CL17:$CR17,1))</f>
        <v/>
      </c>
      <c r="DB17" s="37">
        <f t="array" ref="DB17">IFERROR(INDEX(Tax_Tables[Percentages],$CK17+MATCH($DA17,$CL17:$CR17,0)-1),"")</f>
        <v/>
      </c>
      <c r="DC17" s="37">
        <f t="array" ref="DC17">IFERROR(INDEX(Tax_Tables[Tax],$CK17+MATCH($DA17,$CL17:$CR17,0)-1),"")</f>
        <v/>
      </c>
      <c r="DD17" s="37">
        <f>IF(CY17&lt;65,CS17,IF(CY17&lt;75,CT17,CU17))</f>
        <v/>
      </c>
      <c r="DE17" s="37">
        <f>CV17*(Summary!$C$31="Y")+(Summary!$C$31="Y")*(CW17*(Pre_MDep&gt;=1)+CX17*MAX(Pre_MDep-1,0))</f>
        <v/>
      </c>
      <c r="DF17" s="599">
        <f>IFERROR(MAX(DB17*(CZ17-DA17)+DC17-DD17-DE17*12,0),"")</f>
        <v/>
      </c>
      <c r="DG17" s="602" t="n"/>
      <c r="DH17" s="601">
        <f>BL17</f>
        <v/>
      </c>
      <c r="DI17" s="37">
        <f t="array" ref="DI17">INDEX($CL17:$CR17,0,MATCH($DH17,$CL17:$CR17,1))</f>
        <v/>
      </c>
      <c r="DJ17" s="37">
        <f t="array" ref="DJ17">IFERROR(INDEX(Tax_Tables[Percentages],$CK17+MATCH($DI17,$CL17:$CR17,0)-1),"")</f>
        <v/>
      </c>
      <c r="DK17" s="37">
        <f t="array" ref="DK17">IFERROR(INDEX(Tax_Tables[Tax],$CK17+MATCH($DI17,$CL17:$CR17,0)-1),"")</f>
        <v/>
      </c>
      <c r="DL17" s="37">
        <f>CV17*(Summary!$C$81="Y")+(Summary!$C$81="Y")*(CW17*(Post_MDep&gt;=1)+CX17*MAX(Post_MDep-1,0))</f>
        <v/>
      </c>
      <c r="DM17" s="599">
        <f>IFERROR(MAX(DJ17*(DH17-DI17)+DK17-DD17-DL17*12,0),"")</f>
        <v/>
      </c>
      <c r="DN17" s="601" t="n"/>
      <c r="DO17" s="37" t="n"/>
      <c r="DP17" s="37" t="n"/>
      <c r="DQ17" s="37" t="n"/>
      <c r="DR17" s="37" t="n"/>
      <c r="DS17" s="37" t="n"/>
      <c r="DT17" s="37" t="n"/>
      <c r="DU17" s="37" t="n"/>
      <c r="DV17" s="37" t="n"/>
      <c r="DW17" s="37" t="n"/>
      <c r="DX17" s="599" t="n"/>
      <c r="DY17" s="131" t="n"/>
      <c r="DZ17" s="601" t="n"/>
      <c r="EA17" s="37" t="n"/>
      <c r="EB17" s="37" t="n"/>
      <c r="EC17" s="37" t="n"/>
      <c r="ED17" s="599" t="n"/>
      <c r="EE17" s="595" t="n"/>
      <c r="EF17" s="25" t="n"/>
    </row>
    <row r="18">
      <c r="C18" s="596">
        <f>C17+D18-D17</f>
        <v/>
      </c>
      <c r="D18" s="160">
        <f>AU18</f>
        <v/>
      </c>
      <c r="E18" s="87">
        <f>IF(DoC=V18,"Calc Date",IF(V18&lt;DoC,"PL","FL"))</f>
        <v/>
      </c>
      <c r="F18" s="310">
        <f>IF(Summary!D11="",F17,Summary!D11)</f>
        <v/>
      </c>
      <c r="G18" s="31">
        <f>VLOOKUP(F18,C$10:D$148,2)</f>
        <v/>
      </c>
      <c r="H18" s="314">
        <f>IF(Summary!G11="",H17,Summary!G11)</f>
        <v/>
      </c>
      <c r="I18" s="282">
        <f>IF(Summary!E11="",I17,Summary!E11)</f>
        <v/>
      </c>
      <c r="J18" s="589">
        <f>I18*index/VLOOKUP($H18,CPI!A:E,4,FALSE)</f>
        <v/>
      </c>
      <c r="K18" s="589">
        <f>IF(L18="Linear",(J18-J17)/(G18-G17),0)</f>
        <v/>
      </c>
      <c r="L18" s="308">
        <f>IF(Summary!H11="",L17,Summary!H11)</f>
        <v/>
      </c>
      <c r="M18" s="137" t="n"/>
      <c r="N18" s="310">
        <f>IF(Summary!D61="",N17,Summary!D61)</f>
        <v/>
      </c>
      <c r="O18" s="31">
        <f>O17+N18-N17</f>
        <v/>
      </c>
      <c r="P18" s="314">
        <f>IF(Summary!G61="",P17,Summary!G61)</f>
        <v/>
      </c>
      <c r="Q18" s="282">
        <f>IF(Summary!E61="",Q17,Summary!E61)</f>
        <v/>
      </c>
      <c r="R18" s="589">
        <f>Q18*index/VLOOKUP($P18,CPI!A:E,4,FALSE)</f>
        <v/>
      </c>
      <c r="S18" s="589">
        <f>IF(T18="Linear",(R18-R17)/(O18-O17),0)</f>
        <v/>
      </c>
      <c r="T18" s="308">
        <f>IF(Summary!H61="",T17,Summary!H61)</f>
        <v/>
      </c>
      <c r="U18" s="144" t="n"/>
      <c r="V18" s="6">
        <f>IF(AND($V17=DoA,MONTH(V17)&lt;3),DATE(YEAR(DoA),3,1),IF(AND(IFERROR(DATEDIF(V17,DoC,"M"),12)&lt;12,IFERROR(DATEDIF(V17,DoC,"M"),12)&gt;0),DoC,DATE(YEAR(V17)+(1-AND(YEAR(DoC)=Current,V17=DoC)-AND(V17=DoA,MONTH(V17)&lt;3)),3,1)))</f>
        <v/>
      </c>
      <c r="W18" s="31">
        <f>IF(V18=DoR_Pre,IF(MONTH(DoR_Pre)&gt;3,YEAR(DoR_Pre)+1,YEAR(DoR_Pre)),IF(MONTH(V18)&gt;3,Current,YEAR(V18)))</f>
        <v/>
      </c>
      <c r="X18" s="597">
        <f>IF(W18=Current,ROUND((V18-V17)/365.25,5),_xlfn.IFNA(INDEX(Summary!$A$5:$A$22,MATCH('LOE Sc1'!W18,Summary!$C$5:$C$22,0)),IF(W18=Ret_Yr_pre,ROUND((DoR_Pre-V17)/365.25,5),ROUND((V18-V17)/365.25,2))))</f>
        <v/>
      </c>
      <c r="Y18" s="55">
        <f>IF(AND(V18=DoC,MONTH(DoC)&lt;&gt;3),ROUNDDOWN(DATEDIF(DoB,V19,"M")/12,),ROUNDDOWN(DATEDIF(DoB,V18,"M")/12,))</f>
        <v/>
      </c>
      <c r="Z18" s="590" t="n"/>
      <c r="AA18" s="25">
        <f>MAX(RetAge_Pre-Y18,0)</f>
        <v/>
      </c>
      <c r="AB18" s="26">
        <f t="array" ref="AB18">IF(W18&gt;Ret_Yr_pre,0,_xlfn.IFNA(VLOOKUP(Y18,F$11:J$1000,5,),IF(AND(W18=Current,V18&gt;DoC,MONTH(DoC)&lt;&gt;3),AB17,AB17+INDEX(K$11:K$1000,MATCH(Y18,F$11:F$1000,1)+1))))</f>
        <v/>
      </c>
      <c r="AC18" s="590">
        <f>IF(V18&lt;DoC,AB18*VLOOKUP(YEAR(V18),CPI!A:E,4,FALSE)/index,AB18*real_i^INT(BP18))</f>
        <v/>
      </c>
      <c r="AD18" s="590">
        <f>$AC18/12*Bonus</f>
        <v/>
      </c>
      <c r="AE18" s="590">
        <f>IF($E18="FL",MedSub*m^INT(BP18),MedSub)*IF(Summary!$C$31="Y",1,0)*(W18&lt;=Ret_Yr_pre)*(Summary!C$31="Y")</f>
        <v/>
      </c>
      <c r="AF18" s="590">
        <f>IF(Summary!$C$30="Y",IF(E18&lt;&gt;"PL",VLOOKUP(Current,'Housing Allowance'!$A:$B,2,),VLOOKUP(YEAR($V18),'Housing Allowance'!$A:$B,2,)),0)*(W18&lt;=Ret_Yr_pre)</f>
        <v/>
      </c>
      <c r="AG18" s="590">
        <f>AC18*overtime</f>
        <v/>
      </c>
      <c r="AH18" s="590">
        <f>AC18*allow_1</f>
        <v/>
      </c>
      <c r="AI18" s="590">
        <f>(AB18&lt;&gt;0)*12*allow_2</f>
        <v/>
      </c>
      <c r="AJ18" s="590" t="n"/>
      <c r="AK18" s="581">
        <f>IF(YEAR(W18)&lt;=Ret_Yr_pre,SUM(AC18:AJ18),0)*IF($W18=Ret_Yr_pre,X18,1)</f>
        <v/>
      </c>
      <c r="AL18" s="581">
        <f>IF($W18&gt;=Ret_Yr_pre,pens_Pre*(GEPF_pre="Y"),0)*IF($W18=Ret_Yr_pre,1-$X18,1)*IF(Ret_Yr_pre&lt;Current,(_xlfn.IFNA(VLOOKUP($D18,CPI!$A:$E,2,FALSE),VLOOKUP(Current,CPI!$A:$E,2,FALSE))/VLOOKUP(Ret_Yr_pre,CPI!$A:$E,2,FALSE)),1)</f>
        <v/>
      </c>
      <c r="AM18" s="590">
        <f>$AC18*ee*IF($W18=Ret_Yr_pre,$X18,1)</f>
        <v/>
      </c>
      <c r="AN18" s="590">
        <f>$AC18*er*IF($W18=Ret_Yr_pre,$X18,1)</f>
        <v/>
      </c>
      <c r="AO18" s="590">
        <f>IF('LOE Sc1'!$W18=Ret_Yr_pre,Gratuity_Pre*(GEPF_pre="Y"),0)</f>
        <v/>
      </c>
      <c r="AP18" s="581">
        <f>AK18+AL18-$AM18-AN18*(GEPF_pre="Y")</f>
        <v/>
      </c>
      <c r="AQ18" s="590">
        <f>IF(DF18&lt;0,0,DF18)</f>
        <v/>
      </c>
      <c r="AR18" s="581">
        <f>(AP18-AQ18+AM18*(AM$7="Y")+AN18*(AN$7="Y"))*IF(W18&lt;Ret_Yr_pre,X18,1)+AO18</f>
        <v/>
      </c>
      <c r="AS18" s="595" t="n"/>
      <c r="AT18" s="6">
        <f>V18</f>
        <v/>
      </c>
      <c r="AU18" s="31">
        <f>W18</f>
        <v/>
      </c>
      <c r="AV18" s="598">
        <f>IF(AU18=Current,ROUND((AT18-AT17)/365.25,5),_xlfn.IFNA(INDEX(Summary!$A$55:$A$72,MATCH('LOE Sc1'!AU18,Summary!$C$55:$C$72,0)),IF(AU18=Ret_Yr_post,ROUND((DoR_Post-AT17)/365.25,5),ROUND((AT18-AT17)/365.25,2))))</f>
        <v/>
      </c>
      <c r="AW18" s="55">
        <f>Y18</f>
        <v/>
      </c>
      <c r="AX18" s="26">
        <f t="array" ref="AX18">IF(AU18&gt;Ret_Yr_post,0,_xlfn.IFNA(VLOOKUP(AW18,N$11:S$1000,5,),IF(AND(AU18=Current,AT18&gt;DoC,MONTH(DoC)&lt;&gt;3),AX17,AX17+INDEX(S$11:S$1000,MATCH(AW18,N$11:N$1000,1)+1))))</f>
        <v/>
      </c>
      <c r="AY18" s="590">
        <f>IF($V18&lt;DoC,AX18*VLOOKUP(YEAR($V18),CPI_Table,4,FALSE)/index,AX18*real_i^INT(BP18))</f>
        <v/>
      </c>
      <c r="AZ18" s="590">
        <f>$AY18/12*Bonus_Post*($AW18&lt;=RetAge_Post)</f>
        <v/>
      </c>
      <c r="BA18" s="590">
        <f>IF($E18="FL",MedSub*m^INT(BP18),MedSub)*IF(Summary!$C$81="Y",1,0)*($AU18&lt;=Ret_Yr_post)*(Summary!$C$81="Y")</f>
        <v/>
      </c>
      <c r="BB18" s="590">
        <f>IF(Summary!$C$80="Y",IF($E18&lt;&gt;"PL",VLOOKUP(Current,'Housing Allowance'!$A:$B,2,),VLOOKUP(YEAR($AT18),'Housing Allowance'!$A:$B,2,)),0)*($AU18&lt;=Ret_Yr_post)</f>
        <v/>
      </c>
      <c r="BC18" s="590">
        <f>AY18*overtime_post</f>
        <v/>
      </c>
      <c r="BD18" s="590">
        <f>$AY18*allow_1_post</f>
        <v/>
      </c>
      <c r="BE18" s="590">
        <f>($AY18&lt;&gt;0)*allow_2_post*12</f>
        <v/>
      </c>
      <c r="BF18" s="590" t="n"/>
      <c r="BG18" s="581">
        <f>IF(YEAR($V18)&lt;=Ret_Yr_post,SUM(AY18:BF18),0)*IF($W18=Ret_Yr_post,AV18,1)</f>
        <v/>
      </c>
      <c r="BH18" s="581">
        <f>IF($W18&gt;=Ret_Yr_post,pens_Post*(GEPF_pre="Y"),0)*IF($W18=Ret_Yr_post,1-$AV18,1)*IF(Ret_Yr_post&lt;Current,(_xlfn.IFNA(VLOOKUP($D18,CPI!$A:$E,2,FALSE),VLOOKUP(Current,CPI!$A:$E,2,FALSE))/VLOOKUP(Ret_Yr_post,CPI!$A:$E,2,FALSE)),1)</f>
        <v/>
      </c>
      <c r="BI18" s="590">
        <f>$AY18*ee_post*IF($W18=Ret_Yr_post,$AV18,1)</f>
        <v/>
      </c>
      <c r="BJ18" s="590">
        <f>$AY18*er_post*IF($W18=Ret_Yr_post,$AV18,1)</f>
        <v/>
      </c>
      <c r="BK18" s="590">
        <f>IF('LOE Sc1'!$W18=Ret_Yr_post,Gratuity_Post*(GEPF_post="Y"),0)</f>
        <v/>
      </c>
      <c r="BL18" s="581">
        <f>BG18+BH18-BI18-BJ18*(GEPF_post="Y")</f>
        <v/>
      </c>
      <c r="BM18" s="590">
        <f>IF(DM18&lt;0,0,DM18)</f>
        <v/>
      </c>
      <c r="BN18" s="581">
        <f>(BL18-BM18+BI18*(BI$7="Y")+BJ18*(BJ$7="Y"))*IF($W18&lt;Ret_Yr_post,AV18,1)+BK18</f>
        <v/>
      </c>
      <c r="BO18" s="591" t="n"/>
      <c r="BP18" s="592">
        <f>IF($E18="FL",IF($X18&lt;=DoC,DATEDIF(DoC,$V18,"M")/12,0),0)</f>
        <v/>
      </c>
      <c r="BQ18" s="592">
        <f>IF($E18="FL",(1+CPI)^INT(BP18),0)</f>
        <v/>
      </c>
      <c r="BR18" s="592">
        <f>IF($E18="FL",IF(($BP18-0.5)&gt;=0,1/(1+d)^($BP18-0.5),1/(1+d)^($BP18)),0)</f>
        <v/>
      </c>
      <c r="BS18" s="592" t="n"/>
      <c r="BT18" s="25">
        <f>IF(gender="M",VLOOKUP($Y18+pre_mort+IF(MONTH(DoC)&lt;MONTH(DoB),IF(MONTH(DoC)&lt;3,0,-1),IF(MONTH(DoB)&lt;3,-1,0)),'SALT LIFE TABLES'!$A$7:$E$106,2),VLOOKUP($Y18+pre_mort+IF(MONTH(DoC)&lt;MONTH(DoB),IF(MONTH(DoC)&lt;3,0,-1),IF(MONTH(DoB)&lt;3,-1,0)),'SALT LIFE TABLES'!$A$7:$E$106,4))</f>
        <v/>
      </c>
      <c r="BU18" s="592">
        <f>IF($E18="PL",1,BT18/BU$7)</f>
        <v/>
      </c>
      <c r="BV18" s="593" t="n"/>
      <c r="BW18" s="25">
        <f>IF(gender="M",VLOOKUP($Y18+post_mort+IF(MONTH(DoC)&lt;MONTH(DoB),IF(MONTH(DoC)&lt;3,0,-1),IF(MONTH(DoB)&lt;3,-1,0)),'SALT LIFE TABLES'!$A$7:$E$106,2),VLOOKUP($Y18+post_mort+IF(MONTH(DoC)&lt;MONTH(DoB),IF(MONTH(DoC)&lt;3,0,-1),IF(MONTH(DoB)&lt;3,-1,0)),'SALT LIFE TABLES'!$A$7:$E$106,4))</f>
        <v/>
      </c>
      <c r="BX18" s="592">
        <f>IF($E18="PL",1,BW18/BX$7)</f>
        <v/>
      </c>
      <c r="BY18" s="594" t="n"/>
      <c r="BZ18" s="592" t="n"/>
      <c r="CA18" s="592">
        <f>IF($E18="FL",$AR18*$BQ18*$BR18*$BU18,$AR18)</f>
        <v/>
      </c>
      <c r="CB18" s="592">
        <f>IF($E18="FL",$BN18*$BQ18*$BR18*$BX18,$BN18)</f>
        <v/>
      </c>
      <c r="CC18" s="592" t="n"/>
      <c r="CD18" s="592">
        <f>IF($E18="FL",$CA18*(1-pre_FL),$CA18*(1-pre_PL))</f>
        <v/>
      </c>
      <c r="CE18" s="592">
        <f>IF($E18="FL",$CB18*(1-post_FL),$CB18*(1-post_PL))</f>
        <v/>
      </c>
      <c r="CF18" s="592" t="n"/>
      <c r="CG18" s="599">
        <f>CD18-CE18</f>
        <v/>
      </c>
      <c r="CH18" s="599">
        <f>MIN(CG18,IF(W18=Ret_Yr_pre,1,$X18)*Cap)</f>
        <v/>
      </c>
      <c r="CI18" s="128" t="n"/>
      <c r="CJ18" s="37">
        <f>IF(D18&gt;Current,Current,D18)</f>
        <v/>
      </c>
      <c r="CK18" s="37">
        <f>MATCH($CJ18,Tax_Tables[Tax Year],0)</f>
        <v/>
      </c>
      <c r="CL18" s="600" t="n">
        <v>0</v>
      </c>
      <c r="CM18" s="600">
        <f t="array" ref="CM18">INDEX(Tax_Tables[[Limits]:[Limits]],$CK18+CM$8)</f>
        <v/>
      </c>
      <c r="CN18" s="600">
        <f t="array" ref="CN18">INDEX(Tax_Tables[[Limits]:[Limits]],$CK18+CN$8)</f>
        <v/>
      </c>
      <c r="CO18" s="600">
        <f t="array" ref="CO18">INDEX(Tax_Tables[[Limits]:[Limits]],$CK18+CO$8)</f>
        <v/>
      </c>
      <c r="CP18" s="600">
        <f t="array" ref="CP18">INDEX(Tax_Tables[[Limits]:[Limits]],$CK18+CP$8)</f>
        <v/>
      </c>
      <c r="CQ18" s="600">
        <f t="array" ref="CQ18">INDEX(Tax_Tables[[Limits]:[Limits]],$CK18+CQ$8)</f>
        <v/>
      </c>
      <c r="CR18" s="600">
        <f t="array" ref="CR18">INDEX(Tax_Tables[[Limits]:[Limits]],$CK18+CR$8)</f>
        <v/>
      </c>
      <c r="CS18" s="37">
        <f>INDEX(Rebate[&lt;65],MATCH($CJ18,Rebate[[Tax Year]:[Tax Year]],0))</f>
        <v/>
      </c>
      <c r="CT18" s="37">
        <f>INDEX(Rebate[&lt;75],MATCH($CJ18,Rebate[[Tax Year]:[Tax Year]],0))</f>
        <v/>
      </c>
      <c r="CU18" s="37">
        <f>INDEX(Rebate[&gt;75],MATCH($CJ18,Rebate[[Tax Year]:[Tax Year]],0))</f>
        <v/>
      </c>
      <c r="CV18" s="37">
        <f>INDEX(Tax_Credit[Principal],MATCH($CJ18,Tax_Credit[[Tax Year]:[Tax Year]],0))</f>
        <v/>
      </c>
      <c r="CW18" s="37">
        <f>INDEX(Tax_Credit[First Dependant],MATCH($CJ18,Tax_Credit[[Tax Year]:[Tax Year]],0))</f>
        <v/>
      </c>
      <c r="CX18" s="37">
        <f>INDEX(Tax_Credit[Each Additional],MATCH($CJ18,Tax_Credit[[Tax Year]:[Tax Year]],0))</f>
        <v/>
      </c>
      <c r="CY18" s="484">
        <f>Y18</f>
        <v/>
      </c>
      <c r="CZ18" s="601">
        <f>AP18</f>
        <v/>
      </c>
      <c r="DA18" s="37">
        <f t="array" ref="DA18">INDEX($CL18:$CR18,0,MATCH($CZ18,$CL18:$CR18,1))</f>
        <v/>
      </c>
      <c r="DB18" s="37">
        <f t="array" ref="DB18">IFERROR(INDEX(Tax_Tables[Percentages],$CK18+MATCH($DA18,$CL18:$CR18,0)-1),"")</f>
        <v/>
      </c>
      <c r="DC18" s="37">
        <f t="array" ref="DC18">IFERROR(INDEX(Tax_Tables[Tax],$CK18+MATCH($DA18,$CL18:$CR18,0)-1),"")</f>
        <v/>
      </c>
      <c r="DD18" s="37">
        <f>IF(CY18&lt;65,CS18,IF(CY18&lt;75,CT18,CU18))</f>
        <v/>
      </c>
      <c r="DE18" s="37">
        <f>CV18*(Summary!$C$31="Y")+(Summary!$C$31="Y")*(CW18*(Pre_MDep&gt;=1)+CX18*MAX(Pre_MDep-1,0))</f>
        <v/>
      </c>
      <c r="DF18" s="599">
        <f>IFERROR(MAX(DB18*(CZ18-DA18)+DC18-DD18-DE18*12,0),"")</f>
        <v/>
      </c>
      <c r="DG18" s="602" t="n"/>
      <c r="DH18" s="601">
        <f>BL18</f>
        <v/>
      </c>
      <c r="DI18" s="37">
        <f t="array" ref="DI18">INDEX($CL18:$CR18,0,MATCH($DH18,$CL18:$CR18,1))</f>
        <v/>
      </c>
      <c r="DJ18" s="37">
        <f t="array" ref="DJ18">IFERROR(INDEX(Tax_Tables[Percentages],$CK18+MATCH($DI18,$CL18:$CR18,0)-1),"")</f>
        <v/>
      </c>
      <c r="DK18" s="37">
        <f t="array" ref="DK18">IFERROR(INDEX(Tax_Tables[Tax],$CK18+MATCH($DI18,$CL18:$CR18,0)-1),"")</f>
        <v/>
      </c>
      <c r="DL18" s="37">
        <f>CV18*(Summary!$C$81="Y")+(Summary!$C$81="Y")*(CW18*(Post_MDep&gt;=1)+CX18*MAX(Post_MDep-1,0))</f>
        <v/>
      </c>
      <c r="DM18" s="599">
        <f>IFERROR(MAX(DJ18*(DH18-DI18)+DK18-DD18-DL18*12,0),"")</f>
        <v/>
      </c>
      <c r="DN18" s="601" t="n"/>
      <c r="DO18" s="37" t="n"/>
      <c r="DP18" s="37" t="n"/>
      <c r="DQ18" s="37" t="n"/>
      <c r="DR18" s="37" t="n"/>
      <c r="DS18" s="37" t="n"/>
      <c r="DT18" s="37" t="n"/>
      <c r="DU18" s="37" t="n"/>
      <c r="DV18" s="37" t="n"/>
      <c r="DW18" s="37" t="n"/>
      <c r="DX18" s="599" t="n"/>
      <c r="DY18" s="131" t="n"/>
      <c r="DZ18" s="601" t="n"/>
      <c r="EA18" s="37" t="n"/>
      <c r="EB18" s="37" t="n"/>
      <c r="EC18" s="37" t="n"/>
      <c r="ED18" s="599" t="n"/>
      <c r="EE18" s="595" t="n"/>
      <c r="EF18" s="25" t="n"/>
    </row>
    <row r="19">
      <c r="A19" s="6" t="n"/>
      <c r="B19" s="44" t="n"/>
      <c r="C19" s="596">
        <f>C18+D19-D18</f>
        <v/>
      </c>
      <c r="D19" s="160">
        <f>AU19</f>
        <v/>
      </c>
      <c r="E19" s="87">
        <f>IF(DoC=V19,"Calc Date",IF(V19&lt;DoC,"PL","FL"))</f>
        <v/>
      </c>
      <c r="F19" s="310">
        <f>IF(Summary!D12="",F18,Summary!D12)</f>
        <v/>
      </c>
      <c r="G19" s="31">
        <f>VLOOKUP(F19,C$10:D$148,2)</f>
        <v/>
      </c>
      <c r="H19" s="314">
        <f>IF(Summary!G12="",H18,Summary!G12)</f>
        <v/>
      </c>
      <c r="I19" s="282">
        <f>IF(Summary!E12="",I18,Summary!E12)</f>
        <v/>
      </c>
      <c r="J19" s="589">
        <f>I19*index/VLOOKUP($H19,CPI!A:E,4,FALSE)</f>
        <v/>
      </c>
      <c r="K19" s="589">
        <f>IF(L19="Linear",(J19-J18)/(G19-G18),0)</f>
        <v/>
      </c>
      <c r="L19" s="308">
        <f>IF(Summary!H12="",L18,Summary!H12)</f>
        <v/>
      </c>
      <c r="M19" s="137" t="n"/>
      <c r="N19" s="310">
        <f>IF(Summary!D62="",N18,Summary!D62)</f>
        <v/>
      </c>
      <c r="O19" s="31">
        <f>O18+N19-N18</f>
        <v/>
      </c>
      <c r="P19" s="314">
        <f>IF(Summary!G62="",P18,Summary!G62)</f>
        <v/>
      </c>
      <c r="Q19" s="282">
        <f>IF(Summary!E62="",Q18,Summary!E62)</f>
        <v/>
      </c>
      <c r="R19" s="589">
        <f>Q19*index/VLOOKUP($P19,CPI!A:E,4,FALSE)</f>
        <v/>
      </c>
      <c r="S19" s="589">
        <f>IF(T19="Linear",(R19-R18)/(O19-O18),0)</f>
        <v/>
      </c>
      <c r="T19" s="308">
        <f>IF(Summary!H62="",T18,Summary!H62)</f>
        <v/>
      </c>
      <c r="U19" s="144" t="n"/>
      <c r="V19" s="6">
        <f>IF(AND($V18=DoA,MONTH(V18)&lt;3),DATE(YEAR(DoA),3,1),IF(AND(IFERROR(DATEDIF(V18,DoC,"M"),12)&lt;12,IFERROR(DATEDIF(V18,DoC,"M"),12)&gt;0),DoC,DATE(YEAR(V18)+(1-AND(YEAR(DoC)=Current,V18=DoC)-AND(V18=DoA,MONTH(V18)&lt;3)),3,1)))</f>
        <v/>
      </c>
      <c r="W19" s="31">
        <f>IF(V19=DoR_Pre,IF(MONTH(DoR_Pre)&gt;3,YEAR(DoR_Pre)+1,YEAR(DoR_Pre)),IF(MONTH(V19)&gt;3,Current,YEAR(V19)))</f>
        <v/>
      </c>
      <c r="X19" s="597">
        <f>IF(W19=Current,ROUND((V19-V18)/365.25,5),_xlfn.IFNA(INDEX(Summary!$A$5:$A$22,MATCH('LOE Sc1'!W19,Summary!$C$5:$C$22,0)),IF(W19=Ret_Yr_pre,ROUND((DoR_Pre-V18)/365.25,5),ROUND((V19-V18)/365.25,2))))</f>
        <v/>
      </c>
      <c r="Y19" s="55">
        <f>IF(AND(V19=DoC,MONTH(DoC)&lt;&gt;3),ROUNDDOWN(DATEDIF(DoB,V20,"M")/12,),ROUNDDOWN(DATEDIF(DoB,V19,"M")/12,))</f>
        <v/>
      </c>
      <c r="Z19" s="590" t="n"/>
      <c r="AA19" s="25">
        <f>MAX(RetAge_Pre-Y19,0)</f>
        <v/>
      </c>
      <c r="AB19" s="26">
        <f t="array" ref="AB19">IF(W19&gt;Ret_Yr_pre,0,_xlfn.IFNA(VLOOKUP(Y19,F$11:J$1000,5,),IF(AND(W19=Current,V19&gt;DoC,MONTH(DoC)&lt;&gt;3),AB18,AB18+INDEX(K$11:K$1000,MATCH(Y19,F$11:F$1000,1)+1))))</f>
        <v/>
      </c>
      <c r="AC19" s="590">
        <f>IF(V19&lt;DoC,AB19*VLOOKUP(YEAR(V19),CPI!A:E,4,FALSE)/index,AB19*real_i^INT(BP19))</f>
        <v/>
      </c>
      <c r="AD19" s="590">
        <f>$AC19/12*Bonus</f>
        <v/>
      </c>
      <c r="AE19" s="590">
        <f>IF($E19="FL",MedSub*m^INT(BP19),MedSub)*IF(Summary!$C$31="Y",1,0)*(W19&lt;=Ret_Yr_pre)*(Summary!C$31="Y")</f>
        <v/>
      </c>
      <c r="AF19" s="590">
        <f>IF(Summary!$C$30="Y",IF(E19&lt;&gt;"PL",VLOOKUP(Current,'Housing Allowance'!$A:$B,2,),VLOOKUP(YEAR($V19),'Housing Allowance'!$A:$B,2,)),0)*(W19&lt;=Ret_Yr_pre)</f>
        <v/>
      </c>
      <c r="AG19" s="590">
        <f>AC19*overtime</f>
        <v/>
      </c>
      <c r="AH19" s="590">
        <f>AC19*allow_1</f>
        <v/>
      </c>
      <c r="AI19" s="590">
        <f>(AB19&lt;&gt;0)*12*allow_2</f>
        <v/>
      </c>
      <c r="AJ19" s="590" t="n"/>
      <c r="AK19" s="581">
        <f>IF(YEAR(W19)&lt;=Ret_Yr_pre,SUM(AC19:AJ19),0)*IF($W19=Ret_Yr_pre,X19,1)</f>
        <v/>
      </c>
      <c r="AL19" s="581">
        <f>IF($W19&gt;=Ret_Yr_pre,pens_Pre*(GEPF_pre="Y"),0)*IF($W19=Ret_Yr_pre,1-$X19,1)*IF(Ret_Yr_pre&lt;Current,(_xlfn.IFNA(VLOOKUP($D19,CPI!$A:$E,2,FALSE),VLOOKUP(Current,CPI!$A:$E,2,FALSE))/VLOOKUP(Ret_Yr_pre,CPI!$A:$E,2,FALSE)),1)</f>
        <v/>
      </c>
      <c r="AM19" s="590">
        <f>$AC19*ee*IF($W19=Ret_Yr_pre,$X19,1)</f>
        <v/>
      </c>
      <c r="AN19" s="590">
        <f>$AC19*er*IF($W19=Ret_Yr_pre,$X19,1)</f>
        <v/>
      </c>
      <c r="AO19" s="590">
        <f>IF('LOE Sc1'!$W19=Ret_Yr_pre,Gratuity_Pre*(GEPF_pre="Y"),0)</f>
        <v/>
      </c>
      <c r="AP19" s="581">
        <f>AK19+AL19-$AM19-AN19*(GEPF_pre="Y")</f>
        <v/>
      </c>
      <c r="AQ19" s="590">
        <f>IF(DF19&lt;0,0,DF19)</f>
        <v/>
      </c>
      <c r="AR19" s="581">
        <f>(AP19-AQ19+AM19*(AM$7="Y")+AN19*(AN$7="Y"))*IF(W19&lt;Ret_Yr_pre,X19,1)+AO19</f>
        <v/>
      </c>
      <c r="AS19" s="595" t="n"/>
      <c r="AT19" s="6">
        <f>V19</f>
        <v/>
      </c>
      <c r="AU19" s="31">
        <f>W19</f>
        <v/>
      </c>
      <c r="AV19" s="598">
        <f>IF(AU19=Current,ROUND((AT19-AT18)/365.25,5),_xlfn.IFNA(INDEX(Summary!$A$55:$A$72,MATCH('LOE Sc1'!AU19,Summary!$C$55:$C$72,0)),IF(AU19=Ret_Yr_post,ROUND((DoR_Post-AT18)/365.25,5),ROUND((AT19-AT18)/365.25,2))))</f>
        <v/>
      </c>
      <c r="AW19" s="55">
        <f>Y19</f>
        <v/>
      </c>
      <c r="AX19" s="26">
        <f t="array" ref="AX19">IF(AU19&gt;Ret_Yr_post,0,_xlfn.IFNA(VLOOKUP(AW19,N$11:S$1000,5,),IF(AND(AU19=Current,AT19&gt;DoC,MONTH(DoC)&lt;&gt;3),AX18,AX18+INDEX(S$11:S$1000,MATCH(AW19,N$11:N$1000,1)+1))))</f>
        <v/>
      </c>
      <c r="AY19" s="590">
        <f>IF($V19&lt;DoC,AX19*VLOOKUP(YEAR($V19),CPI_Table,4,FALSE)/index,AX19*real_i^INT(BP19))</f>
        <v/>
      </c>
      <c r="AZ19" s="590">
        <f>$AY19/12*Bonus_Post*($AW19&lt;=RetAge_Post)</f>
        <v/>
      </c>
      <c r="BA19" s="590">
        <f>IF($E19="FL",MedSub*m^INT(BP19),MedSub)*IF(Summary!$C$81="Y",1,0)*($AU19&lt;=Ret_Yr_post)*(Summary!$C$81="Y")</f>
        <v/>
      </c>
      <c r="BB19" s="590">
        <f>IF(Summary!$C$80="Y",IF($E19&lt;&gt;"PL",VLOOKUP(Current,'Housing Allowance'!$A:$B,2,),VLOOKUP(YEAR($AT19),'Housing Allowance'!$A:$B,2,)),0)*($AU19&lt;=Ret_Yr_post)</f>
        <v/>
      </c>
      <c r="BC19" s="590">
        <f>AY19*overtime_post</f>
        <v/>
      </c>
      <c r="BD19" s="590">
        <f>$AY19*allow_1_post</f>
        <v/>
      </c>
      <c r="BE19" s="590">
        <f>($AY19&lt;&gt;0)*allow_2_post*12</f>
        <v/>
      </c>
      <c r="BF19" s="590" t="n"/>
      <c r="BG19" s="581">
        <f>IF(YEAR($V19)&lt;=Ret_Yr_post,SUM(AY19:BF19),0)*IF($W19=Ret_Yr_post,AV19,1)</f>
        <v/>
      </c>
      <c r="BH19" s="581">
        <f>IF($W19&gt;=Ret_Yr_post,pens_Post*(GEPF_pre="Y"),0)*IF($W19=Ret_Yr_post,1-$AV19,1)*IF(Ret_Yr_post&lt;Current,(_xlfn.IFNA(VLOOKUP($D19,CPI!$A:$E,2,FALSE),VLOOKUP(Current,CPI!$A:$E,2,FALSE))/VLOOKUP(Ret_Yr_post,CPI!$A:$E,2,FALSE)),1)</f>
        <v/>
      </c>
      <c r="BI19" s="590">
        <f>$AY19*ee_post*IF($W19=Ret_Yr_post,$AV19,1)</f>
        <v/>
      </c>
      <c r="BJ19" s="590">
        <f>$AY19*er_post*IF($W19=Ret_Yr_post,$AV19,1)</f>
        <v/>
      </c>
      <c r="BK19" s="590">
        <f>IF('LOE Sc1'!$W19=Ret_Yr_post,Gratuity_Post*(GEPF_post="Y"),0)</f>
        <v/>
      </c>
      <c r="BL19" s="581">
        <f>BG19+BH19-BI19-BJ19*(GEPF_post="Y")</f>
        <v/>
      </c>
      <c r="BM19" s="590">
        <f>IF(DM19&lt;0,0,DM19)</f>
        <v/>
      </c>
      <c r="BN19" s="581">
        <f>(BL19-BM19+BI19*(BI$7="Y")+BJ19*(BJ$7="Y"))*IF($W19&lt;Ret_Yr_post,AV19,1)+BK19</f>
        <v/>
      </c>
      <c r="BO19" s="591" t="n"/>
      <c r="BP19" s="592">
        <f>IF($E19="FL",IF($X19&lt;=DoC,DATEDIF(DoC,$V19,"M")/12,0),0)</f>
        <v/>
      </c>
      <c r="BQ19" s="592">
        <f>IF($E19="FL",(1+CPI)^INT(BP19),0)</f>
        <v/>
      </c>
      <c r="BR19" s="592">
        <f>IF($E19="FL",IF(($BP19-0.5)&gt;=0,1/(1+d)^($BP19-0.5),1/(1+d)^($BP19)),0)</f>
        <v/>
      </c>
      <c r="BS19" s="592" t="n"/>
      <c r="BT19" s="25">
        <f>IF(gender="M",VLOOKUP($Y19+pre_mort+IF(MONTH(DoC)&lt;MONTH(DoB),IF(MONTH(DoC)&lt;3,0,-1),IF(MONTH(DoB)&lt;3,-1,0)),'SALT LIFE TABLES'!$A$7:$E$106,2),VLOOKUP($Y19+pre_mort+IF(MONTH(DoC)&lt;MONTH(DoB),IF(MONTH(DoC)&lt;3,0,-1),IF(MONTH(DoB)&lt;3,-1,0)),'SALT LIFE TABLES'!$A$7:$E$106,4))</f>
        <v/>
      </c>
      <c r="BU19" s="592">
        <f>IF($E19="PL",1,BT19/BU$7)</f>
        <v/>
      </c>
      <c r="BV19" s="593" t="n"/>
      <c r="BW19" s="25">
        <f>IF(gender="M",VLOOKUP($Y19+post_mort+IF(MONTH(DoC)&lt;MONTH(DoB),IF(MONTH(DoC)&lt;3,0,-1),IF(MONTH(DoB)&lt;3,-1,0)),'SALT LIFE TABLES'!$A$7:$E$106,2),VLOOKUP($Y19+post_mort+IF(MONTH(DoC)&lt;MONTH(DoB),IF(MONTH(DoC)&lt;3,0,-1),IF(MONTH(DoB)&lt;3,-1,0)),'SALT LIFE TABLES'!$A$7:$E$106,4))</f>
        <v/>
      </c>
      <c r="BX19" s="592">
        <f>IF($E19="PL",1,BW19/BX$7)</f>
        <v/>
      </c>
      <c r="BY19" s="594" t="n"/>
      <c r="BZ19" s="592" t="n"/>
      <c r="CA19" s="592">
        <f>IF($E19="FL",$AR19*$BQ19*$BR19*$BU19,$AR19)</f>
        <v/>
      </c>
      <c r="CB19" s="592">
        <f>IF($E19="FL",$BN19*$BQ19*$BR19*$BX19,$BN19)</f>
        <v/>
      </c>
      <c r="CC19" s="592" t="n"/>
      <c r="CD19" s="592">
        <f>IF($E19="FL",$CA19*(1-pre_FL),$CA19*(1-pre_PL))</f>
        <v/>
      </c>
      <c r="CE19" s="592">
        <f>IF($E19="FL",$CB19*(1-post_FL),$CB19*(1-post_PL))</f>
        <v/>
      </c>
      <c r="CF19" s="592" t="n"/>
      <c r="CG19" s="599">
        <f>CD19-CE19</f>
        <v/>
      </c>
      <c r="CH19" s="599">
        <f>MIN(CG19,IF(W19=Ret_Yr_pre,1,$X19)*Cap)</f>
        <v/>
      </c>
      <c r="CI19" s="128" t="n"/>
      <c r="CJ19" s="37">
        <f>IF(D19&gt;Current,Current,D19)</f>
        <v/>
      </c>
      <c r="CK19" s="37">
        <f>MATCH($CJ19,Tax_Tables[Tax Year],0)</f>
        <v/>
      </c>
      <c r="CL19" s="600" t="n">
        <v>0</v>
      </c>
      <c r="CM19" s="600">
        <f t="array" ref="CM19">INDEX(Tax_Tables[[Limits]:[Limits]],$CK19+CM$8)</f>
        <v/>
      </c>
      <c r="CN19" s="600">
        <f t="array" ref="CN19">INDEX(Tax_Tables[[Limits]:[Limits]],$CK19+CN$8)</f>
        <v/>
      </c>
      <c r="CO19" s="600">
        <f t="array" ref="CO19">INDEX(Tax_Tables[[Limits]:[Limits]],$CK19+CO$8)</f>
        <v/>
      </c>
      <c r="CP19" s="600">
        <f t="array" ref="CP19">INDEX(Tax_Tables[[Limits]:[Limits]],$CK19+CP$8)</f>
        <v/>
      </c>
      <c r="CQ19" s="600">
        <f t="array" ref="CQ19">INDEX(Tax_Tables[[Limits]:[Limits]],$CK19+CQ$8)</f>
        <v/>
      </c>
      <c r="CR19" s="600">
        <f t="array" ref="CR19">INDEX(Tax_Tables[[Limits]:[Limits]],$CK19+CR$8)</f>
        <v/>
      </c>
      <c r="CS19" s="37">
        <f>INDEX(Rebate[&lt;65],MATCH($CJ19,Rebate[[Tax Year]:[Tax Year]],0))</f>
        <v/>
      </c>
      <c r="CT19" s="37">
        <f>INDEX(Rebate[&lt;75],MATCH($CJ19,Rebate[[Tax Year]:[Tax Year]],0))</f>
        <v/>
      </c>
      <c r="CU19" s="37">
        <f>INDEX(Rebate[&gt;75],MATCH($CJ19,Rebate[[Tax Year]:[Tax Year]],0))</f>
        <v/>
      </c>
      <c r="CV19" s="37">
        <f>INDEX(Tax_Credit[Principal],MATCH($CJ19,Tax_Credit[[Tax Year]:[Tax Year]],0))</f>
        <v/>
      </c>
      <c r="CW19" s="37">
        <f>INDEX(Tax_Credit[First Dependant],MATCH($CJ19,Tax_Credit[[Tax Year]:[Tax Year]],0))</f>
        <v/>
      </c>
      <c r="CX19" s="37">
        <f>INDEX(Tax_Credit[Each Additional],MATCH($CJ19,Tax_Credit[[Tax Year]:[Tax Year]],0))</f>
        <v/>
      </c>
      <c r="CY19" s="484">
        <f>Y19</f>
        <v/>
      </c>
      <c r="CZ19" s="601">
        <f>AP19</f>
        <v/>
      </c>
      <c r="DA19" s="37">
        <f t="array" ref="DA19">INDEX($CL19:$CR19,0,MATCH($CZ19,$CL19:$CR19,1))</f>
        <v/>
      </c>
      <c r="DB19" s="37">
        <f t="array" ref="DB19">IFERROR(INDEX(Tax_Tables[Percentages],$CK19+MATCH($DA19,$CL19:$CR19,0)-1),"")</f>
        <v/>
      </c>
      <c r="DC19" s="37">
        <f t="array" ref="DC19">IFERROR(INDEX(Tax_Tables[Tax],$CK19+MATCH($DA19,$CL19:$CR19,0)-1),"")</f>
        <v/>
      </c>
      <c r="DD19" s="37">
        <f>IF(CY19&lt;65,CS19,IF(CY19&lt;75,CT19,CU19))</f>
        <v/>
      </c>
      <c r="DE19" s="37">
        <f>CV19*(Summary!$C$31="Y")+(Summary!$C$31="Y")*(CW19*(Pre_MDep&gt;=1)+CX19*MAX(Pre_MDep-1,0))</f>
        <v/>
      </c>
      <c r="DF19" s="599">
        <f>IFERROR(MAX(DB19*(CZ19-DA19)+DC19-DD19-DE19*12,0),"")</f>
        <v/>
      </c>
      <c r="DG19" s="602" t="n"/>
      <c r="DH19" s="601">
        <f>BL19</f>
        <v/>
      </c>
      <c r="DI19" s="37">
        <f t="array" ref="DI19">INDEX($CL19:$CR19,0,MATCH($DH19,$CL19:$CR19,1))</f>
        <v/>
      </c>
      <c r="DJ19" s="37">
        <f t="array" ref="DJ19">IFERROR(INDEX(Tax_Tables[Percentages],$CK19+MATCH($DI19,$CL19:$CR19,0)-1),"")</f>
        <v/>
      </c>
      <c r="DK19" s="37">
        <f t="array" ref="DK19">IFERROR(INDEX(Tax_Tables[Tax],$CK19+MATCH($DI19,$CL19:$CR19,0)-1),"")</f>
        <v/>
      </c>
      <c r="DL19" s="37">
        <f>CV19*(Summary!$C$81="Y")+(Summary!$C$81="Y")*(CW19*(Post_MDep&gt;=1)+CX19*MAX(Post_MDep-1,0))</f>
        <v/>
      </c>
      <c r="DM19" s="599">
        <f>IFERROR(MAX(DJ19*(DH19-DI19)+DK19-DD19-DL19*12,0),"")</f>
        <v/>
      </c>
      <c r="DN19" s="601" t="n"/>
      <c r="DO19" s="37" t="n"/>
      <c r="DP19" s="37" t="n"/>
      <c r="DQ19" s="37" t="n"/>
      <c r="DR19" s="37" t="n"/>
      <c r="DS19" s="37" t="n"/>
      <c r="DT19" s="37" t="n"/>
      <c r="DU19" s="37" t="n"/>
      <c r="DV19" s="37" t="n"/>
      <c r="DW19" s="37" t="n"/>
      <c r="DX19" s="599" t="n"/>
      <c r="DY19" s="131" t="n"/>
      <c r="DZ19" s="601" t="n"/>
      <c r="EA19" s="37" t="n"/>
      <c r="EB19" s="37" t="n"/>
      <c r="EC19" s="37" t="n"/>
      <c r="ED19" s="599" t="n"/>
      <c r="EE19" s="595" t="n"/>
      <c r="EF19" s="25" t="n"/>
    </row>
    <row r="20">
      <c r="A20" s="6" t="n"/>
      <c r="B20" s="44" t="n"/>
      <c r="C20" s="596">
        <f>C19+D20-D19</f>
        <v/>
      </c>
      <c r="D20" s="160">
        <f>AU20</f>
        <v/>
      </c>
      <c r="E20" s="87">
        <f>IF(DoC=V20,"Calc Date",IF(V20&lt;DoC,"PL","FL"))</f>
        <v/>
      </c>
      <c r="F20" s="310">
        <f>IF(Summary!D13="",F19,Summary!D13)</f>
        <v/>
      </c>
      <c r="G20" s="31">
        <f>VLOOKUP(F20,C$10:D$148,2)</f>
        <v/>
      </c>
      <c r="H20" s="314">
        <f>IF(Summary!G13="",H19,Summary!G13)</f>
        <v/>
      </c>
      <c r="I20" s="282">
        <f>IF(Summary!E13="",I19,Summary!E13)</f>
        <v/>
      </c>
      <c r="J20" s="589">
        <f>I20*index/VLOOKUP($H20,CPI!A:E,4,FALSE)</f>
        <v/>
      </c>
      <c r="K20" s="589">
        <f>IF(L20="Linear",(J20-J19)/(G20-G19),0)</f>
        <v/>
      </c>
      <c r="L20" s="308">
        <f>IF(Summary!H13="",L19,Summary!H13)</f>
        <v/>
      </c>
      <c r="M20" s="137" t="n"/>
      <c r="N20" s="310">
        <f>IF(Summary!D63="",N19,Summary!D63)</f>
        <v/>
      </c>
      <c r="O20" s="31">
        <f>O19+N20-N19</f>
        <v/>
      </c>
      <c r="P20" s="314">
        <f>IF(Summary!G63="",P19,Summary!G63)</f>
        <v/>
      </c>
      <c r="Q20" s="282">
        <f>IF(Summary!E63="",Q19,Summary!E63)</f>
        <v/>
      </c>
      <c r="R20" s="589">
        <f>Q20*index/VLOOKUP($P20,CPI!A:E,4,FALSE)</f>
        <v/>
      </c>
      <c r="S20" s="589">
        <f>IF(T20="Linear",(R20-R19)/(O20-O19),0)</f>
        <v/>
      </c>
      <c r="T20" s="308">
        <f>IF(Summary!H63="",T19,Summary!H63)</f>
        <v/>
      </c>
      <c r="U20" s="144" t="n"/>
      <c r="V20" s="6">
        <f>IF(AND($V19=DoA,MONTH(V19)&lt;3),DATE(YEAR(DoA),3,1),IF(AND(IFERROR(DATEDIF(V19,DoC,"M"),12)&lt;12,IFERROR(DATEDIF(V19,DoC,"M"),12)&gt;0),DoC,DATE(YEAR(V19)+(1-AND(YEAR(DoC)=Current,V19=DoC)-AND(V19=DoA,MONTH(V19)&lt;3)),3,1)))</f>
        <v/>
      </c>
      <c r="W20" s="31">
        <f>IF(V20=DoR_Pre,IF(MONTH(DoR_Pre)&gt;3,YEAR(DoR_Pre)+1,YEAR(DoR_Pre)),IF(MONTH(V20)&gt;3,Current,YEAR(V20)))</f>
        <v/>
      </c>
      <c r="X20" s="597">
        <f>IF(W20=Current,ROUND((V20-V19)/365.25,5),_xlfn.IFNA(INDEX(Summary!$A$5:$A$22,MATCH('LOE Sc1'!W20,Summary!$C$5:$C$22,0)),IF(W20=Ret_Yr_pre,ROUND((DoR_Pre-V19)/365.25,5),ROUND((V20-V19)/365.25,2))))</f>
        <v/>
      </c>
      <c r="Y20" s="55">
        <f>IF(AND(V20=DoC,MONTH(DoC)&lt;&gt;3),ROUNDDOWN(DATEDIF(DoB,V21,"M")/12,),ROUNDDOWN(DATEDIF(DoB,V20,"M")/12,))</f>
        <v/>
      </c>
      <c r="Z20" s="590" t="n"/>
      <c r="AA20" s="25">
        <f>MAX(RetAge_Pre-Y20,0)</f>
        <v/>
      </c>
      <c r="AB20" s="26">
        <f t="array" ref="AB20">IF(W20&gt;Ret_Yr_pre,0,_xlfn.IFNA(VLOOKUP(Y20,F$11:J$1000,5,),IF(AND(W20=Current,V20&gt;DoC,MONTH(DoC)&lt;&gt;3),AB19,AB19+INDEX(K$11:K$1000,MATCH(Y20,F$11:F$1000,1)+1))))</f>
        <v/>
      </c>
      <c r="AC20" s="590">
        <f>IF(V20&lt;DoC,AB20*VLOOKUP(YEAR(V20),CPI!A:E,4,FALSE)/index,AB20*real_i^INT(BP20))</f>
        <v/>
      </c>
      <c r="AD20" s="590">
        <f>$AC20/12*Bonus</f>
        <v/>
      </c>
      <c r="AE20" s="590">
        <f>IF($E20="FL",MedSub*m^INT(BP20),MedSub)*IF(Summary!$C$31="Y",1,0)*(W20&lt;=Ret_Yr_pre)*(Summary!C$31="Y")</f>
        <v/>
      </c>
      <c r="AF20" s="590">
        <f>IF(Summary!$C$30="Y",IF(E20&lt;&gt;"PL",VLOOKUP(Current,'Housing Allowance'!$A:$B,2,),VLOOKUP(YEAR($V20),'Housing Allowance'!$A:$B,2,)),0)*(W20&lt;=Ret_Yr_pre)</f>
        <v/>
      </c>
      <c r="AG20" s="590">
        <f>AC20*overtime</f>
        <v/>
      </c>
      <c r="AH20" s="590">
        <f>AC20*allow_1</f>
        <v/>
      </c>
      <c r="AI20" s="590">
        <f>(AB20&lt;&gt;0)*12*allow_2</f>
        <v/>
      </c>
      <c r="AJ20" s="590" t="n"/>
      <c r="AK20" s="581">
        <f>IF(YEAR(W20)&lt;=Ret_Yr_pre,SUM(AC20:AJ20),0)*IF($W20=Ret_Yr_pre,X20,1)</f>
        <v/>
      </c>
      <c r="AL20" s="581">
        <f>IF($W20&gt;=Ret_Yr_pre,pens_Pre*(GEPF_pre="Y"),0)*IF($W20=Ret_Yr_pre,1-$X20,1)*IF(Ret_Yr_pre&lt;Current,(_xlfn.IFNA(VLOOKUP($D20,CPI!$A:$E,2,FALSE),VLOOKUP(Current,CPI!$A:$E,2,FALSE))/VLOOKUP(Ret_Yr_pre,CPI!$A:$E,2,FALSE)),1)</f>
        <v/>
      </c>
      <c r="AM20" s="590">
        <f>$AC20*ee*IF($W20=Ret_Yr_pre,$X20,1)</f>
        <v/>
      </c>
      <c r="AN20" s="590">
        <f>$AC20*er*IF($W20=Ret_Yr_pre,$X20,1)</f>
        <v/>
      </c>
      <c r="AO20" s="590">
        <f>IF('LOE Sc1'!$W20=Ret_Yr_pre,Gratuity_Pre*(GEPF_pre="Y"),0)</f>
        <v/>
      </c>
      <c r="AP20" s="581">
        <f>AK20+AL20-$AM20-AN20*(GEPF_pre="Y")</f>
        <v/>
      </c>
      <c r="AQ20" s="590">
        <f>IF(DF20&lt;0,0,DF20)</f>
        <v/>
      </c>
      <c r="AR20" s="581">
        <f>(AP20-AQ20+AM20*(AM$7="Y")+AN20*(AN$7="Y"))*IF(W20&lt;Ret_Yr_pre,X20,1)+AO20</f>
        <v/>
      </c>
      <c r="AS20" s="595" t="n"/>
      <c r="AT20" s="6">
        <f>V20</f>
        <v/>
      </c>
      <c r="AU20" s="31">
        <f>W20</f>
        <v/>
      </c>
      <c r="AV20" s="598">
        <f>IF(AU20=Current,ROUND((AT20-AT19)/365.25,5),_xlfn.IFNA(INDEX(Summary!$A$55:$A$72,MATCH('LOE Sc1'!AU20,Summary!$C$55:$C$72,0)),IF(AU20=Ret_Yr_post,ROUND((DoR_Post-AT19)/365.25,5),ROUND((AT20-AT19)/365.25,2))))</f>
        <v/>
      </c>
      <c r="AW20" s="55">
        <f>Y20</f>
        <v/>
      </c>
      <c r="AX20" s="26">
        <f t="array" ref="AX20">IF(AU20&gt;Ret_Yr_post,0,_xlfn.IFNA(VLOOKUP(AW20,N$11:S$1000,5,),IF(AND(AU20=Current,AT20&gt;DoC,MONTH(DoC)&lt;&gt;3),AX19,AX19+INDEX(S$11:S$1000,MATCH(AW20,N$11:N$1000,1)+1))))</f>
        <v/>
      </c>
      <c r="AY20" s="590">
        <f>IF($V20&lt;DoC,AX20*VLOOKUP(YEAR($V20),CPI_Table,4,FALSE)/index,AX20*real_i^INT(BP20))</f>
        <v/>
      </c>
      <c r="AZ20" s="590">
        <f>$AY20/12*Bonus_Post*($AW20&lt;=RetAge_Post)</f>
        <v/>
      </c>
      <c r="BA20" s="590">
        <f>IF($E20="FL",MedSub*m^INT(BP20),MedSub)*IF(Summary!$C$81="Y",1,0)*($AU20&lt;=Ret_Yr_post)*(Summary!$C$81="Y")</f>
        <v/>
      </c>
      <c r="BB20" s="590">
        <f>IF(Summary!$C$80="Y",IF($E20&lt;&gt;"PL",VLOOKUP(Current,'Housing Allowance'!$A:$B,2,),VLOOKUP(YEAR($AT20),'Housing Allowance'!$A:$B,2,)),0)*($AU20&lt;=Ret_Yr_post)</f>
        <v/>
      </c>
      <c r="BC20" s="590">
        <f>AY20*overtime_post</f>
        <v/>
      </c>
      <c r="BD20" s="590">
        <f>$AY20*allow_1_post</f>
        <v/>
      </c>
      <c r="BE20" s="590">
        <f>($AY20&lt;&gt;0)*allow_2_post*12</f>
        <v/>
      </c>
      <c r="BF20" s="590" t="n"/>
      <c r="BG20" s="581">
        <f>IF(YEAR($V20)&lt;=Ret_Yr_post,SUM(AY20:BF20),0)*IF($W20=Ret_Yr_post,AV20,1)</f>
        <v/>
      </c>
      <c r="BH20" s="581">
        <f>IF($W20&gt;=Ret_Yr_post,pens_Post*(GEPF_pre="Y"),0)*IF($W20=Ret_Yr_post,1-$AV20,1)*IF(Ret_Yr_post&lt;Current,(_xlfn.IFNA(VLOOKUP($D20,CPI!$A:$E,2,FALSE),VLOOKUP(Current,CPI!$A:$E,2,FALSE))/VLOOKUP(Ret_Yr_post,CPI!$A:$E,2,FALSE)),1)</f>
        <v/>
      </c>
      <c r="BI20" s="590">
        <f>$AY20*ee_post*IF($W20=Ret_Yr_post,$AV20,1)</f>
        <v/>
      </c>
      <c r="BJ20" s="590">
        <f>$AY20*er_post*IF($W20=Ret_Yr_post,$AV20,1)</f>
        <v/>
      </c>
      <c r="BK20" s="590">
        <f>IF('LOE Sc1'!$W20=Ret_Yr_post,Gratuity_Post*(GEPF_post="Y"),0)</f>
        <v/>
      </c>
      <c r="BL20" s="581">
        <f>BG20+BH20-BI20-BJ20*(GEPF_post="Y")</f>
        <v/>
      </c>
      <c r="BM20" s="590">
        <f>IF(DM20&lt;0,0,DM20)</f>
        <v/>
      </c>
      <c r="BN20" s="581">
        <f>(BL20-BM20+BI20*(BI$7="Y")+BJ20*(BJ$7="Y"))*IF($W20&lt;Ret_Yr_post,AV20,1)+BK20</f>
        <v/>
      </c>
      <c r="BO20" s="591" t="n"/>
      <c r="BP20" s="592">
        <f>IF($E20="FL",IF($X20&lt;=DoC,DATEDIF(DoC,$V20,"M")/12,0),0)</f>
        <v/>
      </c>
      <c r="BQ20" s="592">
        <f>IF($E20="FL",(1+CPI)^INT(BP20),0)</f>
        <v/>
      </c>
      <c r="BR20" s="592">
        <f>IF($E20="FL",IF(($BP20-0.5)&gt;=0,1/(1+d)^($BP20-0.5),1/(1+d)^($BP20)),0)</f>
        <v/>
      </c>
      <c r="BS20" s="592" t="n"/>
      <c r="BT20" s="25">
        <f>IF(gender="M",VLOOKUP($Y20+pre_mort+IF(MONTH(DoC)&lt;MONTH(DoB),IF(MONTH(DoC)&lt;3,0,-1),IF(MONTH(DoB)&lt;3,-1,0)),'SALT LIFE TABLES'!$A$7:$E$106,2),VLOOKUP($Y20+pre_mort+IF(MONTH(DoC)&lt;MONTH(DoB),IF(MONTH(DoC)&lt;3,0,-1),IF(MONTH(DoB)&lt;3,-1,0)),'SALT LIFE TABLES'!$A$7:$E$106,4))</f>
        <v/>
      </c>
      <c r="BU20" s="592">
        <f>IF($E20="PL",1,BT20/BU$7)</f>
        <v/>
      </c>
      <c r="BV20" s="593" t="n"/>
      <c r="BW20" s="25">
        <f>IF(gender="M",VLOOKUP($Y20+post_mort+IF(MONTH(DoC)&lt;MONTH(DoB),IF(MONTH(DoC)&lt;3,0,-1),IF(MONTH(DoB)&lt;3,-1,0)),'SALT LIFE TABLES'!$A$7:$E$106,2),VLOOKUP($Y20+post_mort+IF(MONTH(DoC)&lt;MONTH(DoB),IF(MONTH(DoC)&lt;3,0,-1),IF(MONTH(DoB)&lt;3,-1,0)),'SALT LIFE TABLES'!$A$7:$E$106,4))</f>
        <v/>
      </c>
      <c r="BX20" s="592">
        <f>IF($E20="PL",1,BW20/BX$7)</f>
        <v/>
      </c>
      <c r="BY20" s="594" t="n"/>
      <c r="BZ20" s="592" t="n"/>
      <c r="CA20" s="592">
        <f>IF($E20="FL",$AR20*$BQ20*$BR20*$BU20,$AR20)</f>
        <v/>
      </c>
      <c r="CB20" s="592">
        <f>IF($E20="FL",$BN20*$BQ20*$BR20*$BX20,$BN20)</f>
        <v/>
      </c>
      <c r="CC20" s="592" t="n"/>
      <c r="CD20" s="592">
        <f>IF($E20="FL",$CA20*(1-pre_FL),$CA20*(1-pre_PL))</f>
        <v/>
      </c>
      <c r="CE20" s="592">
        <f>IF($E20="FL",$CB20*(1-post_FL),$CB20*(1-post_PL))</f>
        <v/>
      </c>
      <c r="CF20" s="592" t="n"/>
      <c r="CG20" s="599">
        <f>CD20-CE20</f>
        <v/>
      </c>
      <c r="CH20" s="599">
        <f>MIN(CG20,IF(W20=Ret_Yr_pre,1,$X20)*Cap)</f>
        <v/>
      </c>
      <c r="CI20" s="128" t="n"/>
      <c r="CJ20" s="37">
        <f>IF(D20&gt;Current,Current,D20)</f>
        <v/>
      </c>
      <c r="CK20" s="37">
        <f>MATCH($CJ20,Tax_Tables[Tax Year],0)</f>
        <v/>
      </c>
      <c r="CL20" s="600" t="n">
        <v>0</v>
      </c>
      <c r="CM20" s="600">
        <f t="array" ref="CM20">INDEX(Tax_Tables[[Limits]:[Limits]],$CK20+CM$8)</f>
        <v/>
      </c>
      <c r="CN20" s="600">
        <f t="array" ref="CN20">INDEX(Tax_Tables[[Limits]:[Limits]],$CK20+CN$8)</f>
        <v/>
      </c>
      <c r="CO20" s="600">
        <f t="array" ref="CO20">INDEX(Tax_Tables[[Limits]:[Limits]],$CK20+CO$8)</f>
        <v/>
      </c>
      <c r="CP20" s="600">
        <f t="array" ref="CP20">INDEX(Tax_Tables[[Limits]:[Limits]],$CK20+CP$8)</f>
        <v/>
      </c>
      <c r="CQ20" s="600">
        <f t="array" ref="CQ20">INDEX(Tax_Tables[[Limits]:[Limits]],$CK20+CQ$8)</f>
        <v/>
      </c>
      <c r="CR20" s="600">
        <f t="array" ref="CR20">INDEX(Tax_Tables[[Limits]:[Limits]],$CK20+CR$8)</f>
        <v/>
      </c>
      <c r="CS20" s="37">
        <f>INDEX(Rebate[&lt;65],MATCH($CJ20,Rebate[[Tax Year]:[Tax Year]],0))</f>
        <v/>
      </c>
      <c r="CT20" s="37">
        <f>INDEX(Rebate[&lt;75],MATCH($CJ20,Rebate[[Tax Year]:[Tax Year]],0))</f>
        <v/>
      </c>
      <c r="CU20" s="37">
        <f>INDEX(Rebate[&gt;75],MATCH($CJ20,Rebate[[Tax Year]:[Tax Year]],0))</f>
        <v/>
      </c>
      <c r="CV20" s="37">
        <f>INDEX(Tax_Credit[Principal],MATCH($CJ20,Tax_Credit[[Tax Year]:[Tax Year]],0))</f>
        <v/>
      </c>
      <c r="CW20" s="37">
        <f>INDEX(Tax_Credit[First Dependant],MATCH($CJ20,Tax_Credit[[Tax Year]:[Tax Year]],0))</f>
        <v/>
      </c>
      <c r="CX20" s="37">
        <f>INDEX(Tax_Credit[Each Additional],MATCH($CJ20,Tax_Credit[[Tax Year]:[Tax Year]],0))</f>
        <v/>
      </c>
      <c r="CY20" s="484">
        <f>Y20</f>
        <v/>
      </c>
      <c r="CZ20" s="601">
        <f>AP20</f>
        <v/>
      </c>
      <c r="DA20" s="37">
        <f t="array" ref="DA20">INDEX($CL20:$CR20,0,MATCH($CZ20,$CL20:$CR20,1))</f>
        <v/>
      </c>
      <c r="DB20" s="37">
        <f t="array" ref="DB20">IFERROR(INDEX(Tax_Tables[Percentages],$CK20+MATCH($DA20,$CL20:$CR20,0)-1),"")</f>
        <v/>
      </c>
      <c r="DC20" s="37">
        <f t="array" ref="DC20">IFERROR(INDEX(Tax_Tables[Tax],$CK20+MATCH($DA20,$CL20:$CR20,0)-1),"")</f>
        <v/>
      </c>
      <c r="DD20" s="37">
        <f>IF(CY20&lt;65,CS20,IF(CY20&lt;75,CT20,CU20))</f>
        <v/>
      </c>
      <c r="DE20" s="37">
        <f>CV20*(Summary!$C$31="Y")+(Summary!$C$31="Y")*(CW20*(Pre_MDep&gt;=1)+CX20*MAX(Pre_MDep-1,0))</f>
        <v/>
      </c>
      <c r="DF20" s="599">
        <f>IFERROR(MAX(DB20*(CZ20-DA20)+DC20-DD20-DE20*12,0),"")</f>
        <v/>
      </c>
      <c r="DG20" s="602" t="n"/>
      <c r="DH20" s="601">
        <f>BL20</f>
        <v/>
      </c>
      <c r="DI20" s="37">
        <f t="array" ref="DI20">INDEX($CL20:$CR20,0,MATCH($DH20,$CL20:$CR20,1))</f>
        <v/>
      </c>
      <c r="DJ20" s="37">
        <f t="array" ref="DJ20">IFERROR(INDEX(Tax_Tables[Percentages],$CK20+MATCH($DI20,$CL20:$CR20,0)-1),"")</f>
        <v/>
      </c>
      <c r="DK20" s="37">
        <f t="array" ref="DK20">IFERROR(INDEX(Tax_Tables[Tax],$CK20+MATCH($DI20,$CL20:$CR20,0)-1),"")</f>
        <v/>
      </c>
      <c r="DL20" s="37">
        <f>CV20*(Summary!$C$81="Y")+(Summary!$C$81="Y")*(CW20*(Post_MDep&gt;=1)+CX20*MAX(Post_MDep-1,0))</f>
        <v/>
      </c>
      <c r="DM20" s="599">
        <f>IFERROR(MAX(DJ20*(DH20-DI20)+DK20-DD20-DL20*12,0),"")</f>
        <v/>
      </c>
      <c r="DN20" s="601" t="n"/>
      <c r="DO20" s="37" t="n"/>
      <c r="DP20" s="37" t="n"/>
      <c r="DQ20" s="37" t="n"/>
      <c r="DR20" s="37" t="n"/>
      <c r="DS20" s="37" t="n"/>
      <c r="DT20" s="37" t="n"/>
      <c r="DU20" s="37" t="n"/>
      <c r="DV20" s="37" t="n"/>
      <c r="DW20" s="37" t="n"/>
      <c r="DX20" s="599" t="n"/>
      <c r="DY20" s="131" t="n"/>
      <c r="DZ20" s="601" t="n"/>
      <c r="EA20" s="37" t="n"/>
      <c r="EB20" s="37" t="n"/>
      <c r="EC20" s="37" t="n"/>
      <c r="ED20" s="599" t="n"/>
      <c r="EE20" s="595" t="n"/>
      <c r="EF20" s="25" t="n"/>
    </row>
    <row r="21">
      <c r="A21" s="6" t="n"/>
      <c r="B21" s="44" t="n"/>
      <c r="C21" s="596">
        <f>C20+D21-D20</f>
        <v/>
      </c>
      <c r="D21" s="160">
        <f>AU21</f>
        <v/>
      </c>
      <c r="E21" s="87">
        <f>IF(DoC=V21,"Calc Date",IF(V21&lt;DoC,"PL","FL"))</f>
        <v/>
      </c>
      <c r="F21" s="310">
        <f>IF(Summary!D14="",F20,Summary!D14)</f>
        <v/>
      </c>
      <c r="G21" s="31">
        <f>VLOOKUP(F21,C$10:D$148,2)</f>
        <v/>
      </c>
      <c r="H21" s="314">
        <f>IF(Summary!G14="",H20,Summary!G14)</f>
        <v/>
      </c>
      <c r="I21" s="282">
        <f>IF(Summary!E14="",I20,Summary!E14)</f>
        <v/>
      </c>
      <c r="J21" s="589">
        <f>I21*index/VLOOKUP($H21,CPI!A:E,4,FALSE)</f>
        <v/>
      </c>
      <c r="K21" s="589">
        <f>IF(L21="Linear",(J21-J20)/(G21-G20),0)</f>
        <v/>
      </c>
      <c r="L21" s="308">
        <f>IF(Summary!H14="",L20,Summary!H14)</f>
        <v/>
      </c>
      <c r="M21" s="137" t="n"/>
      <c r="N21" s="310">
        <f>IF(Summary!D64="",N20,Summary!D64)</f>
        <v/>
      </c>
      <c r="O21" s="31">
        <f>O20+N21-N20</f>
        <v/>
      </c>
      <c r="P21" s="314">
        <f>IF(Summary!G64="",P20,Summary!G64)</f>
        <v/>
      </c>
      <c r="Q21" s="282">
        <f>IF(Summary!E64="",Q20,Summary!E64)</f>
        <v/>
      </c>
      <c r="R21" s="589">
        <f>Q21*index/VLOOKUP($P21,CPI!A:E,4,FALSE)</f>
        <v/>
      </c>
      <c r="S21" s="589">
        <f>IF(T21="Linear",(R21-R20)/(O21-O20),0)</f>
        <v/>
      </c>
      <c r="T21" s="308">
        <f>IF(Summary!H64="",T20,Summary!H64)</f>
        <v/>
      </c>
      <c r="U21" s="144" t="n"/>
      <c r="V21" s="6">
        <f>IF(AND($V20=DoA,MONTH(V20)&lt;3),DATE(YEAR(DoA),3,1),IF(AND(IFERROR(DATEDIF(V20,DoC,"M"),12)&lt;12,IFERROR(DATEDIF(V20,DoC,"M"),12)&gt;0),DoC,DATE(YEAR(V20)+(1-AND(YEAR(DoC)=Current,V20=DoC)-AND(V20=DoA,MONTH(V20)&lt;3)),3,1)))</f>
        <v/>
      </c>
      <c r="W21" s="31">
        <f>IF(V21=DoR_Pre,IF(MONTH(DoR_Pre)&gt;3,YEAR(DoR_Pre)+1,YEAR(DoR_Pre)),IF(MONTH(V21)&gt;3,Current,YEAR(V21)))</f>
        <v/>
      </c>
      <c r="X21" s="597">
        <f>IF(W21=Current,ROUND((V21-V20)/365.25,5),_xlfn.IFNA(INDEX(Summary!$A$5:$A$22,MATCH('LOE Sc1'!W21,Summary!$C$5:$C$22,0)),IF(W21=Ret_Yr_pre,ROUND((DoR_Pre-V20)/365.25,5),ROUND((V21-V20)/365.25,2))))</f>
        <v/>
      </c>
      <c r="Y21" s="55">
        <f>IF(AND(V21=DoC,MONTH(DoC)&lt;&gt;3),ROUNDDOWN(DATEDIF(DoB,V22,"M")/12,),ROUNDDOWN(DATEDIF(DoB,V21,"M")/12,))</f>
        <v/>
      </c>
      <c r="Z21" s="590" t="n"/>
      <c r="AA21" s="25">
        <f>MAX(RetAge_Pre-Y21,0)</f>
        <v/>
      </c>
      <c r="AB21" s="26">
        <f t="array" ref="AB21">IF(W21&gt;Ret_Yr_pre,0,_xlfn.IFNA(VLOOKUP(Y21,F$11:J$1000,5,),IF(AND(W21=Current,V21&gt;DoC,MONTH(DoC)&lt;&gt;3),AB20,AB20+INDEX(K$11:K$1000,MATCH(Y21,F$11:F$1000,1)+1))))</f>
        <v/>
      </c>
      <c r="AC21" s="590">
        <f>IF(V21&lt;DoC,AB21*VLOOKUP(YEAR(V21),CPI!A:E,4,FALSE)/index,AB21*real_i^INT(BP21))</f>
        <v/>
      </c>
      <c r="AD21" s="590">
        <f>$AC21/12*Bonus</f>
        <v/>
      </c>
      <c r="AE21" s="590">
        <f>IF($E21="FL",MedSub*m^INT(BP21),MedSub)*IF(Summary!$C$31="Y",1,0)*(W21&lt;=Ret_Yr_pre)*(Summary!C$31="Y")</f>
        <v/>
      </c>
      <c r="AF21" s="590">
        <f>IF(Summary!$C$30="Y",IF(E21&lt;&gt;"PL",VLOOKUP(Current,'Housing Allowance'!$A:$B,2,),VLOOKUP(YEAR($V21),'Housing Allowance'!$A:$B,2,)),0)*(W21&lt;=Ret_Yr_pre)</f>
        <v/>
      </c>
      <c r="AG21" s="590">
        <f>AC21*overtime</f>
        <v/>
      </c>
      <c r="AH21" s="590">
        <f>AC21*allow_1</f>
        <v/>
      </c>
      <c r="AI21" s="590">
        <f>(AB21&lt;&gt;0)*12*allow_2</f>
        <v/>
      </c>
      <c r="AJ21" s="590" t="n"/>
      <c r="AK21" s="581">
        <f>IF(YEAR(W21)&lt;=Ret_Yr_pre,SUM(AC21:AJ21),0)*IF($W21=Ret_Yr_pre,X21,1)</f>
        <v/>
      </c>
      <c r="AL21" s="581">
        <f>IF($W21&gt;=Ret_Yr_pre,pens_Pre*(GEPF_pre="Y"),0)*IF($W21=Ret_Yr_pre,1-$X21,1)*IF(Ret_Yr_pre&lt;Current,(_xlfn.IFNA(VLOOKUP($D21,CPI!$A:$E,2,FALSE),VLOOKUP(Current,CPI!$A:$E,2,FALSE))/VLOOKUP(Ret_Yr_pre,CPI!$A:$E,2,FALSE)),1)</f>
        <v/>
      </c>
      <c r="AM21" s="590">
        <f>$AC21*ee*IF($W21=Ret_Yr_pre,$X21,1)</f>
        <v/>
      </c>
      <c r="AN21" s="590">
        <f>$AC21*er*IF($W21=Ret_Yr_pre,$X21,1)</f>
        <v/>
      </c>
      <c r="AO21" s="590">
        <f>IF('LOE Sc1'!$W21=Ret_Yr_pre,Gratuity_Pre*(GEPF_pre="Y"),0)</f>
        <v/>
      </c>
      <c r="AP21" s="581">
        <f>AK21+AL21-$AM21-AN21*(GEPF_pre="Y")</f>
        <v/>
      </c>
      <c r="AQ21" s="590">
        <f>IF(DF21&lt;0,0,DF21)</f>
        <v/>
      </c>
      <c r="AR21" s="581">
        <f>(AP21-AQ21+AM21*(AM$7="Y")+AN21*(AN$7="Y"))*IF(W21&lt;Ret_Yr_pre,X21,1)+AO21</f>
        <v/>
      </c>
      <c r="AS21" s="595" t="n"/>
      <c r="AT21" s="6">
        <f>V21</f>
        <v/>
      </c>
      <c r="AU21" s="31">
        <f>W21</f>
        <v/>
      </c>
      <c r="AV21" s="598">
        <f>IF(AU21=Current,ROUND((AT21-AT20)/365.25,5),_xlfn.IFNA(INDEX(Summary!$A$55:$A$72,MATCH('LOE Sc1'!AU21,Summary!$C$55:$C$72,0)),IF(AU21=Ret_Yr_post,ROUND((DoR_Post-AT20)/365.25,5),ROUND((AT21-AT20)/365.25,2))))</f>
        <v/>
      </c>
      <c r="AW21" s="55">
        <f>Y21</f>
        <v/>
      </c>
      <c r="AX21" s="26">
        <f t="array" ref="AX21">IF(AU21&gt;Ret_Yr_post,0,_xlfn.IFNA(VLOOKUP(AW21,N$11:S$1000,5,),IF(AND(AU21=Current,AT21&gt;DoC,MONTH(DoC)&lt;&gt;3),AX20,AX20+INDEX(S$11:S$1000,MATCH(AW21,N$11:N$1000,1)+1))))</f>
        <v/>
      </c>
      <c r="AY21" s="590">
        <f>IF($V21&lt;DoC,AX21*VLOOKUP(YEAR($V21),CPI_Table,4,FALSE)/index,AX21*real_i^INT(BP21))</f>
        <v/>
      </c>
      <c r="AZ21" s="590">
        <f>$AY21/12*Bonus_Post*($AW21&lt;=RetAge_Post)</f>
        <v/>
      </c>
      <c r="BA21" s="590">
        <f>IF($E21="FL",MedSub*m^INT(BP21),MedSub)*IF(Summary!$C$81="Y",1,0)*($AU21&lt;=Ret_Yr_post)*(Summary!$C$81="Y")</f>
        <v/>
      </c>
      <c r="BB21" s="590">
        <f>IF(Summary!$C$80="Y",IF($E21&lt;&gt;"PL",VLOOKUP(Current,'Housing Allowance'!$A:$B,2,),VLOOKUP(YEAR($AT21),'Housing Allowance'!$A:$B,2,)),0)*($AU21&lt;=Ret_Yr_post)</f>
        <v/>
      </c>
      <c r="BC21" s="590">
        <f>AY21*overtime_post</f>
        <v/>
      </c>
      <c r="BD21" s="590">
        <f>$AY21*allow_1_post</f>
        <v/>
      </c>
      <c r="BE21" s="590">
        <f>($AY21&lt;&gt;0)*allow_2_post*12</f>
        <v/>
      </c>
      <c r="BF21" s="590" t="n"/>
      <c r="BG21" s="581">
        <f>IF(YEAR($V21)&lt;=Ret_Yr_post,SUM(AY21:BF21),0)*IF($W21=Ret_Yr_post,AV21,1)</f>
        <v/>
      </c>
      <c r="BH21" s="581">
        <f>IF($W21&gt;=Ret_Yr_post,pens_Post*(GEPF_pre="Y"),0)*IF($W21=Ret_Yr_post,1-$AV21,1)*IF(Ret_Yr_post&lt;Current,(_xlfn.IFNA(VLOOKUP($D21,CPI!$A:$E,2,FALSE),VLOOKUP(Current,CPI!$A:$E,2,FALSE))/VLOOKUP(Ret_Yr_post,CPI!$A:$E,2,FALSE)),1)</f>
        <v/>
      </c>
      <c r="BI21" s="590">
        <f>$AY21*ee_post*IF($W21=Ret_Yr_post,$AV21,1)</f>
        <v/>
      </c>
      <c r="BJ21" s="590">
        <f>$AY21*er_post*IF($W21=Ret_Yr_post,$AV21,1)</f>
        <v/>
      </c>
      <c r="BK21" s="590">
        <f>IF('LOE Sc1'!$W21=Ret_Yr_post,Gratuity_Post*(GEPF_post="Y"),0)</f>
        <v/>
      </c>
      <c r="BL21" s="581">
        <f>BG21+BH21-BI21-BJ21*(GEPF_post="Y")</f>
        <v/>
      </c>
      <c r="BM21" s="590">
        <f>IF(DM21&lt;0,0,DM21)</f>
        <v/>
      </c>
      <c r="BN21" s="581">
        <f>(BL21-BM21+BI21*(BI$7="Y")+BJ21*(BJ$7="Y"))*IF($W21&lt;Ret_Yr_post,AV21,1)+BK21</f>
        <v/>
      </c>
      <c r="BO21" s="591" t="n"/>
      <c r="BP21" s="592">
        <f>IF($E21="FL",IF($X21&lt;=DoC,DATEDIF(DoC,$V21,"M")/12,0),0)</f>
        <v/>
      </c>
      <c r="BQ21" s="592">
        <f>IF($E21="FL",(1+CPI)^INT(BP21),0)</f>
        <v/>
      </c>
      <c r="BR21" s="592">
        <f>IF($E21="FL",IF(($BP21-0.5)&gt;=0,1/(1+d)^($BP21-0.5),1/(1+d)^($BP21)),0)</f>
        <v/>
      </c>
      <c r="BS21" s="592" t="n"/>
      <c r="BT21" s="25">
        <f>IF(gender="M",VLOOKUP($Y21+pre_mort+IF(MONTH(DoC)&lt;MONTH(DoB),IF(MONTH(DoC)&lt;3,0,-1),IF(MONTH(DoB)&lt;3,-1,0)),'SALT LIFE TABLES'!$A$7:$E$106,2),VLOOKUP($Y21+pre_mort+IF(MONTH(DoC)&lt;MONTH(DoB),IF(MONTH(DoC)&lt;3,0,-1),IF(MONTH(DoB)&lt;3,-1,0)),'SALT LIFE TABLES'!$A$7:$E$106,4))</f>
        <v/>
      </c>
      <c r="BU21" s="592">
        <f>IF($E21="PL",1,BT21/BU$7)</f>
        <v/>
      </c>
      <c r="BV21" s="593" t="n"/>
      <c r="BW21" s="25">
        <f>IF(gender="M",VLOOKUP($Y21+post_mort+IF(MONTH(DoC)&lt;MONTH(DoB),IF(MONTH(DoC)&lt;3,0,-1),IF(MONTH(DoB)&lt;3,-1,0)),'SALT LIFE TABLES'!$A$7:$E$106,2),VLOOKUP($Y21+post_mort+IF(MONTH(DoC)&lt;MONTH(DoB),IF(MONTH(DoC)&lt;3,0,-1),IF(MONTH(DoB)&lt;3,-1,0)),'SALT LIFE TABLES'!$A$7:$E$106,4))</f>
        <v/>
      </c>
      <c r="BX21" s="592">
        <f>IF($E21="PL",1,BW21/BX$7)</f>
        <v/>
      </c>
      <c r="BY21" s="594" t="n"/>
      <c r="BZ21" s="592" t="n"/>
      <c r="CA21" s="592">
        <f>IF($E21="FL",$AR21*$BQ21*$BR21*$BU21,$AR21)</f>
        <v/>
      </c>
      <c r="CB21" s="592">
        <f>IF($E21="FL",$BN21*$BQ21*$BR21*$BX21,$BN21)</f>
        <v/>
      </c>
      <c r="CC21" s="592" t="n"/>
      <c r="CD21" s="592">
        <f>IF($E21="FL",$CA21*(1-pre_FL),$CA21*(1-pre_PL))</f>
        <v/>
      </c>
      <c r="CE21" s="592">
        <f>IF($E21="FL",$CB21*(1-post_FL),$CB21*(1-post_PL))</f>
        <v/>
      </c>
      <c r="CF21" s="592" t="n"/>
      <c r="CG21" s="599">
        <f>CD21-CE21</f>
        <v/>
      </c>
      <c r="CH21" s="599">
        <f>MIN(CG21,IF(W21=Ret_Yr_pre,1,$X21)*Cap)</f>
        <v/>
      </c>
      <c r="CI21" s="128" t="n"/>
      <c r="CJ21" s="37">
        <f>IF(D21&gt;Current,Current,D21)</f>
        <v/>
      </c>
      <c r="CK21" s="37">
        <f>MATCH($CJ21,Tax_Tables[Tax Year],0)</f>
        <v/>
      </c>
      <c r="CL21" s="600" t="n">
        <v>0</v>
      </c>
      <c r="CM21" s="600">
        <f t="array" ref="CM21">INDEX(Tax_Tables[[Limits]:[Limits]],$CK21+CM$8)</f>
        <v/>
      </c>
      <c r="CN21" s="600">
        <f t="array" ref="CN21">INDEX(Tax_Tables[[Limits]:[Limits]],$CK21+CN$8)</f>
        <v/>
      </c>
      <c r="CO21" s="600">
        <f t="array" ref="CO21">INDEX(Tax_Tables[[Limits]:[Limits]],$CK21+CO$8)</f>
        <v/>
      </c>
      <c r="CP21" s="600">
        <f t="array" ref="CP21">INDEX(Tax_Tables[[Limits]:[Limits]],$CK21+CP$8)</f>
        <v/>
      </c>
      <c r="CQ21" s="600">
        <f t="array" ref="CQ21">INDEX(Tax_Tables[[Limits]:[Limits]],$CK21+CQ$8)</f>
        <v/>
      </c>
      <c r="CR21" s="600">
        <f t="array" ref="CR21">INDEX(Tax_Tables[[Limits]:[Limits]],$CK21+CR$8)</f>
        <v/>
      </c>
      <c r="CS21" s="37">
        <f>INDEX(Rebate[&lt;65],MATCH($CJ21,Rebate[[Tax Year]:[Tax Year]],0))</f>
        <v/>
      </c>
      <c r="CT21" s="37">
        <f>INDEX(Rebate[&lt;75],MATCH($CJ21,Rebate[[Tax Year]:[Tax Year]],0))</f>
        <v/>
      </c>
      <c r="CU21" s="37">
        <f>INDEX(Rebate[&gt;75],MATCH($CJ21,Rebate[[Tax Year]:[Tax Year]],0))</f>
        <v/>
      </c>
      <c r="CV21" s="37">
        <f>INDEX(Tax_Credit[Principal],MATCH($CJ21,Tax_Credit[[Tax Year]:[Tax Year]],0))</f>
        <v/>
      </c>
      <c r="CW21" s="37">
        <f>INDEX(Tax_Credit[First Dependant],MATCH($CJ21,Tax_Credit[[Tax Year]:[Tax Year]],0))</f>
        <v/>
      </c>
      <c r="CX21" s="37">
        <f>INDEX(Tax_Credit[Each Additional],MATCH($CJ21,Tax_Credit[[Tax Year]:[Tax Year]],0))</f>
        <v/>
      </c>
      <c r="CY21" s="484">
        <f>Y21</f>
        <v/>
      </c>
      <c r="CZ21" s="601">
        <f>AP21</f>
        <v/>
      </c>
      <c r="DA21" s="37">
        <f t="array" ref="DA21">INDEX($CL21:$CR21,0,MATCH($CZ21,$CL21:$CR21,1))</f>
        <v/>
      </c>
      <c r="DB21" s="37">
        <f t="array" ref="DB21">IFERROR(INDEX(Tax_Tables[Percentages],$CK21+MATCH($DA21,$CL21:$CR21,0)-1),"")</f>
        <v/>
      </c>
      <c r="DC21" s="37">
        <f t="array" ref="DC21">IFERROR(INDEX(Tax_Tables[Tax],$CK21+MATCH($DA21,$CL21:$CR21,0)-1),"")</f>
        <v/>
      </c>
      <c r="DD21" s="37">
        <f>IF(CY21&lt;65,CS21,IF(CY21&lt;75,CT21,CU21))</f>
        <v/>
      </c>
      <c r="DE21" s="37">
        <f>CV21*(Summary!$C$31="Y")+(Summary!$C$31="Y")*(CW21*(Pre_MDep&gt;=1)+CX21*MAX(Pre_MDep-1,0))</f>
        <v/>
      </c>
      <c r="DF21" s="599">
        <f>IFERROR(MAX(DB21*(CZ21-DA21)+DC21-DD21-DE21*12,0),"")</f>
        <v/>
      </c>
      <c r="DG21" s="602" t="n"/>
      <c r="DH21" s="601">
        <f>BL21</f>
        <v/>
      </c>
      <c r="DI21" s="37">
        <f t="array" ref="DI21">INDEX($CL21:$CR21,0,MATCH($DH21,$CL21:$CR21,1))</f>
        <v/>
      </c>
      <c r="DJ21" s="37">
        <f t="array" ref="DJ21">IFERROR(INDEX(Tax_Tables[Percentages],$CK21+MATCH($DI21,$CL21:$CR21,0)-1),"")</f>
        <v/>
      </c>
      <c r="DK21" s="37">
        <f t="array" ref="DK21">IFERROR(INDEX(Tax_Tables[Tax],$CK21+MATCH($DI21,$CL21:$CR21,0)-1),"")</f>
        <v/>
      </c>
      <c r="DL21" s="37">
        <f>CV21*(Summary!$C$81="Y")+(Summary!$C$81="Y")*(CW21*(Post_MDep&gt;=1)+CX21*MAX(Post_MDep-1,0))</f>
        <v/>
      </c>
      <c r="DM21" s="599">
        <f>IFERROR(MAX(DJ21*(DH21-DI21)+DK21-DD21-DL21*12,0),"")</f>
        <v/>
      </c>
      <c r="DN21" s="601" t="n"/>
      <c r="DO21" s="37" t="n"/>
      <c r="DP21" s="37" t="n"/>
      <c r="DQ21" s="37" t="n"/>
      <c r="DR21" s="37" t="n"/>
      <c r="DS21" s="37" t="n"/>
      <c r="DT21" s="37" t="n"/>
      <c r="DU21" s="37" t="n"/>
      <c r="DV21" s="37" t="n"/>
      <c r="DW21" s="37" t="n"/>
      <c r="DX21" s="599" t="n"/>
      <c r="DY21" s="131" t="n"/>
      <c r="DZ21" s="601" t="n"/>
      <c r="EA21" s="37" t="n"/>
      <c r="EB21" s="37" t="n"/>
      <c r="EC21" s="37" t="n"/>
      <c r="ED21" s="599" t="n"/>
      <c r="EE21" s="595" t="n"/>
      <c r="EF21" s="25" t="n"/>
    </row>
    <row r="22">
      <c r="A22" s="6" t="n"/>
      <c r="B22" s="45" t="n"/>
      <c r="C22" s="596">
        <f>C21+D22-D21</f>
        <v/>
      </c>
      <c r="D22" s="160">
        <f>AU22</f>
        <v/>
      </c>
      <c r="E22" s="87">
        <f>IF(DoC=V22,"Calc Date",IF(V22&lt;DoC,"PL","FL"))</f>
        <v/>
      </c>
      <c r="F22" s="310">
        <f>IF(Summary!D15="",F21,Summary!D15)</f>
        <v/>
      </c>
      <c r="G22" s="31">
        <f>VLOOKUP(F22,C$10:D$148,2)</f>
        <v/>
      </c>
      <c r="H22" s="314">
        <f>IF(Summary!G15="",H21,Summary!G15)</f>
        <v/>
      </c>
      <c r="I22" s="282">
        <f>IF(Summary!E15="",I21,Summary!E15)</f>
        <v/>
      </c>
      <c r="J22" s="589">
        <f>I22*index/VLOOKUP($H22,CPI!A:E,4,FALSE)</f>
        <v/>
      </c>
      <c r="K22" s="589">
        <f>IF(L22="Linear",(J22-J21)/(G22-G21),0)</f>
        <v/>
      </c>
      <c r="L22" s="308">
        <f>IF(Summary!H15="",L21,Summary!H15)</f>
        <v/>
      </c>
      <c r="M22" s="137" t="n"/>
      <c r="N22" s="310">
        <f>IF(Summary!D65="",N21,Summary!D65)</f>
        <v/>
      </c>
      <c r="O22" s="31">
        <f>O21+N22-N21</f>
        <v/>
      </c>
      <c r="P22" s="314">
        <f>IF(Summary!G65="",P21,Summary!G65)</f>
        <v/>
      </c>
      <c r="Q22" s="282">
        <f>IF(Summary!E65="",Q21,Summary!E65)</f>
        <v/>
      </c>
      <c r="R22" s="589">
        <f>Q22*index/VLOOKUP($P22,CPI!A:E,4,FALSE)</f>
        <v/>
      </c>
      <c r="S22" s="589">
        <f>IF(T22="Linear",(R22-R21)/(O22-O21),0)</f>
        <v/>
      </c>
      <c r="T22" s="308">
        <f>IF(Summary!H65="",T21,Summary!H65)</f>
        <v/>
      </c>
      <c r="U22" s="144" t="n"/>
      <c r="V22" s="6">
        <f>IF(AND($V21=DoA,MONTH(V21)&lt;3),DATE(YEAR(DoA),3,1),IF(AND(IFERROR(DATEDIF(V21,DoC,"M"),12)&lt;12,IFERROR(DATEDIF(V21,DoC,"M"),12)&gt;0),DoC,DATE(YEAR(V21)+(1-AND(YEAR(DoC)=Current,V21=DoC)-AND(V21=DoA,MONTH(V21)&lt;3)),3,1)))</f>
        <v/>
      </c>
      <c r="W22" s="31">
        <f>IF(V22=DoR_Pre,IF(MONTH(DoR_Pre)&gt;3,YEAR(DoR_Pre)+1,YEAR(DoR_Pre)),IF(MONTH(V22)&gt;3,Current,YEAR(V22)))</f>
        <v/>
      </c>
      <c r="X22" s="597">
        <f>IF(W22=Current,ROUND((V22-V21)/365.25,5),_xlfn.IFNA(INDEX(Summary!$A$5:$A$22,MATCH('LOE Sc1'!W22,Summary!$C$5:$C$22,0)),IF(W22=Ret_Yr_pre,ROUND((DoR_Pre-V21)/365.25,5),ROUND((V22-V21)/365.25,2))))</f>
        <v/>
      </c>
      <c r="Y22" s="55">
        <f>IF(AND(V22=DoC,MONTH(DoC)&lt;&gt;3),ROUNDDOWN(DATEDIF(DoB,V23,"M")/12,),ROUNDDOWN(DATEDIF(DoB,V22,"M")/12,))</f>
        <v/>
      </c>
      <c r="Z22" s="590" t="n"/>
      <c r="AA22" s="25">
        <f>MAX(RetAge_Pre-Y22,0)</f>
        <v/>
      </c>
      <c r="AB22" s="26">
        <f t="array" ref="AB22">IF(W22&gt;Ret_Yr_pre,0,_xlfn.IFNA(VLOOKUP(Y22,F$11:J$1000,5,),IF(AND(W22=Current,V22&gt;DoC,MONTH(DoC)&lt;&gt;3),AB21,AB21+INDEX(K$11:K$1000,MATCH(Y22,F$11:F$1000,1)+1))))</f>
        <v/>
      </c>
      <c r="AC22" s="590">
        <f>IF(V22&lt;DoC,AB22*VLOOKUP(YEAR(V22),CPI!A:E,4,FALSE)/index,AB22*real_i^INT(BP22))</f>
        <v/>
      </c>
      <c r="AD22" s="590">
        <f>$AC22/12*Bonus</f>
        <v/>
      </c>
      <c r="AE22" s="590">
        <f>IF($E22="FL",MedSub*m^INT(BP22),MedSub)*IF(Summary!$C$31="Y",1,0)*(W22&lt;=Ret_Yr_pre)*(Summary!C$31="Y")</f>
        <v/>
      </c>
      <c r="AF22" s="590">
        <f>IF(Summary!$C$30="Y",IF(E22&lt;&gt;"PL",VLOOKUP(Current,'Housing Allowance'!$A:$B,2,),VLOOKUP(YEAR($V22),'Housing Allowance'!$A:$B,2,)),0)*(W22&lt;=Ret_Yr_pre)</f>
        <v/>
      </c>
      <c r="AG22" s="590">
        <f>AC22*overtime</f>
        <v/>
      </c>
      <c r="AH22" s="590">
        <f>AC22*allow_1</f>
        <v/>
      </c>
      <c r="AI22" s="590">
        <f>(AB22&lt;&gt;0)*12*allow_2</f>
        <v/>
      </c>
      <c r="AJ22" s="590" t="n"/>
      <c r="AK22" s="581">
        <f>IF(YEAR(W22)&lt;=Ret_Yr_pre,SUM(AC22:AJ22),0)*IF($W22=Ret_Yr_pre,X22,1)</f>
        <v/>
      </c>
      <c r="AL22" s="581">
        <f>IF($W22&gt;=Ret_Yr_pre,pens_Pre*(GEPF_pre="Y"),0)*IF($W22=Ret_Yr_pre,1-$X22,1)*IF(Ret_Yr_pre&lt;Current,(_xlfn.IFNA(VLOOKUP($D22,CPI!$A:$E,2,FALSE),VLOOKUP(Current,CPI!$A:$E,2,FALSE))/VLOOKUP(Ret_Yr_pre,CPI!$A:$E,2,FALSE)),1)</f>
        <v/>
      </c>
      <c r="AM22" s="590">
        <f>$AC22*ee*IF($W22=Ret_Yr_pre,$X22,1)</f>
        <v/>
      </c>
      <c r="AN22" s="590">
        <f>$AC22*er*IF($W22=Ret_Yr_pre,$X22,1)</f>
        <v/>
      </c>
      <c r="AO22" s="590">
        <f>IF('LOE Sc1'!$W22=Ret_Yr_pre,Gratuity_Pre*(GEPF_pre="Y"),0)</f>
        <v/>
      </c>
      <c r="AP22" s="581">
        <f>AK22+AL22-$AM22-AN22*(GEPF_pre="Y")</f>
        <v/>
      </c>
      <c r="AQ22" s="590">
        <f>IF(DF22&lt;0,0,DF22)</f>
        <v/>
      </c>
      <c r="AR22" s="581">
        <f>(AP22-AQ22+AM22*(AM$7="Y")+AN22*(AN$7="Y"))*IF(W22&lt;Ret_Yr_pre,X22,1)+AO22</f>
        <v/>
      </c>
      <c r="AS22" s="595" t="n"/>
      <c r="AT22" s="6">
        <f>V22</f>
        <v/>
      </c>
      <c r="AU22" s="31">
        <f>W22</f>
        <v/>
      </c>
      <c r="AV22" s="598">
        <f>IF(AU22=Current,ROUND((AT22-AT21)/365.25,5),_xlfn.IFNA(INDEX(Summary!$A$55:$A$72,MATCH('LOE Sc1'!AU22,Summary!$C$55:$C$72,0)),IF(AU22=Ret_Yr_post,ROUND((DoR_Post-AT21)/365.25,5),ROUND((AT22-AT21)/365.25,2))))</f>
        <v/>
      </c>
      <c r="AW22" s="55">
        <f>Y22</f>
        <v/>
      </c>
      <c r="AX22" s="26">
        <f t="array" ref="AX22">IF(AU22&gt;Ret_Yr_post,0,_xlfn.IFNA(VLOOKUP(AW22,N$11:S$1000,5,),IF(AND(AU22=Current,AT22&gt;DoC,MONTH(DoC)&lt;&gt;3),AX21,AX21+INDEX(S$11:S$1000,MATCH(AW22,N$11:N$1000,1)+1))))</f>
        <v/>
      </c>
      <c r="AY22" s="590">
        <f>IF($V22&lt;DoC,AX22*VLOOKUP(YEAR($V22),CPI_Table,4,FALSE)/index,AX22*real_i^INT(BP22))</f>
        <v/>
      </c>
      <c r="AZ22" s="590">
        <f>$AY22/12*Bonus_Post*($AW22&lt;=RetAge_Post)</f>
        <v/>
      </c>
      <c r="BA22" s="590">
        <f>IF($E22="FL",MedSub*m^INT(BP22),MedSub)*IF(Summary!$C$81="Y",1,0)*($AU22&lt;=Ret_Yr_post)*(Summary!$C$81="Y")</f>
        <v/>
      </c>
      <c r="BB22" s="590">
        <f>IF(Summary!$C$80="Y",IF($E22&lt;&gt;"PL",VLOOKUP(Current,'Housing Allowance'!$A:$B,2,),VLOOKUP(YEAR($AT22),'Housing Allowance'!$A:$B,2,)),0)*($AU22&lt;=Ret_Yr_post)</f>
        <v/>
      </c>
      <c r="BC22" s="590">
        <f>AY22*overtime_post</f>
        <v/>
      </c>
      <c r="BD22" s="590">
        <f>$AY22*allow_1_post</f>
        <v/>
      </c>
      <c r="BE22" s="590">
        <f>($AY22&lt;&gt;0)*allow_2_post*12</f>
        <v/>
      </c>
      <c r="BF22" s="590" t="n"/>
      <c r="BG22" s="581">
        <f>IF(YEAR($V22)&lt;=Ret_Yr_post,SUM(AY22:BF22),0)*IF($W22=Ret_Yr_post,AV22,1)</f>
        <v/>
      </c>
      <c r="BH22" s="581">
        <f>IF($W22&gt;=Ret_Yr_post,pens_Post*(GEPF_pre="Y"),0)*IF($W22=Ret_Yr_post,1-$AV22,1)*IF(Ret_Yr_post&lt;Current,(_xlfn.IFNA(VLOOKUP($D22,CPI!$A:$E,2,FALSE),VLOOKUP(Current,CPI!$A:$E,2,FALSE))/VLOOKUP(Ret_Yr_post,CPI!$A:$E,2,FALSE)),1)</f>
        <v/>
      </c>
      <c r="BI22" s="590">
        <f>$AY22*ee_post*IF($W22=Ret_Yr_post,$AV22,1)</f>
        <v/>
      </c>
      <c r="BJ22" s="590">
        <f>$AY22*er_post*IF($W22=Ret_Yr_post,$AV22,1)</f>
        <v/>
      </c>
      <c r="BK22" s="590">
        <f>IF('LOE Sc1'!$W22=Ret_Yr_post,Gratuity_Post*(GEPF_post="Y"),0)</f>
        <v/>
      </c>
      <c r="BL22" s="581">
        <f>BG22+BH22-BI22-BJ22*(GEPF_post="Y")</f>
        <v/>
      </c>
      <c r="BM22" s="590">
        <f>IF(DM22&lt;0,0,DM22)</f>
        <v/>
      </c>
      <c r="BN22" s="581">
        <f>(BL22-BM22+BI22*(BI$7="Y")+BJ22*(BJ$7="Y"))*IF($W22&lt;Ret_Yr_post,AV22,1)+BK22</f>
        <v/>
      </c>
      <c r="BO22" s="591" t="n"/>
      <c r="BP22" s="592">
        <f>IF($E22="FL",IF($X22&lt;=DoC,DATEDIF(DoC,$V22,"M")/12,0),0)</f>
        <v/>
      </c>
      <c r="BQ22" s="592">
        <f>IF($E22="FL",(1+CPI)^INT(BP22),0)</f>
        <v/>
      </c>
      <c r="BR22" s="592">
        <f>IF($E22="FL",IF(($BP22-0.5)&gt;=0,1/(1+d)^($BP22-0.5),1/(1+d)^($BP22)),0)</f>
        <v/>
      </c>
      <c r="BS22" s="592" t="n"/>
      <c r="BT22" s="25">
        <f>IF(gender="M",VLOOKUP($Y22+pre_mort+IF(MONTH(DoC)&lt;MONTH(DoB),IF(MONTH(DoC)&lt;3,0,-1),IF(MONTH(DoB)&lt;3,-1,0)),'SALT LIFE TABLES'!$A$7:$E$106,2),VLOOKUP($Y22+pre_mort+IF(MONTH(DoC)&lt;MONTH(DoB),IF(MONTH(DoC)&lt;3,0,-1),IF(MONTH(DoB)&lt;3,-1,0)),'SALT LIFE TABLES'!$A$7:$E$106,4))</f>
        <v/>
      </c>
      <c r="BU22" s="592">
        <f>IF($E22="PL",1,BT22/BU$7)</f>
        <v/>
      </c>
      <c r="BV22" s="593" t="n"/>
      <c r="BW22" s="25">
        <f>IF(gender="M",VLOOKUP($Y22+post_mort+IF(MONTH(DoC)&lt;MONTH(DoB),IF(MONTH(DoC)&lt;3,0,-1),IF(MONTH(DoB)&lt;3,-1,0)),'SALT LIFE TABLES'!$A$7:$E$106,2),VLOOKUP($Y22+post_mort+IF(MONTH(DoC)&lt;MONTH(DoB),IF(MONTH(DoC)&lt;3,0,-1),IF(MONTH(DoB)&lt;3,-1,0)),'SALT LIFE TABLES'!$A$7:$E$106,4))</f>
        <v/>
      </c>
      <c r="BX22" s="592">
        <f>IF($E22="PL",1,BW22/BX$7)</f>
        <v/>
      </c>
      <c r="BY22" s="594" t="n"/>
      <c r="BZ22" s="592" t="n"/>
      <c r="CA22" s="592">
        <f>IF($E22="FL",$AR22*$BQ22*$BR22*$BU22,$AR22)</f>
        <v/>
      </c>
      <c r="CB22" s="592">
        <f>IF($E22="FL",$BN22*$BQ22*$BR22*$BX22,$BN22)</f>
        <v/>
      </c>
      <c r="CC22" s="592" t="n"/>
      <c r="CD22" s="592">
        <f>IF($E22="FL",$CA22*(1-pre_FL),$CA22*(1-pre_PL))</f>
        <v/>
      </c>
      <c r="CE22" s="592">
        <f>IF($E22="FL",$CB22*(1-post_FL),$CB22*(1-post_PL))</f>
        <v/>
      </c>
      <c r="CF22" s="592" t="n"/>
      <c r="CG22" s="599">
        <f>CD22-CE22</f>
        <v/>
      </c>
      <c r="CH22" s="599">
        <f>MIN(CG22,IF(W22=Ret_Yr_pre,1,$X22)*Cap)</f>
        <v/>
      </c>
      <c r="CI22" s="128" t="n"/>
      <c r="CJ22" s="37">
        <f>IF(D22&gt;Current,Current,D22)</f>
        <v/>
      </c>
      <c r="CK22" s="37">
        <f>MATCH($CJ22,Tax_Tables[Tax Year],0)</f>
        <v/>
      </c>
      <c r="CL22" s="600" t="n">
        <v>0</v>
      </c>
      <c r="CM22" s="600">
        <f t="array" ref="CM22">INDEX(Tax_Tables[[Limits]:[Limits]],$CK22+CM$8)</f>
        <v/>
      </c>
      <c r="CN22" s="600">
        <f t="array" ref="CN22">INDEX(Tax_Tables[[Limits]:[Limits]],$CK22+CN$8)</f>
        <v/>
      </c>
      <c r="CO22" s="600">
        <f t="array" ref="CO22">INDEX(Tax_Tables[[Limits]:[Limits]],$CK22+CO$8)</f>
        <v/>
      </c>
      <c r="CP22" s="600">
        <f t="array" ref="CP22">INDEX(Tax_Tables[[Limits]:[Limits]],$CK22+CP$8)</f>
        <v/>
      </c>
      <c r="CQ22" s="600">
        <f t="array" ref="CQ22">INDEX(Tax_Tables[[Limits]:[Limits]],$CK22+CQ$8)</f>
        <v/>
      </c>
      <c r="CR22" s="600">
        <f t="array" ref="CR22">INDEX(Tax_Tables[[Limits]:[Limits]],$CK22+CR$8)</f>
        <v/>
      </c>
      <c r="CS22" s="37">
        <f>INDEX(Rebate[&lt;65],MATCH($CJ22,Rebate[[Tax Year]:[Tax Year]],0))</f>
        <v/>
      </c>
      <c r="CT22" s="37">
        <f>INDEX(Rebate[&lt;75],MATCH($CJ22,Rebate[[Tax Year]:[Tax Year]],0))</f>
        <v/>
      </c>
      <c r="CU22" s="37">
        <f>INDEX(Rebate[&gt;75],MATCH($CJ22,Rebate[[Tax Year]:[Tax Year]],0))</f>
        <v/>
      </c>
      <c r="CV22" s="37">
        <f>INDEX(Tax_Credit[Principal],MATCH($CJ22,Tax_Credit[[Tax Year]:[Tax Year]],0))</f>
        <v/>
      </c>
      <c r="CW22" s="37">
        <f>INDEX(Tax_Credit[First Dependant],MATCH($CJ22,Tax_Credit[[Tax Year]:[Tax Year]],0))</f>
        <v/>
      </c>
      <c r="CX22" s="37">
        <f>INDEX(Tax_Credit[Each Additional],MATCH($CJ22,Tax_Credit[[Tax Year]:[Tax Year]],0))</f>
        <v/>
      </c>
      <c r="CY22" s="484">
        <f>Y22</f>
        <v/>
      </c>
      <c r="CZ22" s="601">
        <f>AP22</f>
        <v/>
      </c>
      <c r="DA22" s="37">
        <f t="array" ref="DA22">INDEX($CL22:$CR22,0,MATCH($CZ22,$CL22:$CR22,1))</f>
        <v/>
      </c>
      <c r="DB22" s="37">
        <f t="array" ref="DB22">IFERROR(INDEX(Tax_Tables[Percentages],$CK22+MATCH($DA22,$CL22:$CR22,0)-1),"")</f>
        <v/>
      </c>
      <c r="DC22" s="37">
        <f t="array" ref="DC22">IFERROR(INDEX(Tax_Tables[Tax],$CK22+MATCH($DA22,$CL22:$CR22,0)-1),"")</f>
        <v/>
      </c>
      <c r="DD22" s="37">
        <f>IF(CY22&lt;65,CS22,IF(CY22&lt;75,CT22,CU22))</f>
        <v/>
      </c>
      <c r="DE22" s="37">
        <f>CV22*(Summary!$C$31="Y")+(Summary!$C$31="Y")*(CW22*(Pre_MDep&gt;=1)+CX22*MAX(Pre_MDep-1,0))</f>
        <v/>
      </c>
      <c r="DF22" s="599">
        <f>IFERROR(MAX(DB22*(CZ22-DA22)+DC22-DD22-DE22*12,0),"")</f>
        <v/>
      </c>
      <c r="DG22" s="602" t="n"/>
      <c r="DH22" s="601">
        <f>BL22</f>
        <v/>
      </c>
      <c r="DI22" s="37">
        <f t="array" ref="DI22">INDEX($CL22:$CR22,0,MATCH($DH22,$CL22:$CR22,1))</f>
        <v/>
      </c>
      <c r="DJ22" s="37">
        <f t="array" ref="DJ22">IFERROR(INDEX(Tax_Tables[Percentages],$CK22+MATCH($DI22,$CL22:$CR22,0)-1),"")</f>
        <v/>
      </c>
      <c r="DK22" s="37">
        <f t="array" ref="DK22">IFERROR(INDEX(Tax_Tables[Tax],$CK22+MATCH($DI22,$CL22:$CR22,0)-1),"")</f>
        <v/>
      </c>
      <c r="DL22" s="37">
        <f>CV22*(Summary!$C$81="Y")+(Summary!$C$81="Y")*(CW22*(Post_MDep&gt;=1)+CX22*MAX(Post_MDep-1,0))</f>
        <v/>
      </c>
      <c r="DM22" s="599">
        <f>IFERROR(MAX(DJ22*(DH22-DI22)+DK22-DD22-DL22*12,0),"")</f>
        <v/>
      </c>
      <c r="DN22" s="601" t="n"/>
      <c r="DO22" s="37" t="n"/>
      <c r="DP22" s="37" t="n"/>
      <c r="DQ22" s="37" t="n"/>
      <c r="DR22" s="37" t="n"/>
      <c r="DS22" s="37" t="n"/>
      <c r="DT22" s="37" t="n"/>
      <c r="DU22" s="37" t="n"/>
      <c r="DV22" s="37" t="n"/>
      <c r="DW22" s="37" t="n"/>
      <c r="DX22" s="599" t="n"/>
      <c r="DY22" s="131" t="n"/>
      <c r="DZ22" s="601" t="n"/>
      <c r="EA22" s="37" t="n"/>
      <c r="EB22" s="37" t="n"/>
      <c r="EC22" s="37" t="n"/>
      <c r="ED22" s="599" t="n"/>
      <c r="EE22" s="595" t="n"/>
      <c r="EF22" s="25" t="n"/>
    </row>
    <row r="23">
      <c r="A23" s="6" t="n"/>
      <c r="B23" s="45" t="n"/>
      <c r="C23" s="596">
        <f>C22+D23-D22</f>
        <v/>
      </c>
      <c r="D23" s="160">
        <f>AU23</f>
        <v/>
      </c>
      <c r="E23" s="87">
        <f>IF(DoC=V23,"Calc Date",IF(V23&lt;DoC,"PL","FL"))</f>
        <v/>
      </c>
      <c r="F23" s="310">
        <f>IF(Summary!D16="",F22,Summary!D16)</f>
        <v/>
      </c>
      <c r="G23" s="31">
        <f>VLOOKUP(F23,C$10:D$148,2)</f>
        <v/>
      </c>
      <c r="H23" s="314">
        <f>IF(Summary!G16="",H22,Summary!G16)</f>
        <v/>
      </c>
      <c r="I23" s="282">
        <f>IF(Summary!E16="",I22,Summary!E16)</f>
        <v/>
      </c>
      <c r="J23" s="589">
        <f>I23*index/VLOOKUP($H23,CPI!A:E,4,FALSE)</f>
        <v/>
      </c>
      <c r="K23" s="589">
        <f>IF(L23="Linear",(J23-J22)/(G23-G22),0)</f>
        <v/>
      </c>
      <c r="L23" s="308">
        <f>IF(Summary!H16="",L22,Summary!H16)</f>
        <v/>
      </c>
      <c r="M23" s="137" t="n"/>
      <c r="N23" s="310">
        <f>IF(Summary!D66="",N22,Summary!D66)</f>
        <v/>
      </c>
      <c r="O23" s="31">
        <f>O22+N23-N22</f>
        <v/>
      </c>
      <c r="P23" s="314">
        <f>IF(Summary!G66="",P22,Summary!G66)</f>
        <v/>
      </c>
      <c r="Q23" s="282">
        <f>IF(Summary!E66="",Q22,Summary!E66)</f>
        <v/>
      </c>
      <c r="R23" s="589">
        <f>Q23*index/VLOOKUP($P23,CPI!A:E,4,FALSE)</f>
        <v/>
      </c>
      <c r="S23" s="589">
        <f>IF(T23="Linear",(R23-R22)/(O23-O22),0)</f>
        <v/>
      </c>
      <c r="T23" s="308">
        <f>IF(Summary!H66="",T22,Summary!H66)</f>
        <v/>
      </c>
      <c r="U23" s="144" t="n"/>
      <c r="V23" s="6">
        <f>IF(AND($V22=DoA,MONTH(V22)&lt;3),DATE(YEAR(DoA),3,1),IF(AND(IFERROR(DATEDIF(V22,DoC,"M"),12)&lt;12,IFERROR(DATEDIF(V22,DoC,"M"),12)&gt;0),DoC,DATE(YEAR(V22)+(1-AND(YEAR(DoC)=Current,V22=DoC)-AND(V22=DoA,MONTH(V22)&lt;3)),3,1)))</f>
        <v/>
      </c>
      <c r="W23" s="31">
        <f>IF(V23=DoR_Pre,IF(MONTH(DoR_Pre)&gt;3,YEAR(DoR_Pre)+1,YEAR(DoR_Pre)),IF(MONTH(V23)&gt;3,Current,YEAR(V23)))</f>
        <v/>
      </c>
      <c r="X23" s="597">
        <f>IF(W23=Current,ROUND((V23-V22)/365.25,5),_xlfn.IFNA(INDEX(Summary!$A$5:$A$22,MATCH('LOE Sc1'!W23,Summary!$C$5:$C$22,0)),IF(W23=Ret_Yr_pre,ROUND((DoR_Pre-V22)/365.25,5),ROUND((V23-V22)/365.25,2))))</f>
        <v/>
      </c>
      <c r="Y23" s="55">
        <f>IF(AND(V23=DoC,MONTH(DoC)&lt;&gt;3),ROUNDDOWN(DATEDIF(DoB,V24,"M")/12,),ROUNDDOWN(DATEDIF(DoB,V23,"M")/12,))</f>
        <v/>
      </c>
      <c r="Z23" s="590" t="n"/>
      <c r="AA23" s="25">
        <f>MAX(RetAge_Pre-Y23,0)</f>
        <v/>
      </c>
      <c r="AB23" s="26">
        <f t="array" ref="AB23">IF(W23&gt;Ret_Yr_pre,0,_xlfn.IFNA(VLOOKUP(Y23,F$11:J$1000,5,),IF(AND(W23=Current,V23&gt;DoC,MONTH(DoC)&lt;&gt;3),AB22,AB22+INDEX(K$11:K$1000,MATCH(Y23,F$11:F$1000,1)+1))))</f>
        <v/>
      </c>
      <c r="AC23" s="590">
        <f>IF(V23&lt;DoC,AB23*VLOOKUP(YEAR(V23),CPI!A:E,4,FALSE)/index,AB23*real_i^INT(BP23))</f>
        <v/>
      </c>
      <c r="AD23" s="590">
        <f>$AC23/12*Bonus</f>
        <v/>
      </c>
      <c r="AE23" s="590">
        <f>IF($E23="FL",MedSub*m^INT(BP23),MedSub)*IF(Summary!$C$31="Y",1,0)*(W23&lt;=Ret_Yr_pre)*(Summary!C$31="Y")</f>
        <v/>
      </c>
      <c r="AF23" s="590">
        <f>IF(Summary!$C$30="Y",IF(E23&lt;&gt;"PL",VLOOKUP(Current,'Housing Allowance'!$A:$B,2,),VLOOKUP(YEAR($V23),'Housing Allowance'!$A:$B,2,)),0)*(W23&lt;=Ret_Yr_pre)</f>
        <v/>
      </c>
      <c r="AG23" s="590">
        <f>AC23*overtime</f>
        <v/>
      </c>
      <c r="AH23" s="590">
        <f>AC23*allow_1</f>
        <v/>
      </c>
      <c r="AI23" s="590">
        <f>(AB23&lt;&gt;0)*12*allow_2</f>
        <v/>
      </c>
      <c r="AJ23" s="590" t="n"/>
      <c r="AK23" s="581">
        <f>IF(YEAR(W23)&lt;=Ret_Yr_pre,SUM(AC23:AJ23),0)*IF($W23=Ret_Yr_pre,X23,1)</f>
        <v/>
      </c>
      <c r="AL23" s="581">
        <f>IF($W23&gt;=Ret_Yr_pre,pens_Pre*(GEPF_pre="Y"),0)*IF($W23=Ret_Yr_pre,1-$X23,1)*IF(Ret_Yr_pre&lt;Current,(_xlfn.IFNA(VLOOKUP($D23,CPI!$A:$E,2,FALSE),VLOOKUP(Current,CPI!$A:$E,2,FALSE))/VLOOKUP(Ret_Yr_pre,CPI!$A:$E,2,FALSE)),1)</f>
        <v/>
      </c>
      <c r="AM23" s="590">
        <f>$AC23*ee*IF($W23=Ret_Yr_pre,$X23,1)</f>
        <v/>
      </c>
      <c r="AN23" s="590">
        <f>$AC23*er*IF($W23=Ret_Yr_pre,$X23,1)</f>
        <v/>
      </c>
      <c r="AO23" s="590">
        <f>IF('LOE Sc1'!$W23=Ret_Yr_pre,Gratuity_Pre*(GEPF_pre="Y"),0)</f>
        <v/>
      </c>
      <c r="AP23" s="581">
        <f>AK23+AL23-$AM23-AN23*(GEPF_pre="Y")</f>
        <v/>
      </c>
      <c r="AQ23" s="590">
        <f>IF(DF23&lt;0,0,DF23)</f>
        <v/>
      </c>
      <c r="AR23" s="581">
        <f>(AP23-AQ23+AM23*(AM$7="Y")+AN23*(AN$7="Y"))*IF(W23&lt;Ret_Yr_pre,X23,1)+AO23</f>
        <v/>
      </c>
      <c r="AS23" s="595" t="n"/>
      <c r="AT23" s="6">
        <f>V23</f>
        <v/>
      </c>
      <c r="AU23" s="31">
        <f>W23</f>
        <v/>
      </c>
      <c r="AV23" s="598">
        <f>IF(AU23=Current,ROUND((AT23-AT22)/365.25,5),_xlfn.IFNA(INDEX(Summary!$A$55:$A$72,MATCH('LOE Sc1'!AU23,Summary!$C$55:$C$72,0)),IF(AU23=Ret_Yr_post,ROUND((DoR_Post-AT22)/365.25,5),ROUND((AT23-AT22)/365.25,2))))</f>
        <v/>
      </c>
      <c r="AW23" s="55">
        <f>Y23</f>
        <v/>
      </c>
      <c r="AX23" s="26">
        <f t="array" ref="AX23">IF(AU23&gt;Ret_Yr_post,0,_xlfn.IFNA(VLOOKUP(AW23,N$11:S$1000,5,),IF(AND(AU23=Current,AT23&gt;DoC,MONTH(DoC)&lt;&gt;3),AX22,AX22+INDEX(S$11:S$1000,MATCH(AW23,N$11:N$1000,1)+1))))</f>
        <v/>
      </c>
      <c r="AY23" s="590">
        <f>IF($V23&lt;DoC,AX23*VLOOKUP(YEAR($V23),CPI_Table,4,FALSE)/index,AX23*real_i^INT(BP23))</f>
        <v/>
      </c>
      <c r="AZ23" s="590">
        <f>$AY23/12*Bonus_Post*($AW23&lt;=RetAge_Post)</f>
        <v/>
      </c>
      <c r="BA23" s="590">
        <f>IF($E23="FL",MedSub*m^INT(BP23),MedSub)*IF(Summary!$C$81="Y",1,0)*($AU23&lt;=Ret_Yr_post)*(Summary!$C$81="Y")</f>
        <v/>
      </c>
      <c r="BB23" s="590">
        <f>IF(Summary!$C$80="Y",IF($E23&lt;&gt;"PL",VLOOKUP(Current,'Housing Allowance'!$A:$B,2,),VLOOKUP(YEAR($AT23),'Housing Allowance'!$A:$B,2,)),0)*($AU23&lt;=Ret_Yr_post)</f>
        <v/>
      </c>
      <c r="BC23" s="590">
        <f>AY23*overtime_post</f>
        <v/>
      </c>
      <c r="BD23" s="590">
        <f>$AY23*allow_1_post</f>
        <v/>
      </c>
      <c r="BE23" s="590">
        <f>($AY23&lt;&gt;0)*allow_2_post*12</f>
        <v/>
      </c>
      <c r="BF23" s="590" t="n"/>
      <c r="BG23" s="581">
        <f>IF(YEAR($V23)&lt;=Ret_Yr_post,SUM(AY23:BF23),0)*IF($W23=Ret_Yr_post,AV23,1)</f>
        <v/>
      </c>
      <c r="BH23" s="581">
        <f>IF($W23&gt;=Ret_Yr_post,pens_Post*(GEPF_pre="Y"),0)*IF($W23=Ret_Yr_post,1-$AV23,1)*IF(Ret_Yr_post&lt;Current,(_xlfn.IFNA(VLOOKUP($D23,CPI!$A:$E,2,FALSE),VLOOKUP(Current,CPI!$A:$E,2,FALSE))/VLOOKUP(Ret_Yr_post,CPI!$A:$E,2,FALSE)),1)</f>
        <v/>
      </c>
      <c r="BI23" s="590">
        <f>$AY23*ee_post*IF($W23=Ret_Yr_post,$AV23,1)</f>
        <v/>
      </c>
      <c r="BJ23" s="590">
        <f>$AY23*er_post*IF($W23=Ret_Yr_post,$AV23,1)</f>
        <v/>
      </c>
      <c r="BK23" s="590">
        <f>IF('LOE Sc1'!$W23=Ret_Yr_post,Gratuity_Post*(GEPF_post="Y"),0)</f>
        <v/>
      </c>
      <c r="BL23" s="581">
        <f>BG23+BH23-BI23-BJ23*(GEPF_post="Y")</f>
        <v/>
      </c>
      <c r="BM23" s="590">
        <f>IF(DM23&lt;0,0,DM23)</f>
        <v/>
      </c>
      <c r="BN23" s="581">
        <f>(BL23-BM23+BI23*(BI$7="Y")+BJ23*(BJ$7="Y"))*IF($W23&lt;Ret_Yr_post,AV23,1)+BK23</f>
        <v/>
      </c>
      <c r="BO23" s="591" t="n"/>
      <c r="BP23" s="592">
        <f>IF($E23="FL",IF($X23&lt;=DoC,DATEDIF(DoC,$V23,"M")/12,0),0)</f>
        <v/>
      </c>
      <c r="BQ23" s="592">
        <f>IF($E23="FL",(1+CPI)^INT(BP23),0)</f>
        <v/>
      </c>
      <c r="BR23" s="592">
        <f>IF($E23="FL",IF(($BP23-0.5)&gt;=0,1/(1+d)^($BP23-0.5),1/(1+d)^($BP23)),0)</f>
        <v/>
      </c>
      <c r="BS23" s="592" t="n"/>
      <c r="BT23" s="25">
        <f>IF(gender="M",VLOOKUP($Y23+pre_mort+IF(MONTH(DoC)&lt;MONTH(DoB),IF(MONTH(DoC)&lt;3,0,-1),IF(MONTH(DoB)&lt;3,-1,0)),'SALT LIFE TABLES'!$A$7:$E$106,2),VLOOKUP($Y23+pre_mort+IF(MONTH(DoC)&lt;MONTH(DoB),IF(MONTH(DoC)&lt;3,0,-1),IF(MONTH(DoB)&lt;3,-1,0)),'SALT LIFE TABLES'!$A$7:$E$106,4))</f>
        <v/>
      </c>
      <c r="BU23" s="592">
        <f>IF($E23="PL",1,BT23/BU$7)</f>
        <v/>
      </c>
      <c r="BV23" s="593" t="n"/>
      <c r="BW23" s="25">
        <f>IF(gender="M",VLOOKUP($Y23+post_mort+IF(MONTH(DoC)&lt;MONTH(DoB),IF(MONTH(DoC)&lt;3,0,-1),IF(MONTH(DoB)&lt;3,-1,0)),'SALT LIFE TABLES'!$A$7:$E$106,2),VLOOKUP($Y23+post_mort+IF(MONTH(DoC)&lt;MONTH(DoB),IF(MONTH(DoC)&lt;3,0,-1),IF(MONTH(DoB)&lt;3,-1,0)),'SALT LIFE TABLES'!$A$7:$E$106,4))</f>
        <v/>
      </c>
      <c r="BX23" s="592">
        <f>IF($E23="PL",1,BW23/BX$7)</f>
        <v/>
      </c>
      <c r="BY23" s="594" t="n"/>
      <c r="BZ23" s="592" t="n"/>
      <c r="CA23" s="592">
        <f>IF($E23="FL",$AR23*$BQ23*$BR23*$BU23,$AR23)</f>
        <v/>
      </c>
      <c r="CB23" s="592">
        <f>IF($E23="FL",$BN23*$BQ23*$BR23*$BX23,$BN23)</f>
        <v/>
      </c>
      <c r="CC23" s="592" t="n"/>
      <c r="CD23" s="592">
        <f>IF($E23="FL",$CA23*(1-pre_FL),$CA23*(1-pre_PL))</f>
        <v/>
      </c>
      <c r="CE23" s="592">
        <f>IF($E23="FL",$CB23*(1-post_FL),$CB23*(1-post_PL))</f>
        <v/>
      </c>
      <c r="CF23" s="592" t="n"/>
      <c r="CG23" s="599">
        <f>CD23-CE23</f>
        <v/>
      </c>
      <c r="CH23" s="599">
        <f>MIN(CG23,IF(W23=Ret_Yr_pre,1,$X23)*Cap)</f>
        <v/>
      </c>
      <c r="CI23" s="128" t="n"/>
      <c r="CJ23" s="37">
        <f>IF(D23&gt;Current,Current,D23)</f>
        <v/>
      </c>
      <c r="CK23" s="37">
        <f>MATCH($CJ23,Tax_Tables[Tax Year],0)</f>
        <v/>
      </c>
      <c r="CL23" s="600" t="n">
        <v>0</v>
      </c>
      <c r="CM23" s="600">
        <f t="array" ref="CM23">INDEX(Tax_Tables[[Limits]:[Limits]],$CK23+CM$8)</f>
        <v/>
      </c>
      <c r="CN23" s="600">
        <f t="array" ref="CN23">INDEX(Tax_Tables[[Limits]:[Limits]],$CK23+CN$8)</f>
        <v/>
      </c>
      <c r="CO23" s="600">
        <f t="array" ref="CO23">INDEX(Tax_Tables[[Limits]:[Limits]],$CK23+CO$8)</f>
        <v/>
      </c>
      <c r="CP23" s="600">
        <f t="array" ref="CP23">INDEX(Tax_Tables[[Limits]:[Limits]],$CK23+CP$8)</f>
        <v/>
      </c>
      <c r="CQ23" s="600">
        <f t="array" ref="CQ23">INDEX(Tax_Tables[[Limits]:[Limits]],$CK23+CQ$8)</f>
        <v/>
      </c>
      <c r="CR23" s="600">
        <f t="array" ref="CR23">INDEX(Tax_Tables[[Limits]:[Limits]],$CK23+CR$8)</f>
        <v/>
      </c>
      <c r="CS23" s="37">
        <f>INDEX(Rebate[&lt;65],MATCH($CJ23,Rebate[[Tax Year]:[Tax Year]],0))</f>
        <v/>
      </c>
      <c r="CT23" s="37">
        <f>INDEX(Rebate[&lt;75],MATCH($CJ23,Rebate[[Tax Year]:[Tax Year]],0))</f>
        <v/>
      </c>
      <c r="CU23" s="37">
        <f>INDEX(Rebate[&gt;75],MATCH($CJ23,Rebate[[Tax Year]:[Tax Year]],0))</f>
        <v/>
      </c>
      <c r="CV23" s="37">
        <f>INDEX(Tax_Credit[Principal],MATCH($CJ23,Tax_Credit[[Tax Year]:[Tax Year]],0))</f>
        <v/>
      </c>
      <c r="CW23" s="37">
        <f>INDEX(Tax_Credit[First Dependant],MATCH($CJ23,Tax_Credit[[Tax Year]:[Tax Year]],0))</f>
        <v/>
      </c>
      <c r="CX23" s="37">
        <f>INDEX(Tax_Credit[Each Additional],MATCH($CJ23,Tax_Credit[[Tax Year]:[Tax Year]],0))</f>
        <v/>
      </c>
      <c r="CY23" s="484">
        <f>Y23</f>
        <v/>
      </c>
      <c r="CZ23" s="601">
        <f>AP23</f>
        <v/>
      </c>
      <c r="DA23" s="37">
        <f t="array" ref="DA23">INDEX($CL23:$CR23,0,MATCH($CZ23,$CL23:$CR23,1))</f>
        <v/>
      </c>
      <c r="DB23" s="37">
        <f t="array" ref="DB23">IFERROR(INDEX(Tax_Tables[Percentages],$CK23+MATCH($DA23,$CL23:$CR23,0)-1),"")</f>
        <v/>
      </c>
      <c r="DC23" s="37">
        <f t="array" ref="DC23">IFERROR(INDEX(Tax_Tables[Tax],$CK23+MATCH($DA23,$CL23:$CR23,0)-1),"")</f>
        <v/>
      </c>
      <c r="DD23" s="37">
        <f>IF(CY23&lt;65,CS23,IF(CY23&lt;75,CT23,CU23))</f>
        <v/>
      </c>
      <c r="DE23" s="37">
        <f>CV23*(Summary!$C$31="Y")+(Summary!$C$31="Y")*(CW23*(Pre_MDep&gt;=1)+CX23*MAX(Pre_MDep-1,0))</f>
        <v/>
      </c>
      <c r="DF23" s="599">
        <f>IFERROR(MAX(DB23*(CZ23-DA23)+DC23-DD23-DE23*12,0),"")</f>
        <v/>
      </c>
      <c r="DG23" s="602" t="n"/>
      <c r="DH23" s="601">
        <f>BL23</f>
        <v/>
      </c>
      <c r="DI23" s="37">
        <f t="array" ref="DI23">INDEX($CL23:$CR23,0,MATCH($DH23,$CL23:$CR23,1))</f>
        <v/>
      </c>
      <c r="DJ23" s="37">
        <f t="array" ref="DJ23">IFERROR(INDEX(Tax_Tables[Percentages],$CK23+MATCH($DI23,$CL23:$CR23,0)-1),"")</f>
        <v/>
      </c>
      <c r="DK23" s="37">
        <f t="array" ref="DK23">IFERROR(INDEX(Tax_Tables[Tax],$CK23+MATCH($DI23,$CL23:$CR23,0)-1),"")</f>
        <v/>
      </c>
      <c r="DL23" s="37">
        <f>CV23*(Summary!$C$81="Y")+(Summary!$C$81="Y")*(CW23*(Post_MDep&gt;=1)+CX23*MAX(Post_MDep-1,0))</f>
        <v/>
      </c>
      <c r="DM23" s="599">
        <f>IFERROR(MAX(DJ23*(DH23-DI23)+DK23-DD23-DL23*12,0),"")</f>
        <v/>
      </c>
      <c r="DN23" s="601" t="n"/>
      <c r="DO23" s="37" t="n"/>
      <c r="DP23" s="37" t="n"/>
      <c r="DQ23" s="37" t="n"/>
      <c r="DR23" s="37" t="n"/>
      <c r="DS23" s="37" t="n"/>
      <c r="DT23" s="37" t="n"/>
      <c r="DU23" s="37" t="n"/>
      <c r="DV23" s="37" t="n"/>
      <c r="DW23" s="37" t="n"/>
      <c r="DX23" s="599" t="n"/>
      <c r="DY23" s="131" t="n"/>
      <c r="DZ23" s="601" t="n"/>
      <c r="EA23" s="37" t="n"/>
      <c r="EB23" s="37" t="n"/>
      <c r="EC23" s="37" t="n"/>
      <c r="ED23" s="599" t="n"/>
      <c r="EE23" s="595" t="n"/>
      <c r="EF23" s="25" t="n"/>
    </row>
    <row r="24">
      <c r="A24" s="6" t="n"/>
      <c r="B24" s="45" t="n"/>
      <c r="C24" s="596">
        <f>C23+D24-D23</f>
        <v/>
      </c>
      <c r="D24" s="160">
        <f>AU24</f>
        <v/>
      </c>
      <c r="E24" s="87">
        <f>IF(DoC=V24,"Calc Date",IF(V24&lt;DoC,"PL","FL"))</f>
        <v/>
      </c>
      <c r="F24" s="310">
        <f>IF(Summary!D17="",F23,Summary!D17)</f>
        <v/>
      </c>
      <c r="G24" s="31">
        <f>VLOOKUP(F24,C$10:D$148,2)</f>
        <v/>
      </c>
      <c r="H24" s="314">
        <f>IF(Summary!G17="",H23,Summary!G17)</f>
        <v/>
      </c>
      <c r="I24" s="282">
        <f>IF(Summary!E17="",I23,Summary!E17)</f>
        <v/>
      </c>
      <c r="J24" s="589">
        <f>I24*index/VLOOKUP($H24,CPI!A:E,4,FALSE)</f>
        <v/>
      </c>
      <c r="K24" s="589">
        <f>IF(L24="Linear",(J24-J23)/(G24-G23),0)</f>
        <v/>
      </c>
      <c r="L24" s="308">
        <f>IF(Summary!H17="",L23,Summary!H17)</f>
        <v/>
      </c>
      <c r="M24" s="137" t="n"/>
      <c r="N24" s="310">
        <f>IF(Summary!D67="",N23,Summary!D67)</f>
        <v/>
      </c>
      <c r="O24" s="31">
        <f>O23+N24-N23</f>
        <v/>
      </c>
      <c r="P24" s="314">
        <f>IF(Summary!G67="",P23,Summary!G67)</f>
        <v/>
      </c>
      <c r="Q24" s="282">
        <f>IF(Summary!E67="",Q23,Summary!E67)</f>
        <v/>
      </c>
      <c r="R24" s="589">
        <f>Q24*index/VLOOKUP($P24,CPI!A:E,4,FALSE)</f>
        <v/>
      </c>
      <c r="S24" s="589">
        <f>IF(T24="Linear",(R24-R23)/(O24-O23),0)</f>
        <v/>
      </c>
      <c r="T24" s="308">
        <f>IF(Summary!H67="",T23,Summary!H67)</f>
        <v/>
      </c>
      <c r="U24" s="144" t="n"/>
      <c r="V24" s="6">
        <f>IF(AND($V23=DoA,MONTH(V23)&lt;3),DATE(YEAR(DoA),3,1),IF(AND(IFERROR(DATEDIF(V23,DoC,"M"),12)&lt;12,IFERROR(DATEDIF(V23,DoC,"M"),12)&gt;0),DoC,DATE(YEAR(V23)+(1-AND(YEAR(DoC)=Current,V23=DoC)-AND(V23=DoA,MONTH(V23)&lt;3)),3,1)))</f>
        <v/>
      </c>
      <c r="W24" s="31">
        <f>IF(V24=DoR_Pre,IF(MONTH(DoR_Pre)&gt;3,YEAR(DoR_Pre)+1,YEAR(DoR_Pre)),IF(MONTH(V24)&gt;3,Current,YEAR(V24)))</f>
        <v/>
      </c>
      <c r="X24" s="597">
        <f>IF(W24=Current,ROUND((V24-V23)/365.25,5),_xlfn.IFNA(INDEX(Summary!$A$5:$A$22,MATCH('LOE Sc1'!W24,Summary!$C$5:$C$22,0)),IF(W24=Ret_Yr_pre,ROUND((DoR_Pre-V23)/365.25,5),ROUND((V24-V23)/365.25,2))))</f>
        <v/>
      </c>
      <c r="Y24" s="55">
        <f>IF(AND(V24=DoC,MONTH(DoC)&lt;&gt;3),ROUNDDOWN(DATEDIF(DoB,V25,"M")/12,),ROUNDDOWN(DATEDIF(DoB,V24,"M")/12,))</f>
        <v/>
      </c>
      <c r="Z24" s="590" t="n"/>
      <c r="AA24" s="25">
        <f>MAX(RetAge_Pre-Y24,0)</f>
        <v/>
      </c>
      <c r="AB24" s="26">
        <f t="array" ref="AB24">IF(W24&gt;Ret_Yr_pre,0,_xlfn.IFNA(VLOOKUP(Y24,F$11:J$1000,5,),IF(AND(W24=Current,V24&gt;DoC,MONTH(DoC)&lt;&gt;3),AB23,AB23+INDEX(K$11:K$1000,MATCH(Y24,F$11:F$1000,1)+1))))</f>
        <v/>
      </c>
      <c r="AC24" s="590">
        <f>IF(V24&lt;DoC,AB24*VLOOKUP(YEAR(V24),CPI!A:E,4,FALSE)/index,AB24*real_i^INT(BP24))</f>
        <v/>
      </c>
      <c r="AD24" s="590">
        <f>$AC24/12*Bonus</f>
        <v/>
      </c>
      <c r="AE24" s="590">
        <f>IF($E24="FL",MedSub*m^INT(BP24),MedSub)*IF(Summary!$C$31="Y",1,0)*(W24&lt;=Ret_Yr_pre)*(Summary!C$31="Y")</f>
        <v/>
      </c>
      <c r="AF24" s="590">
        <f>IF(Summary!$C$30="Y",IF(E24&lt;&gt;"PL",VLOOKUP(Current,'Housing Allowance'!$A:$B,2,),VLOOKUP(YEAR($V24),'Housing Allowance'!$A:$B,2,)),0)*(W24&lt;=Ret_Yr_pre)</f>
        <v/>
      </c>
      <c r="AG24" s="590">
        <f>AC24*overtime</f>
        <v/>
      </c>
      <c r="AH24" s="590">
        <f>AC24*allow_1</f>
        <v/>
      </c>
      <c r="AI24" s="590">
        <f>(AB24&lt;&gt;0)*12*allow_2</f>
        <v/>
      </c>
      <c r="AJ24" s="590" t="n"/>
      <c r="AK24" s="581">
        <f>IF(YEAR(W24)&lt;=Ret_Yr_pre,SUM(AC24:AJ24),0)*IF($W24=Ret_Yr_pre,X24,1)</f>
        <v/>
      </c>
      <c r="AL24" s="581">
        <f>IF($W24&gt;=Ret_Yr_pre,pens_Pre*(GEPF_pre="Y"),0)*IF($W24=Ret_Yr_pre,1-$X24,1)*IF(Ret_Yr_pre&lt;Current,(_xlfn.IFNA(VLOOKUP($D24,CPI!$A:$E,2,FALSE),VLOOKUP(Current,CPI!$A:$E,2,FALSE))/VLOOKUP(Ret_Yr_pre,CPI!$A:$E,2,FALSE)),1)</f>
        <v/>
      </c>
      <c r="AM24" s="590">
        <f>$AC24*ee*IF($W24=Ret_Yr_pre,$X24,1)</f>
        <v/>
      </c>
      <c r="AN24" s="590">
        <f>$AC24*er*IF($W24=Ret_Yr_pre,$X24,1)</f>
        <v/>
      </c>
      <c r="AO24" s="590">
        <f>IF('LOE Sc1'!$W24=Ret_Yr_pre,Gratuity_Pre*(GEPF_pre="Y"),0)</f>
        <v/>
      </c>
      <c r="AP24" s="581">
        <f>AK24+AL24-$AM24-AN24*(GEPF_pre="Y")</f>
        <v/>
      </c>
      <c r="AQ24" s="590">
        <f>IF(DF24&lt;0,0,DF24)</f>
        <v/>
      </c>
      <c r="AR24" s="581">
        <f>(AP24-AQ24+AM24*(AM$7="Y")+AN24*(AN$7="Y"))*IF(W24&lt;Ret_Yr_pre,X24,1)+AO24</f>
        <v/>
      </c>
      <c r="AS24" s="595" t="n"/>
      <c r="AT24" s="6">
        <f>V24</f>
        <v/>
      </c>
      <c r="AU24" s="31">
        <f>W24</f>
        <v/>
      </c>
      <c r="AV24" s="598">
        <f>IF(AU24=Current,ROUND((AT24-AT23)/365.25,5),_xlfn.IFNA(INDEX(Summary!$A$55:$A$72,MATCH('LOE Sc1'!AU24,Summary!$C$55:$C$72,0)),IF(AU24=Ret_Yr_post,ROUND((DoR_Post-AT23)/365.25,5),ROUND((AT24-AT23)/365.25,2))))</f>
        <v/>
      </c>
      <c r="AW24" s="55">
        <f>Y24</f>
        <v/>
      </c>
      <c r="AX24" s="26">
        <f t="array" ref="AX24">IF(AU24&gt;Ret_Yr_post,0,_xlfn.IFNA(VLOOKUP(AW24,N$11:S$1000,5,),IF(AND(AU24=Current,AT24&gt;DoC,MONTH(DoC)&lt;&gt;3),AX23,AX23+INDEX(S$11:S$1000,MATCH(AW24,N$11:N$1000,1)+1))))</f>
        <v/>
      </c>
      <c r="AY24" s="590">
        <f>IF($V24&lt;DoC,AX24*VLOOKUP(YEAR($V24),CPI_Table,4,FALSE)/index,AX24*real_i^INT(BP24))</f>
        <v/>
      </c>
      <c r="AZ24" s="590">
        <f>$AY24/12*Bonus_Post*($AW24&lt;=RetAge_Post)</f>
        <v/>
      </c>
      <c r="BA24" s="590">
        <f>IF($E24="FL",MedSub*m^INT(BP24),MedSub)*IF(Summary!$C$81="Y",1,0)*($AU24&lt;=Ret_Yr_post)*(Summary!$C$81="Y")</f>
        <v/>
      </c>
      <c r="BB24" s="590">
        <f>IF(Summary!$C$80="Y",IF($E24&lt;&gt;"PL",VLOOKUP(Current,'Housing Allowance'!$A:$B,2,),VLOOKUP(YEAR($AT24),'Housing Allowance'!$A:$B,2,)),0)*($AU24&lt;=Ret_Yr_post)</f>
        <v/>
      </c>
      <c r="BC24" s="590">
        <f>AY24*overtime_post</f>
        <v/>
      </c>
      <c r="BD24" s="590">
        <f>$AY24*allow_1_post</f>
        <v/>
      </c>
      <c r="BE24" s="590">
        <f>($AY24&lt;&gt;0)*allow_2_post*12</f>
        <v/>
      </c>
      <c r="BF24" s="590" t="n"/>
      <c r="BG24" s="581">
        <f>IF(YEAR($V24)&lt;=Ret_Yr_post,SUM(AY24:BF24),0)*IF($W24=Ret_Yr_post,AV24,1)</f>
        <v/>
      </c>
      <c r="BH24" s="581">
        <f>IF($W24&gt;=Ret_Yr_post,pens_Post*(GEPF_pre="Y"),0)*IF($W24=Ret_Yr_post,1-$AV24,1)*IF(Ret_Yr_post&lt;Current,(_xlfn.IFNA(VLOOKUP($D24,CPI!$A:$E,2,FALSE),VLOOKUP(Current,CPI!$A:$E,2,FALSE))/VLOOKUP(Ret_Yr_post,CPI!$A:$E,2,FALSE)),1)</f>
        <v/>
      </c>
      <c r="BI24" s="590">
        <f>$AY24*ee_post*IF($W24=Ret_Yr_post,$AV24,1)</f>
        <v/>
      </c>
      <c r="BJ24" s="590">
        <f>$AY24*er_post*IF($W24=Ret_Yr_post,$AV24,1)</f>
        <v/>
      </c>
      <c r="BK24" s="590">
        <f>IF('LOE Sc1'!$W24=Ret_Yr_post,Gratuity_Post*(GEPF_post="Y"),0)</f>
        <v/>
      </c>
      <c r="BL24" s="581">
        <f>BG24+BH24-BI24-BJ24*(GEPF_post="Y")</f>
        <v/>
      </c>
      <c r="BM24" s="590">
        <f>IF(DM24&lt;0,0,DM24)</f>
        <v/>
      </c>
      <c r="BN24" s="581">
        <f>(BL24-BM24+BI24*(BI$7="Y")+BJ24*(BJ$7="Y"))*IF($W24&lt;Ret_Yr_post,AV24,1)+BK24</f>
        <v/>
      </c>
      <c r="BO24" s="591" t="n"/>
      <c r="BP24" s="592">
        <f>IF($E24="FL",IF($X24&lt;=DoC,DATEDIF(DoC,$V24,"M")/12,0),0)</f>
        <v/>
      </c>
      <c r="BQ24" s="592">
        <f>IF($E24="FL",(1+CPI)^INT(BP24),0)</f>
        <v/>
      </c>
      <c r="BR24" s="592">
        <f>IF($E24="FL",IF(($BP24-0.5)&gt;=0,1/(1+d)^($BP24-0.5),1/(1+d)^($BP24)),0)</f>
        <v/>
      </c>
      <c r="BS24" s="592" t="n"/>
      <c r="BT24" s="25">
        <f>IF(gender="M",VLOOKUP($Y24+pre_mort+IF(MONTH(DoC)&lt;MONTH(DoB),IF(MONTH(DoC)&lt;3,0,-1),IF(MONTH(DoB)&lt;3,-1,0)),'SALT LIFE TABLES'!$A$7:$E$106,2),VLOOKUP($Y24+pre_mort+IF(MONTH(DoC)&lt;MONTH(DoB),IF(MONTH(DoC)&lt;3,0,-1),IF(MONTH(DoB)&lt;3,-1,0)),'SALT LIFE TABLES'!$A$7:$E$106,4))</f>
        <v/>
      </c>
      <c r="BU24" s="592">
        <f>IF($E24="PL",1,BT24/BU$7)</f>
        <v/>
      </c>
      <c r="BV24" s="593" t="n"/>
      <c r="BW24" s="25">
        <f>IF(gender="M",VLOOKUP($Y24+post_mort+IF(MONTH(DoC)&lt;MONTH(DoB),IF(MONTH(DoC)&lt;3,0,-1),IF(MONTH(DoB)&lt;3,-1,0)),'SALT LIFE TABLES'!$A$7:$E$106,2),VLOOKUP($Y24+post_mort+IF(MONTH(DoC)&lt;MONTH(DoB),IF(MONTH(DoC)&lt;3,0,-1),IF(MONTH(DoB)&lt;3,-1,0)),'SALT LIFE TABLES'!$A$7:$E$106,4))</f>
        <v/>
      </c>
      <c r="BX24" s="592">
        <f>IF($E24="PL",1,BW24/BX$7)</f>
        <v/>
      </c>
      <c r="BY24" s="594" t="n"/>
      <c r="BZ24" s="592" t="n"/>
      <c r="CA24" s="592">
        <f>IF($E24="FL",$AR24*$BQ24*$BR24*$BU24,$AR24)</f>
        <v/>
      </c>
      <c r="CB24" s="592">
        <f>IF($E24="FL",$BN24*$BQ24*$BR24*$BX24,$BN24)</f>
        <v/>
      </c>
      <c r="CC24" s="592" t="n"/>
      <c r="CD24" s="592">
        <f>IF($E24="FL",$CA24*(1-pre_FL),$CA24*(1-pre_PL))</f>
        <v/>
      </c>
      <c r="CE24" s="592">
        <f>IF($E24="FL",$CB24*(1-post_FL),$CB24*(1-post_PL))</f>
        <v/>
      </c>
      <c r="CF24" s="592" t="n"/>
      <c r="CG24" s="599">
        <f>CD24-CE24</f>
        <v/>
      </c>
      <c r="CH24" s="599">
        <f>MIN(CG24,IF(W24=Ret_Yr_pre,1,$X24)*Cap)</f>
        <v/>
      </c>
      <c r="CI24" s="128" t="n"/>
      <c r="CJ24" s="37">
        <f>IF(D24&gt;Current,Current,D24)</f>
        <v/>
      </c>
      <c r="CK24" s="37">
        <f>MATCH($CJ24,Tax_Tables[Tax Year],0)</f>
        <v/>
      </c>
      <c r="CL24" s="600" t="n">
        <v>0</v>
      </c>
      <c r="CM24" s="600">
        <f t="array" ref="CM24">INDEX(Tax_Tables[[Limits]:[Limits]],$CK24+CM$8)</f>
        <v/>
      </c>
      <c r="CN24" s="600">
        <f t="array" ref="CN24">INDEX(Tax_Tables[[Limits]:[Limits]],$CK24+CN$8)</f>
        <v/>
      </c>
      <c r="CO24" s="600">
        <f t="array" ref="CO24">INDEX(Tax_Tables[[Limits]:[Limits]],$CK24+CO$8)</f>
        <v/>
      </c>
      <c r="CP24" s="600">
        <f t="array" ref="CP24">INDEX(Tax_Tables[[Limits]:[Limits]],$CK24+CP$8)</f>
        <v/>
      </c>
      <c r="CQ24" s="600">
        <f t="array" ref="CQ24">INDEX(Tax_Tables[[Limits]:[Limits]],$CK24+CQ$8)</f>
        <v/>
      </c>
      <c r="CR24" s="600">
        <f t="array" ref="CR24">INDEX(Tax_Tables[[Limits]:[Limits]],$CK24+CR$8)</f>
        <v/>
      </c>
      <c r="CS24" s="37">
        <f>INDEX(Rebate[&lt;65],MATCH($CJ24,Rebate[[Tax Year]:[Tax Year]],0))</f>
        <v/>
      </c>
      <c r="CT24" s="37">
        <f>INDEX(Rebate[&lt;75],MATCH($CJ24,Rebate[[Tax Year]:[Tax Year]],0))</f>
        <v/>
      </c>
      <c r="CU24" s="37">
        <f>INDEX(Rebate[&gt;75],MATCH($CJ24,Rebate[[Tax Year]:[Tax Year]],0))</f>
        <v/>
      </c>
      <c r="CV24" s="37">
        <f>INDEX(Tax_Credit[Principal],MATCH($CJ24,Tax_Credit[[Tax Year]:[Tax Year]],0))</f>
        <v/>
      </c>
      <c r="CW24" s="37">
        <f>INDEX(Tax_Credit[First Dependant],MATCH($CJ24,Tax_Credit[[Tax Year]:[Tax Year]],0))</f>
        <v/>
      </c>
      <c r="CX24" s="37">
        <f>INDEX(Tax_Credit[Each Additional],MATCH($CJ24,Tax_Credit[[Tax Year]:[Tax Year]],0))</f>
        <v/>
      </c>
      <c r="CY24" s="484">
        <f>Y24</f>
        <v/>
      </c>
      <c r="CZ24" s="601">
        <f>AP24</f>
        <v/>
      </c>
      <c r="DA24" s="37">
        <f t="array" ref="DA24">INDEX($CL24:$CR24,0,MATCH($CZ24,$CL24:$CR24,1))</f>
        <v/>
      </c>
      <c r="DB24" s="37">
        <f t="array" ref="DB24">IFERROR(INDEX(Tax_Tables[Percentages],$CK24+MATCH($DA24,$CL24:$CR24,0)-1),"")</f>
        <v/>
      </c>
      <c r="DC24" s="37">
        <f t="array" ref="DC24">IFERROR(INDEX(Tax_Tables[Tax],$CK24+MATCH($DA24,$CL24:$CR24,0)-1),"")</f>
        <v/>
      </c>
      <c r="DD24" s="37">
        <f>IF(CY24&lt;65,CS24,IF(CY24&lt;75,CT24,CU24))</f>
        <v/>
      </c>
      <c r="DE24" s="37">
        <f>CV24*(Summary!$C$31="Y")+(Summary!$C$31="Y")*(CW24*(Pre_MDep&gt;=1)+CX24*MAX(Pre_MDep-1,0))</f>
        <v/>
      </c>
      <c r="DF24" s="599">
        <f>IFERROR(MAX(DB24*(CZ24-DA24)+DC24-DD24-DE24*12,0),"")</f>
        <v/>
      </c>
      <c r="DG24" s="602" t="n"/>
      <c r="DH24" s="601">
        <f>BL24</f>
        <v/>
      </c>
      <c r="DI24" s="37">
        <f t="array" ref="DI24">INDEX($CL24:$CR24,0,MATCH($DH24,$CL24:$CR24,1))</f>
        <v/>
      </c>
      <c r="DJ24" s="37">
        <f t="array" ref="DJ24">IFERROR(INDEX(Tax_Tables[Percentages],$CK24+MATCH($DI24,$CL24:$CR24,0)-1),"")</f>
        <v/>
      </c>
      <c r="DK24" s="37">
        <f t="array" ref="DK24">IFERROR(INDEX(Tax_Tables[Tax],$CK24+MATCH($DI24,$CL24:$CR24,0)-1),"")</f>
        <v/>
      </c>
      <c r="DL24" s="37">
        <f>CV24*(Summary!$C$81="Y")+(Summary!$C$81="Y")*(CW24*(Post_MDep&gt;=1)+CX24*MAX(Post_MDep-1,0))</f>
        <v/>
      </c>
      <c r="DM24" s="599">
        <f>IFERROR(MAX(DJ24*(DH24-DI24)+DK24-DD24-DL24*12,0),"")</f>
        <v/>
      </c>
      <c r="DN24" s="601" t="n"/>
      <c r="DO24" s="37" t="n"/>
      <c r="DP24" s="37" t="n"/>
      <c r="DQ24" s="37" t="n"/>
      <c r="DR24" s="37" t="n"/>
      <c r="DS24" s="37" t="n"/>
      <c r="DT24" s="37" t="n"/>
      <c r="DU24" s="37" t="n"/>
      <c r="DV24" s="37" t="n"/>
      <c r="DW24" s="37" t="n"/>
      <c r="DX24" s="599" t="n"/>
      <c r="DY24" s="131" t="n"/>
      <c r="DZ24" s="601" t="n"/>
      <c r="EA24" s="37" t="n"/>
      <c r="EB24" s="37" t="n"/>
      <c r="EC24" s="37" t="n"/>
      <c r="ED24" s="599" t="n"/>
      <c r="EE24" s="595" t="n"/>
      <c r="EF24" s="25" t="n"/>
    </row>
    <row r="25">
      <c r="A25" s="6" t="n"/>
      <c r="B25" s="45" t="n"/>
      <c r="C25" s="596">
        <f>C24+D25-D24</f>
        <v/>
      </c>
      <c r="D25" s="160">
        <f>AU25</f>
        <v/>
      </c>
      <c r="E25" s="87">
        <f>IF(DoC=V25,"Calc Date",IF(V25&lt;DoC,"PL","FL"))</f>
        <v/>
      </c>
      <c r="F25" s="310">
        <f>IF(Summary!D18="",F24,Summary!D18)</f>
        <v/>
      </c>
      <c r="G25" s="31">
        <f>VLOOKUP(F25,C$10:D$148,2)</f>
        <v/>
      </c>
      <c r="H25" s="314">
        <f>IF(Summary!G18="",H24,Summary!G18)</f>
        <v/>
      </c>
      <c r="I25" s="282">
        <f>IF(Summary!E18="",I24,Summary!E18)</f>
        <v/>
      </c>
      <c r="J25" s="589">
        <f>I25*index/VLOOKUP($H25,CPI!A:E,4,FALSE)</f>
        <v/>
      </c>
      <c r="K25" s="589">
        <f>IF(L25="Linear",(J25-J24)/(G25-G24),0)</f>
        <v/>
      </c>
      <c r="L25" s="308">
        <f>IF(Summary!H18="",L24,Summary!H18)</f>
        <v/>
      </c>
      <c r="M25" s="137" t="n"/>
      <c r="N25" s="310">
        <f>IF(Summary!D68="",N24,Summary!D68)</f>
        <v/>
      </c>
      <c r="O25" s="31">
        <f>O24+N25-N24</f>
        <v/>
      </c>
      <c r="P25" s="314">
        <f>IF(Summary!G68="",P24,Summary!G68)</f>
        <v/>
      </c>
      <c r="Q25" s="282">
        <f>IF(Summary!E68="",Q24,Summary!E68)</f>
        <v/>
      </c>
      <c r="R25" s="589">
        <f>Q25*index/VLOOKUP($P25,CPI!A:E,4,FALSE)</f>
        <v/>
      </c>
      <c r="S25" s="589">
        <f>IF(T25="Linear",(R25-R24)/(O25-O24),0)</f>
        <v/>
      </c>
      <c r="T25" s="308">
        <f>IF(Summary!H68="",T24,Summary!H68)</f>
        <v/>
      </c>
      <c r="U25" s="144" t="n"/>
      <c r="V25" s="6">
        <f>IF(AND($V24=DoA,MONTH(V24)&lt;3),DATE(YEAR(DoA),3,1),IF(AND(IFERROR(DATEDIF(V24,DoC,"M"),12)&lt;12,IFERROR(DATEDIF(V24,DoC,"M"),12)&gt;0),DoC,DATE(YEAR(V24)+(1-AND(YEAR(DoC)=Current,V24=DoC)-AND(V24=DoA,MONTH(V24)&lt;3)),3,1)))</f>
        <v/>
      </c>
      <c r="W25" s="31">
        <f>IF(V25=DoR_Pre,IF(MONTH(DoR_Pre)&gt;3,YEAR(DoR_Pre)+1,YEAR(DoR_Pre)),IF(MONTH(V25)&gt;3,Current,YEAR(V25)))</f>
        <v/>
      </c>
      <c r="X25" s="597">
        <f>IF(W25=Current,ROUND((V25-V24)/365.25,5),_xlfn.IFNA(INDEX(Summary!$A$5:$A$22,MATCH('LOE Sc1'!W25,Summary!$C$5:$C$22,0)),IF(W25=Ret_Yr_pre,ROUND((DoR_Pre-V24)/365.25,5),ROUND((V25-V24)/365.25,2))))</f>
        <v/>
      </c>
      <c r="Y25" s="55">
        <f>IF(AND(V25=DoC,MONTH(DoC)&lt;&gt;3),ROUNDDOWN(DATEDIF(DoB,V26,"M")/12,),ROUNDDOWN(DATEDIF(DoB,V25,"M")/12,))</f>
        <v/>
      </c>
      <c r="Z25" s="590" t="n"/>
      <c r="AA25" s="25">
        <f>MAX(RetAge_Pre-Y25,0)</f>
        <v/>
      </c>
      <c r="AB25" s="26">
        <f t="array" ref="AB25">IF(W25&gt;Ret_Yr_pre,0,_xlfn.IFNA(VLOOKUP(Y25,F$11:J$1000,5,),IF(AND(W25=Current,V25&gt;DoC,MONTH(DoC)&lt;&gt;3),AB24,AB24+INDEX(K$11:K$1000,MATCH(Y25,F$11:F$1000,1)+1))))</f>
        <v/>
      </c>
      <c r="AC25" s="590">
        <f>IF(V25&lt;DoC,AB25*VLOOKUP(YEAR(V25),CPI!A:E,4,FALSE)/index,AB25*real_i^INT(BP25))</f>
        <v/>
      </c>
      <c r="AD25" s="590">
        <f>$AC25/12*Bonus</f>
        <v/>
      </c>
      <c r="AE25" s="590">
        <f>IF($E25="FL",MedSub*m^INT(BP25),MedSub)*IF(Summary!$C$31="Y",1,0)*(W25&lt;=Ret_Yr_pre)*(Summary!C$31="Y")</f>
        <v/>
      </c>
      <c r="AF25" s="590">
        <f>IF(Summary!$C$30="Y",IF(E25&lt;&gt;"PL",VLOOKUP(Current,'Housing Allowance'!$A:$B,2,),VLOOKUP(YEAR($V25),'Housing Allowance'!$A:$B,2,)),0)*(W25&lt;=Ret_Yr_pre)</f>
        <v/>
      </c>
      <c r="AG25" s="590">
        <f>AC25*overtime</f>
        <v/>
      </c>
      <c r="AH25" s="590">
        <f>AC25*allow_1</f>
        <v/>
      </c>
      <c r="AI25" s="590">
        <f>(AB25&lt;&gt;0)*12*allow_2</f>
        <v/>
      </c>
      <c r="AJ25" s="590" t="n"/>
      <c r="AK25" s="581">
        <f>IF(YEAR(W25)&lt;=Ret_Yr_pre,SUM(AC25:AJ25),0)*IF($W25=Ret_Yr_pre,X25,1)</f>
        <v/>
      </c>
      <c r="AL25" s="581">
        <f>IF($W25&gt;=Ret_Yr_pre,pens_Pre*(GEPF_pre="Y"),0)*IF($W25=Ret_Yr_pre,1-$X25,1)*IF(Ret_Yr_pre&lt;Current,(_xlfn.IFNA(VLOOKUP($D25,CPI!$A:$E,2,FALSE),VLOOKUP(Current,CPI!$A:$E,2,FALSE))/VLOOKUP(Ret_Yr_pre,CPI!$A:$E,2,FALSE)),1)</f>
        <v/>
      </c>
      <c r="AM25" s="590">
        <f>$AC25*ee*IF($W25=Ret_Yr_pre,$X25,1)</f>
        <v/>
      </c>
      <c r="AN25" s="590">
        <f>$AC25*er*IF($W25=Ret_Yr_pre,$X25,1)</f>
        <v/>
      </c>
      <c r="AO25" s="590">
        <f>IF('LOE Sc1'!$W25=Ret_Yr_pre,Gratuity_Pre*(GEPF_pre="Y"),0)</f>
        <v/>
      </c>
      <c r="AP25" s="581">
        <f>AK25+AL25-$AM25-AN25*(GEPF_pre="Y")</f>
        <v/>
      </c>
      <c r="AQ25" s="590">
        <f>IF(DF25&lt;0,0,DF25)</f>
        <v/>
      </c>
      <c r="AR25" s="581">
        <f>(AP25-AQ25+AM25*(AM$7="Y")+AN25*(AN$7="Y"))*IF(W25&lt;Ret_Yr_pre,X25,1)+AO25</f>
        <v/>
      </c>
      <c r="AS25" s="595" t="n"/>
      <c r="AT25" s="6">
        <f>V25</f>
        <v/>
      </c>
      <c r="AU25" s="31">
        <f>W25</f>
        <v/>
      </c>
      <c r="AV25" s="598">
        <f>IF(AU25=Current,ROUND((AT25-AT24)/365.25,5),_xlfn.IFNA(INDEX(Summary!$A$55:$A$72,MATCH('LOE Sc1'!AU25,Summary!$C$55:$C$72,0)),IF(AU25=Ret_Yr_post,ROUND((DoR_Post-AT24)/365.25,5),ROUND((AT25-AT24)/365.25,2))))</f>
        <v/>
      </c>
      <c r="AW25" s="55">
        <f>Y25</f>
        <v/>
      </c>
      <c r="AX25" s="26">
        <f t="array" ref="AX25">IF(AU25&gt;Ret_Yr_post,0,_xlfn.IFNA(VLOOKUP(AW25,N$11:S$1000,5,),IF(AND(AU25=Current,AT25&gt;DoC,MONTH(DoC)&lt;&gt;3),AX24,AX24+INDEX(S$11:S$1000,MATCH(AW25,N$11:N$1000,1)+1))))</f>
        <v/>
      </c>
      <c r="AY25" s="590">
        <f>IF($V25&lt;DoC,AX25*VLOOKUP(YEAR($V25),CPI_Table,4,FALSE)/index,AX25*real_i^INT(BP25))</f>
        <v/>
      </c>
      <c r="AZ25" s="590">
        <f>$AY25/12*Bonus_Post*($AW25&lt;=RetAge_Post)</f>
        <v/>
      </c>
      <c r="BA25" s="590">
        <f>IF($E25="FL",MedSub*m^INT(BP25),MedSub)*IF(Summary!$C$81="Y",1,0)*($AU25&lt;=Ret_Yr_post)*(Summary!$C$81="Y")</f>
        <v/>
      </c>
      <c r="BB25" s="590">
        <f>IF(Summary!$C$80="Y",IF($E25&lt;&gt;"PL",VLOOKUP(Current,'Housing Allowance'!$A:$B,2,),VLOOKUP(YEAR($AT25),'Housing Allowance'!$A:$B,2,)),0)*($AU25&lt;=Ret_Yr_post)</f>
        <v/>
      </c>
      <c r="BC25" s="590">
        <f>AY25*overtime_post</f>
        <v/>
      </c>
      <c r="BD25" s="590">
        <f>$AY25*allow_1_post</f>
        <v/>
      </c>
      <c r="BE25" s="590">
        <f>($AY25&lt;&gt;0)*allow_2_post*12</f>
        <v/>
      </c>
      <c r="BF25" s="590" t="n"/>
      <c r="BG25" s="581">
        <f>IF(YEAR($V25)&lt;=Ret_Yr_post,SUM(AY25:BF25),0)*IF($W25=Ret_Yr_post,AV25,1)</f>
        <v/>
      </c>
      <c r="BH25" s="581">
        <f>IF($W25&gt;=Ret_Yr_post,pens_Post*(GEPF_pre="Y"),0)*IF($W25=Ret_Yr_post,1-$AV25,1)*IF(Ret_Yr_post&lt;Current,(_xlfn.IFNA(VLOOKUP($D25,CPI!$A:$E,2,FALSE),VLOOKUP(Current,CPI!$A:$E,2,FALSE))/VLOOKUP(Ret_Yr_post,CPI!$A:$E,2,FALSE)),1)</f>
        <v/>
      </c>
      <c r="BI25" s="590">
        <f>$AY25*ee_post*IF($W25=Ret_Yr_post,$AV25,1)</f>
        <v/>
      </c>
      <c r="BJ25" s="590">
        <f>$AY25*er_post*IF($W25=Ret_Yr_post,$AV25,1)</f>
        <v/>
      </c>
      <c r="BK25" s="590">
        <f>IF('LOE Sc1'!$W25=Ret_Yr_post,Gratuity_Post*(GEPF_post="Y"),0)</f>
        <v/>
      </c>
      <c r="BL25" s="581">
        <f>BG25+BH25-BI25-BJ25*(GEPF_post="Y")</f>
        <v/>
      </c>
      <c r="BM25" s="590">
        <f>IF(DM25&lt;0,0,DM25)</f>
        <v/>
      </c>
      <c r="BN25" s="581">
        <f>(BL25-BM25+BI25*(BI$7="Y")+BJ25*(BJ$7="Y"))*IF($W25&lt;Ret_Yr_post,AV25,1)+BK25</f>
        <v/>
      </c>
      <c r="BO25" s="591" t="n"/>
      <c r="BP25" s="592">
        <f>IF($E25="FL",IF($X25&lt;=DoC,DATEDIF(DoC,$V25,"M")/12,0),0)</f>
        <v/>
      </c>
      <c r="BQ25" s="592">
        <f>IF($E25="FL",(1+CPI)^INT(BP25),0)</f>
        <v/>
      </c>
      <c r="BR25" s="592">
        <f>IF($E25="FL",IF(($BP25-0.5)&gt;=0,1/(1+d)^($BP25-0.5),1/(1+d)^($BP25)),0)</f>
        <v/>
      </c>
      <c r="BS25" s="592" t="n"/>
      <c r="BT25" s="25">
        <f>IF(gender="M",VLOOKUP($Y25+pre_mort+IF(MONTH(DoC)&lt;MONTH(DoB),IF(MONTH(DoC)&lt;3,0,-1),IF(MONTH(DoB)&lt;3,-1,0)),'SALT LIFE TABLES'!$A$7:$E$106,2),VLOOKUP($Y25+pre_mort+IF(MONTH(DoC)&lt;MONTH(DoB),IF(MONTH(DoC)&lt;3,0,-1),IF(MONTH(DoB)&lt;3,-1,0)),'SALT LIFE TABLES'!$A$7:$E$106,4))</f>
        <v/>
      </c>
      <c r="BU25" s="592">
        <f>IF($E25="PL",1,BT25/BU$7)</f>
        <v/>
      </c>
      <c r="BV25" s="593" t="n"/>
      <c r="BW25" s="25">
        <f>IF(gender="M",VLOOKUP($Y25+post_mort+IF(MONTH(DoC)&lt;MONTH(DoB),IF(MONTH(DoC)&lt;3,0,-1),IF(MONTH(DoB)&lt;3,-1,0)),'SALT LIFE TABLES'!$A$7:$E$106,2),VLOOKUP($Y25+post_mort+IF(MONTH(DoC)&lt;MONTH(DoB),IF(MONTH(DoC)&lt;3,0,-1),IF(MONTH(DoB)&lt;3,-1,0)),'SALT LIFE TABLES'!$A$7:$E$106,4))</f>
        <v/>
      </c>
      <c r="BX25" s="592">
        <f>IF($E25="PL",1,BW25/BX$7)</f>
        <v/>
      </c>
      <c r="BY25" s="594" t="n"/>
      <c r="BZ25" s="592" t="n"/>
      <c r="CA25" s="592">
        <f>IF($E25="FL",$AR25*$BQ25*$BR25*$BU25,$AR25)</f>
        <v/>
      </c>
      <c r="CB25" s="592">
        <f>IF($E25="FL",$BN25*$BQ25*$BR25*$BX25,$BN25)</f>
        <v/>
      </c>
      <c r="CC25" s="592" t="n"/>
      <c r="CD25" s="592">
        <f>IF($E25="FL",$CA25*(1-pre_FL),$CA25*(1-pre_PL))</f>
        <v/>
      </c>
      <c r="CE25" s="592">
        <f>IF($E25="FL",$CB25*(1-post_FL),$CB25*(1-post_PL))</f>
        <v/>
      </c>
      <c r="CF25" s="592" t="n"/>
      <c r="CG25" s="599">
        <f>CD25-CE25</f>
        <v/>
      </c>
      <c r="CH25" s="599">
        <f>MIN(CG25,IF(W25=Ret_Yr_pre,1,$X25)*Cap)</f>
        <v/>
      </c>
      <c r="CI25" s="128" t="n"/>
      <c r="CJ25" s="37">
        <f>IF(D25&gt;Current,Current,D25)</f>
        <v/>
      </c>
      <c r="CK25" s="37">
        <f>MATCH($CJ25,Tax_Tables[Tax Year],0)</f>
        <v/>
      </c>
      <c r="CL25" s="600" t="n">
        <v>0</v>
      </c>
      <c r="CM25" s="600">
        <f t="array" ref="CM25">INDEX(Tax_Tables[[Limits]:[Limits]],$CK25+CM$8)</f>
        <v/>
      </c>
      <c r="CN25" s="600">
        <f t="array" ref="CN25">INDEX(Tax_Tables[[Limits]:[Limits]],$CK25+CN$8)</f>
        <v/>
      </c>
      <c r="CO25" s="600">
        <f t="array" ref="CO25">INDEX(Tax_Tables[[Limits]:[Limits]],$CK25+CO$8)</f>
        <v/>
      </c>
      <c r="CP25" s="600">
        <f t="array" ref="CP25">INDEX(Tax_Tables[[Limits]:[Limits]],$CK25+CP$8)</f>
        <v/>
      </c>
      <c r="CQ25" s="600">
        <f t="array" ref="CQ25">INDEX(Tax_Tables[[Limits]:[Limits]],$CK25+CQ$8)</f>
        <v/>
      </c>
      <c r="CR25" s="600">
        <f t="array" ref="CR25">INDEX(Tax_Tables[[Limits]:[Limits]],$CK25+CR$8)</f>
        <v/>
      </c>
      <c r="CS25" s="37">
        <f>INDEX(Rebate[&lt;65],MATCH($CJ25,Rebate[[Tax Year]:[Tax Year]],0))</f>
        <v/>
      </c>
      <c r="CT25" s="37">
        <f>INDEX(Rebate[&lt;75],MATCH($CJ25,Rebate[[Tax Year]:[Tax Year]],0))</f>
        <v/>
      </c>
      <c r="CU25" s="37">
        <f>INDEX(Rebate[&gt;75],MATCH($CJ25,Rebate[[Tax Year]:[Tax Year]],0))</f>
        <v/>
      </c>
      <c r="CV25" s="37">
        <f>INDEX(Tax_Credit[Principal],MATCH($CJ25,Tax_Credit[[Tax Year]:[Tax Year]],0))</f>
        <v/>
      </c>
      <c r="CW25" s="37">
        <f>INDEX(Tax_Credit[First Dependant],MATCH($CJ25,Tax_Credit[[Tax Year]:[Tax Year]],0))</f>
        <v/>
      </c>
      <c r="CX25" s="37">
        <f>INDEX(Tax_Credit[Each Additional],MATCH($CJ25,Tax_Credit[[Tax Year]:[Tax Year]],0))</f>
        <v/>
      </c>
      <c r="CY25" s="484">
        <f>Y25</f>
        <v/>
      </c>
      <c r="CZ25" s="601">
        <f>AP25</f>
        <v/>
      </c>
      <c r="DA25" s="37">
        <f t="array" ref="DA25">INDEX($CL25:$CR25,0,MATCH($CZ25,$CL25:$CR25,1))</f>
        <v/>
      </c>
      <c r="DB25" s="37">
        <f t="array" ref="DB25">IFERROR(INDEX(Tax_Tables[Percentages],$CK25+MATCH($DA25,$CL25:$CR25,0)-1),"")</f>
        <v/>
      </c>
      <c r="DC25" s="37">
        <f t="array" ref="DC25">IFERROR(INDEX(Tax_Tables[Tax],$CK25+MATCH($DA25,$CL25:$CR25,0)-1),"")</f>
        <v/>
      </c>
      <c r="DD25" s="37">
        <f>IF(CY25&lt;65,CS25,IF(CY25&lt;75,CT25,CU25))</f>
        <v/>
      </c>
      <c r="DE25" s="37">
        <f>CV25*(Summary!$C$31="Y")+(Summary!$C$31="Y")*(CW25*(Pre_MDep&gt;=1)+CX25*MAX(Pre_MDep-1,0))</f>
        <v/>
      </c>
      <c r="DF25" s="599">
        <f>IFERROR(MAX(DB25*(CZ25-DA25)+DC25-DD25-DE25*12,0),"")</f>
        <v/>
      </c>
      <c r="DG25" s="602" t="n"/>
      <c r="DH25" s="601">
        <f>BL25</f>
        <v/>
      </c>
      <c r="DI25" s="37">
        <f t="array" ref="DI25">INDEX($CL25:$CR25,0,MATCH($DH25,$CL25:$CR25,1))</f>
        <v/>
      </c>
      <c r="DJ25" s="37">
        <f t="array" ref="DJ25">IFERROR(INDEX(Tax_Tables[Percentages],$CK25+MATCH($DI25,$CL25:$CR25,0)-1),"")</f>
        <v/>
      </c>
      <c r="DK25" s="37">
        <f t="array" ref="DK25">IFERROR(INDEX(Tax_Tables[Tax],$CK25+MATCH($DI25,$CL25:$CR25,0)-1),"")</f>
        <v/>
      </c>
      <c r="DL25" s="37">
        <f>CV25*(Summary!$C$81="Y")+(Summary!$C$81="Y")*(CW25*(Post_MDep&gt;=1)+CX25*MAX(Post_MDep-1,0))</f>
        <v/>
      </c>
      <c r="DM25" s="599">
        <f>IFERROR(MAX(DJ25*(DH25-DI25)+DK25-DD25-DL25*12,0),"")</f>
        <v/>
      </c>
      <c r="DN25" s="601" t="n"/>
      <c r="DO25" s="37" t="n"/>
      <c r="DP25" s="37" t="n"/>
      <c r="DQ25" s="37" t="n"/>
      <c r="DR25" s="37" t="n"/>
      <c r="DS25" s="37" t="n"/>
      <c r="DT25" s="37" t="n"/>
      <c r="DU25" s="37" t="n"/>
      <c r="DV25" s="37" t="n"/>
      <c r="DW25" s="37" t="n"/>
      <c r="DX25" s="599" t="n"/>
      <c r="DY25" s="131" t="n"/>
      <c r="DZ25" s="601" t="n"/>
      <c r="EA25" s="37" t="n"/>
      <c r="EB25" s="37" t="n"/>
      <c r="EC25" s="37" t="n"/>
      <c r="ED25" s="599" t="n"/>
      <c r="EE25" s="595" t="n"/>
      <c r="EF25" s="25" t="n"/>
    </row>
    <row r="26">
      <c r="C26" s="596">
        <f>C25+D26-D25</f>
        <v/>
      </c>
      <c r="D26" s="160">
        <f>AU26</f>
        <v/>
      </c>
      <c r="E26" s="87">
        <f>IF(DoC=V26,"Calc Date",IF(V26&lt;DoC,"PL","FL"))</f>
        <v/>
      </c>
      <c r="F26" s="310">
        <f>IF(Summary!D19="",F25,Summary!D19)</f>
        <v/>
      </c>
      <c r="G26" s="31">
        <f>VLOOKUP(F26,C$10:D$148,2)</f>
        <v/>
      </c>
      <c r="H26" s="314">
        <f>IF(Summary!G19="",H25,Summary!G19)</f>
        <v/>
      </c>
      <c r="I26" s="282">
        <f>IF(Summary!E19="",I25,Summary!E19)</f>
        <v/>
      </c>
      <c r="J26" s="589">
        <f>I26*index/VLOOKUP($H26,CPI!A:E,4,FALSE)</f>
        <v/>
      </c>
      <c r="K26" s="589">
        <f>IF(L26="Linear",(J26-J25)/(G26-G25),0)</f>
        <v/>
      </c>
      <c r="L26" s="308">
        <f>IF(Summary!H19="",L25,Summary!H19)</f>
        <v/>
      </c>
      <c r="M26" s="137" t="n"/>
      <c r="N26" s="310">
        <f>IF(Summary!D69="",N25,Summary!D69)</f>
        <v/>
      </c>
      <c r="O26" s="31">
        <f>O25+N26-N25</f>
        <v/>
      </c>
      <c r="P26" s="314">
        <f>IF(Summary!G69="",P25,Summary!G69)</f>
        <v/>
      </c>
      <c r="Q26" s="282">
        <f>IF(Summary!E69="",Q25,Summary!E69)</f>
        <v/>
      </c>
      <c r="R26" s="589">
        <f>Q26*index/VLOOKUP($P26,CPI!A:E,4,FALSE)</f>
        <v/>
      </c>
      <c r="S26" s="589">
        <f>IF(T26="Linear",(R26-R25)/(O26-O25),0)</f>
        <v/>
      </c>
      <c r="T26" s="308">
        <f>IF(Summary!H69="",T25,Summary!H69)</f>
        <v/>
      </c>
      <c r="U26" s="144" t="n"/>
      <c r="V26" s="6">
        <f>IF(AND($V25=DoA,MONTH(V25)&lt;3),DATE(YEAR(DoA),3,1),IF(AND(IFERROR(DATEDIF(V25,DoC,"M"),12)&lt;12,IFERROR(DATEDIF(V25,DoC,"M"),12)&gt;0),DoC,DATE(YEAR(V25)+(1-AND(YEAR(DoC)=Current,V25=DoC)-AND(V25=DoA,MONTH(V25)&lt;3)),3,1)))</f>
        <v/>
      </c>
      <c r="W26" s="31">
        <f>IF(V26=DoR_Pre,IF(MONTH(DoR_Pre)&gt;3,YEAR(DoR_Pre)+1,YEAR(DoR_Pre)),IF(MONTH(V26)&gt;3,Current,YEAR(V26)))</f>
        <v/>
      </c>
      <c r="X26" s="597">
        <f>IF(W26=Current,ROUND((V26-V25)/365.25,5),_xlfn.IFNA(INDEX(Summary!$A$5:$A$22,MATCH('LOE Sc1'!W26,Summary!$C$5:$C$22,0)),IF(W26=Ret_Yr_pre,ROUND((DoR_Pre-V25)/365.25,5),ROUND((V26-V25)/365.25,2))))</f>
        <v/>
      </c>
      <c r="Y26" s="55">
        <f>IF(AND(V26=DoC,MONTH(DoC)&lt;&gt;3),ROUNDDOWN(DATEDIF(DoB,V27,"M")/12,),ROUNDDOWN(DATEDIF(DoB,V26,"M")/12,))</f>
        <v/>
      </c>
      <c r="Z26" s="590" t="n"/>
      <c r="AA26" s="25">
        <f>MAX(RetAge_Pre-Y26,0)</f>
        <v/>
      </c>
      <c r="AB26" s="26">
        <f t="array" ref="AB26">IF(W26&gt;Ret_Yr_pre,0,_xlfn.IFNA(VLOOKUP(Y26,F$11:J$1000,5,),IF(AND(W26=Current,V26&gt;DoC,MONTH(DoC)&lt;&gt;3),AB25,AB25+INDEX(K$11:K$1000,MATCH(Y26,F$11:F$1000,1)+1))))</f>
        <v/>
      </c>
      <c r="AC26" s="590">
        <f>IF(V26&lt;DoC,AB26*VLOOKUP(YEAR(V26),CPI!A:E,4,FALSE)/index,AB26*real_i^INT(BP26))</f>
        <v/>
      </c>
      <c r="AD26" s="590">
        <f>$AC26/12*Bonus</f>
        <v/>
      </c>
      <c r="AE26" s="590">
        <f>IF($E26="FL",MedSub*m^INT(BP26),MedSub)*IF(Summary!$C$31="Y",1,0)*(W26&lt;=Ret_Yr_pre)*(Summary!C$31="Y")</f>
        <v/>
      </c>
      <c r="AF26" s="590">
        <f>IF(Summary!$C$30="Y",IF(E26&lt;&gt;"PL",VLOOKUP(Current,'Housing Allowance'!$A:$B,2,),VLOOKUP(YEAR($V26),'Housing Allowance'!$A:$B,2,)),0)*(W26&lt;=Ret_Yr_pre)</f>
        <v/>
      </c>
      <c r="AG26" s="590">
        <f>AC26*overtime</f>
        <v/>
      </c>
      <c r="AH26" s="590">
        <f>AC26*allow_1</f>
        <v/>
      </c>
      <c r="AI26" s="590">
        <f>(AB26&lt;&gt;0)*12*allow_2</f>
        <v/>
      </c>
      <c r="AJ26" s="590" t="n"/>
      <c r="AK26" s="581">
        <f>IF(YEAR(W26)&lt;=Ret_Yr_pre,SUM(AC26:AJ26),0)*IF($W26=Ret_Yr_pre,X26,1)</f>
        <v/>
      </c>
      <c r="AL26" s="581">
        <f>IF($W26&gt;=Ret_Yr_pre,pens_Pre*(GEPF_pre="Y"),0)*IF($W26=Ret_Yr_pre,1-$X26,1)*IF(Ret_Yr_pre&lt;Current,(_xlfn.IFNA(VLOOKUP($D26,CPI!$A:$E,2,FALSE),VLOOKUP(Current,CPI!$A:$E,2,FALSE))/VLOOKUP(Ret_Yr_pre,CPI!$A:$E,2,FALSE)),1)</f>
        <v/>
      </c>
      <c r="AM26" s="590">
        <f>$AC26*ee*IF($W26=Ret_Yr_pre,$X26,1)</f>
        <v/>
      </c>
      <c r="AN26" s="590">
        <f>$AC26*er*IF($W26=Ret_Yr_pre,$X26,1)</f>
        <v/>
      </c>
      <c r="AO26" s="590">
        <f>IF('LOE Sc1'!$W26=Ret_Yr_pre,Gratuity_Pre*(GEPF_pre="Y"),0)</f>
        <v/>
      </c>
      <c r="AP26" s="581">
        <f>AK26+AL26-$AM26-AN26*(GEPF_pre="Y")</f>
        <v/>
      </c>
      <c r="AQ26" s="590">
        <f>IF(DF26&lt;0,0,DF26)</f>
        <v/>
      </c>
      <c r="AR26" s="581">
        <f>(AP26-AQ26+AM26*(AM$7="Y")+AN26*(AN$7="Y"))*IF(W26&lt;Ret_Yr_pre,X26,1)+AO26</f>
        <v/>
      </c>
      <c r="AS26" s="595" t="n"/>
      <c r="AT26" s="6">
        <f>V26</f>
        <v/>
      </c>
      <c r="AU26" s="31">
        <f>W26</f>
        <v/>
      </c>
      <c r="AV26" s="598">
        <f>IF(AU26=Current,ROUND((AT26-AT25)/365.25,5),_xlfn.IFNA(INDEX(Summary!$A$55:$A$72,MATCH('LOE Sc1'!AU26,Summary!$C$55:$C$72,0)),IF(AU26=Ret_Yr_post,ROUND((DoR_Post-AT25)/365.25,5),ROUND((AT26-AT25)/365.25,2))))</f>
        <v/>
      </c>
      <c r="AW26" s="55">
        <f>Y26</f>
        <v/>
      </c>
      <c r="AX26" s="26">
        <f t="array" ref="AX26">IF(AU26&gt;Ret_Yr_post,0,_xlfn.IFNA(VLOOKUP(AW26,N$11:S$1000,5,),IF(AND(AU26=Current,AT26&gt;DoC,MONTH(DoC)&lt;&gt;3),AX25,AX25+INDEX(S$11:S$1000,MATCH(AW26,N$11:N$1000,1)+1))))</f>
        <v/>
      </c>
      <c r="AY26" s="590">
        <f>IF($V26&lt;DoC,AX26*VLOOKUP(YEAR($V26),CPI_Table,4,FALSE)/index,AX26*real_i^INT(BP26))</f>
        <v/>
      </c>
      <c r="AZ26" s="590">
        <f>$AY26/12*Bonus_Post*($AW26&lt;=RetAge_Post)</f>
        <v/>
      </c>
      <c r="BA26" s="590">
        <f>IF($E26="FL",MedSub*m^INT(BP26),MedSub)*IF(Summary!$C$81="Y",1,0)*($AU26&lt;=Ret_Yr_post)*(Summary!$C$81="Y")</f>
        <v/>
      </c>
      <c r="BB26" s="590">
        <f>IF(Summary!$C$80="Y",IF($E26&lt;&gt;"PL",VLOOKUP(Current,'Housing Allowance'!$A:$B,2,),VLOOKUP(YEAR($AT26),'Housing Allowance'!$A:$B,2,)),0)*($AU26&lt;=Ret_Yr_post)</f>
        <v/>
      </c>
      <c r="BC26" s="590">
        <f>AY26*overtime_post</f>
        <v/>
      </c>
      <c r="BD26" s="590">
        <f>$AY26*allow_1_post</f>
        <v/>
      </c>
      <c r="BE26" s="590">
        <f>($AY26&lt;&gt;0)*allow_2_post*12</f>
        <v/>
      </c>
      <c r="BF26" s="590" t="n"/>
      <c r="BG26" s="581">
        <f>IF(YEAR($V26)&lt;=Ret_Yr_post,SUM(AY26:BF26),0)*IF($W26=Ret_Yr_post,AV26,1)</f>
        <v/>
      </c>
      <c r="BH26" s="581">
        <f>IF($W26&gt;=Ret_Yr_post,pens_Post*(GEPF_pre="Y"),0)*IF($W26=Ret_Yr_post,1-$AV26,1)*IF(Ret_Yr_post&lt;Current,(_xlfn.IFNA(VLOOKUP($D26,CPI!$A:$E,2,FALSE),VLOOKUP(Current,CPI!$A:$E,2,FALSE))/VLOOKUP(Ret_Yr_post,CPI!$A:$E,2,FALSE)),1)</f>
        <v/>
      </c>
      <c r="BI26" s="590">
        <f>$AY26*ee_post*IF($W26=Ret_Yr_post,$AV26,1)</f>
        <v/>
      </c>
      <c r="BJ26" s="590">
        <f>$AY26*er_post*IF($W26=Ret_Yr_post,$AV26,1)</f>
        <v/>
      </c>
      <c r="BK26" s="590">
        <f>IF('LOE Sc1'!$W26=Ret_Yr_post,Gratuity_Post*(GEPF_post="Y"),0)</f>
        <v/>
      </c>
      <c r="BL26" s="581">
        <f>BG26+BH26-BI26-BJ26*(GEPF_post="Y")</f>
        <v/>
      </c>
      <c r="BM26" s="590">
        <f>IF(DM26&lt;0,0,DM26)</f>
        <v/>
      </c>
      <c r="BN26" s="581">
        <f>(BL26-BM26+BI26*(BI$7="Y")+BJ26*(BJ$7="Y"))*IF($W26&lt;Ret_Yr_post,AV26,1)+BK26</f>
        <v/>
      </c>
      <c r="BO26" s="591" t="n"/>
      <c r="BP26" s="592">
        <f>IF($E26="FL",IF($X26&lt;=DoC,DATEDIF(DoC,$V26,"M")/12,0),0)</f>
        <v/>
      </c>
      <c r="BQ26" s="592">
        <f>IF($E26="FL",(1+CPI)^INT(BP26),0)</f>
        <v/>
      </c>
      <c r="BR26" s="592">
        <f>IF($E26="FL",IF(($BP26-0.5)&gt;=0,1/(1+d)^($BP26-0.5),1/(1+d)^($BP26)),0)</f>
        <v/>
      </c>
      <c r="BS26" s="592" t="n"/>
      <c r="BT26" s="25">
        <f>IF(gender="M",VLOOKUP($Y26+pre_mort+IF(MONTH(DoC)&lt;MONTH(DoB),IF(MONTH(DoC)&lt;3,0,-1),IF(MONTH(DoB)&lt;3,-1,0)),'SALT LIFE TABLES'!$A$7:$E$106,2),VLOOKUP($Y26+pre_mort+IF(MONTH(DoC)&lt;MONTH(DoB),IF(MONTH(DoC)&lt;3,0,-1),IF(MONTH(DoB)&lt;3,-1,0)),'SALT LIFE TABLES'!$A$7:$E$106,4))</f>
        <v/>
      </c>
      <c r="BU26" s="592">
        <f>IF($E26="PL",1,BT26/BU$7)</f>
        <v/>
      </c>
      <c r="BV26" s="593" t="n"/>
      <c r="BW26" s="25">
        <f>IF(gender="M",VLOOKUP($Y26+post_mort+IF(MONTH(DoC)&lt;MONTH(DoB),IF(MONTH(DoC)&lt;3,0,-1),IF(MONTH(DoB)&lt;3,-1,0)),'SALT LIFE TABLES'!$A$7:$E$106,2),VLOOKUP($Y26+post_mort+IF(MONTH(DoC)&lt;MONTH(DoB),IF(MONTH(DoC)&lt;3,0,-1),IF(MONTH(DoB)&lt;3,-1,0)),'SALT LIFE TABLES'!$A$7:$E$106,4))</f>
        <v/>
      </c>
      <c r="BX26" s="592">
        <f>IF($E26="PL",1,BW26/BX$7)</f>
        <v/>
      </c>
      <c r="BY26" s="594" t="n"/>
      <c r="BZ26" s="592" t="n"/>
      <c r="CA26" s="592">
        <f>IF($E26="FL",$AR26*$BQ26*$BR26*$BU26,$AR26)</f>
        <v/>
      </c>
      <c r="CB26" s="592">
        <f>IF($E26="FL",$BN26*$BQ26*$BR26*$BX26,$BN26)</f>
        <v/>
      </c>
      <c r="CC26" s="592" t="n"/>
      <c r="CD26" s="592">
        <f>IF($E26="FL",$CA26*(1-pre_FL),$CA26*(1-pre_PL))</f>
        <v/>
      </c>
      <c r="CE26" s="592">
        <f>IF($E26="FL",$CB26*(1-post_FL),$CB26*(1-post_PL))</f>
        <v/>
      </c>
      <c r="CF26" s="592" t="n"/>
      <c r="CG26" s="599">
        <f>CD26-CE26</f>
        <v/>
      </c>
      <c r="CH26" s="599">
        <f>MIN(CG26,IF(W26=Ret_Yr_pre,1,$X26)*Cap)</f>
        <v/>
      </c>
      <c r="CI26" s="128" t="n"/>
      <c r="CJ26" s="37">
        <f>IF(D26&gt;Current,Current,D26)</f>
        <v/>
      </c>
      <c r="CK26" s="37">
        <f>MATCH($CJ26,Tax_Tables[Tax Year],0)</f>
        <v/>
      </c>
      <c r="CL26" s="600" t="n">
        <v>0</v>
      </c>
      <c r="CM26" s="600">
        <f t="array" ref="CM26">INDEX(Tax_Tables[[Limits]:[Limits]],$CK26+CM$8)</f>
        <v/>
      </c>
      <c r="CN26" s="600">
        <f t="array" ref="CN26">INDEX(Tax_Tables[[Limits]:[Limits]],$CK26+CN$8)</f>
        <v/>
      </c>
      <c r="CO26" s="600">
        <f t="array" ref="CO26">INDEX(Tax_Tables[[Limits]:[Limits]],$CK26+CO$8)</f>
        <v/>
      </c>
      <c r="CP26" s="600">
        <f t="array" ref="CP26">INDEX(Tax_Tables[[Limits]:[Limits]],$CK26+CP$8)</f>
        <v/>
      </c>
      <c r="CQ26" s="600">
        <f t="array" ref="CQ26">INDEX(Tax_Tables[[Limits]:[Limits]],$CK26+CQ$8)</f>
        <v/>
      </c>
      <c r="CR26" s="600">
        <f t="array" ref="CR26">INDEX(Tax_Tables[[Limits]:[Limits]],$CK26+CR$8)</f>
        <v/>
      </c>
      <c r="CS26" s="37">
        <f>INDEX(Rebate[&lt;65],MATCH($CJ26,Rebate[[Tax Year]:[Tax Year]],0))</f>
        <v/>
      </c>
      <c r="CT26" s="37">
        <f>INDEX(Rebate[&lt;75],MATCH($CJ26,Rebate[[Tax Year]:[Tax Year]],0))</f>
        <v/>
      </c>
      <c r="CU26" s="37">
        <f>INDEX(Rebate[&gt;75],MATCH($CJ26,Rebate[[Tax Year]:[Tax Year]],0))</f>
        <v/>
      </c>
      <c r="CV26" s="37">
        <f>INDEX(Tax_Credit[Principal],MATCH($CJ26,Tax_Credit[[Tax Year]:[Tax Year]],0))</f>
        <v/>
      </c>
      <c r="CW26" s="37">
        <f>INDEX(Tax_Credit[First Dependant],MATCH($CJ26,Tax_Credit[[Tax Year]:[Tax Year]],0))</f>
        <v/>
      </c>
      <c r="CX26" s="37">
        <f>INDEX(Tax_Credit[Each Additional],MATCH($CJ26,Tax_Credit[[Tax Year]:[Tax Year]],0))</f>
        <v/>
      </c>
      <c r="CY26" s="484">
        <f>Y26</f>
        <v/>
      </c>
      <c r="CZ26" s="601">
        <f>AP26</f>
        <v/>
      </c>
      <c r="DA26" s="37">
        <f t="array" ref="DA26">INDEX($CL26:$CR26,0,MATCH($CZ26,$CL26:$CR26,1))</f>
        <v/>
      </c>
      <c r="DB26" s="37">
        <f t="array" ref="DB26">IFERROR(INDEX(Tax_Tables[Percentages],$CK26+MATCH($DA26,$CL26:$CR26,0)-1),"")</f>
        <v/>
      </c>
      <c r="DC26" s="37">
        <f t="array" ref="DC26">IFERROR(INDEX(Tax_Tables[Tax],$CK26+MATCH($DA26,$CL26:$CR26,0)-1),"")</f>
        <v/>
      </c>
      <c r="DD26" s="37">
        <f>IF(CY26&lt;65,CS26,IF(CY26&lt;75,CT26,CU26))</f>
        <v/>
      </c>
      <c r="DE26" s="37">
        <f>CV26*(Summary!$C$31="Y")+(Summary!$C$31="Y")*(CW26*(Pre_MDep&gt;=1)+CX26*MAX(Pre_MDep-1,0))</f>
        <v/>
      </c>
      <c r="DF26" s="599">
        <f>IFERROR(MAX(DB26*(CZ26-DA26)+DC26-DD26-DE26*12,0),"")</f>
        <v/>
      </c>
      <c r="DG26" s="602" t="n"/>
      <c r="DH26" s="601">
        <f>BL26</f>
        <v/>
      </c>
      <c r="DI26" s="37">
        <f t="array" ref="DI26">INDEX($CL26:$CR26,0,MATCH($DH26,$CL26:$CR26,1))</f>
        <v/>
      </c>
      <c r="DJ26" s="37">
        <f t="array" ref="DJ26">IFERROR(INDEX(Tax_Tables[Percentages],$CK26+MATCH($DI26,$CL26:$CR26,0)-1),"")</f>
        <v/>
      </c>
      <c r="DK26" s="37">
        <f t="array" ref="DK26">IFERROR(INDEX(Tax_Tables[Tax],$CK26+MATCH($DI26,$CL26:$CR26,0)-1),"")</f>
        <v/>
      </c>
      <c r="DL26" s="37">
        <f>CV26*(Summary!$C$81="Y")+(Summary!$C$81="Y")*(CW26*(Post_MDep&gt;=1)+CX26*MAX(Post_MDep-1,0))</f>
        <v/>
      </c>
      <c r="DM26" s="599">
        <f>IFERROR(MAX(DJ26*(DH26-DI26)+DK26-DD26-DL26*12,0),"")</f>
        <v/>
      </c>
      <c r="DN26" s="601" t="n"/>
      <c r="DO26" s="37" t="n"/>
      <c r="DP26" s="37" t="n"/>
      <c r="DQ26" s="37" t="n"/>
      <c r="DR26" s="37" t="n"/>
      <c r="DS26" s="37" t="n"/>
      <c r="DT26" s="37" t="n"/>
      <c r="DU26" s="37" t="n"/>
      <c r="DV26" s="37" t="n"/>
      <c r="DW26" s="37" t="n"/>
      <c r="DX26" s="599" t="n"/>
      <c r="DY26" s="131" t="n"/>
      <c r="DZ26" s="601" t="n"/>
      <c r="EA26" s="37" t="n"/>
      <c r="EB26" s="37" t="n"/>
      <c r="EC26" s="37" t="n"/>
      <c r="ED26" s="599" t="n"/>
      <c r="EE26" s="595" t="n"/>
      <c r="EF26" s="25" t="n"/>
    </row>
    <row r="27">
      <c r="A27" s="12" t="n"/>
      <c r="B27" s="46" t="n"/>
      <c r="C27" s="596">
        <f>C26+D27-D26</f>
        <v/>
      </c>
      <c r="D27" s="160">
        <f>AU27</f>
        <v/>
      </c>
      <c r="E27" s="87">
        <f>IF(DoC=V27,"Calc Date",IF(V27&lt;DoC,"PL","FL"))</f>
        <v/>
      </c>
      <c r="F27" s="310">
        <f>IF(Summary!D20="",F26,Summary!D20)</f>
        <v/>
      </c>
      <c r="G27" s="31">
        <f>VLOOKUP(F27,C$10:D$148,2)</f>
        <v/>
      </c>
      <c r="H27" s="314">
        <f>IF(Summary!G20="",H26,Summary!G20)</f>
        <v/>
      </c>
      <c r="I27" s="282">
        <f>IF(Summary!E20="",I26,Summary!E20)</f>
        <v/>
      </c>
      <c r="J27" s="589">
        <f>I27*index/VLOOKUP($H27,CPI!A:E,4,FALSE)</f>
        <v/>
      </c>
      <c r="K27" s="589">
        <f>IF(L27="Linear",(J27-J26)/(G27-G26),0)</f>
        <v/>
      </c>
      <c r="L27" s="308">
        <f>IF(Summary!H20="",L26,Summary!H20)</f>
        <v/>
      </c>
      <c r="M27" s="137" t="n"/>
      <c r="N27" s="310">
        <f>IF(Summary!D70="",N26,Summary!D70)</f>
        <v/>
      </c>
      <c r="O27" s="31">
        <f>O26+N27-N26</f>
        <v/>
      </c>
      <c r="P27" s="314">
        <f>IF(Summary!G70="",P26,Summary!G70)</f>
        <v/>
      </c>
      <c r="Q27" s="282">
        <f>IF(Summary!E70="",Q26,Summary!E70)</f>
        <v/>
      </c>
      <c r="R27" s="589">
        <f>Q27*index/VLOOKUP($P27,CPI!A:E,4,FALSE)</f>
        <v/>
      </c>
      <c r="S27" s="589">
        <f>IF(T27="Linear",(R27-R26)/(O27-O26),0)</f>
        <v/>
      </c>
      <c r="T27" s="308">
        <f>IF(Summary!H70="",T26,Summary!H70)</f>
        <v/>
      </c>
      <c r="U27" s="144" t="n"/>
      <c r="V27" s="6">
        <f>IF(AND($V26=DoA,MONTH(V26)&lt;3),DATE(YEAR(DoA),3,1),IF(AND(IFERROR(DATEDIF(V26,DoC,"M"),12)&lt;12,IFERROR(DATEDIF(V26,DoC,"M"),12)&gt;0),DoC,DATE(YEAR(V26)+(1-AND(YEAR(DoC)=Current,V26=DoC)-AND(V26=DoA,MONTH(V26)&lt;3)),3,1)))</f>
        <v/>
      </c>
      <c r="W27" s="31">
        <f>IF(V27=DoR_Pre,IF(MONTH(DoR_Pre)&gt;3,YEAR(DoR_Pre)+1,YEAR(DoR_Pre)),IF(MONTH(V27)&gt;3,Current,YEAR(V27)))</f>
        <v/>
      </c>
      <c r="X27" s="597">
        <f>IF(W27=Current,ROUND((V27-V26)/365.25,5),_xlfn.IFNA(INDEX(Summary!$A$5:$A$22,MATCH('LOE Sc1'!W27,Summary!$C$5:$C$22,0)),IF(W27=Ret_Yr_pre,ROUND((DoR_Pre-V26)/365.25,5),ROUND((V27-V26)/365.25,2))))</f>
        <v/>
      </c>
      <c r="Y27" s="55">
        <f>IF(AND(V27=DoC,MONTH(DoC)&lt;&gt;3),ROUNDDOWN(DATEDIF(DoB,V28,"M")/12,),ROUNDDOWN(DATEDIF(DoB,V27,"M")/12,))</f>
        <v/>
      </c>
      <c r="Z27" s="590" t="n"/>
      <c r="AA27" s="25">
        <f>MAX(RetAge_Pre-Y27,0)</f>
        <v/>
      </c>
      <c r="AB27" s="26">
        <f t="array" ref="AB27">IF(W27&gt;Ret_Yr_pre,0,_xlfn.IFNA(VLOOKUP(Y27,F$11:J$1000,5,),IF(AND(W27=Current,V27&gt;DoC,MONTH(DoC)&lt;&gt;3),AB26,AB26+INDEX(K$11:K$1000,MATCH(Y27,F$11:F$1000,1)+1))))</f>
        <v/>
      </c>
      <c r="AC27" s="590">
        <f>IF(V27&lt;DoC,AB27*VLOOKUP(YEAR(V27),CPI!A:E,4,FALSE)/index,AB27*real_i^INT(BP27))</f>
        <v/>
      </c>
      <c r="AD27" s="590">
        <f>$AC27/12*Bonus</f>
        <v/>
      </c>
      <c r="AE27" s="590">
        <f>IF($E27="FL",MedSub*m^INT(BP27),MedSub)*IF(Summary!$C$31="Y",1,0)*(W27&lt;=Ret_Yr_pre)*(Summary!C$31="Y")</f>
        <v/>
      </c>
      <c r="AF27" s="590">
        <f>IF(Summary!$C$30="Y",IF(E27&lt;&gt;"PL",VLOOKUP(Current,'Housing Allowance'!$A:$B,2,),VLOOKUP(YEAR($V27),'Housing Allowance'!$A:$B,2,)),0)*(W27&lt;=Ret_Yr_pre)</f>
        <v/>
      </c>
      <c r="AG27" s="590">
        <f>AC27*overtime</f>
        <v/>
      </c>
      <c r="AH27" s="590">
        <f>AC27*allow_1</f>
        <v/>
      </c>
      <c r="AI27" s="590">
        <f>(AB27&lt;&gt;0)*12*allow_2</f>
        <v/>
      </c>
      <c r="AJ27" s="590" t="n"/>
      <c r="AK27" s="581">
        <f>IF(YEAR(W27)&lt;=Ret_Yr_pre,SUM(AC27:AJ27),0)*IF($W27=Ret_Yr_pre,X27,1)</f>
        <v/>
      </c>
      <c r="AL27" s="581">
        <f>IF($W27&gt;=Ret_Yr_pre,pens_Pre*(GEPF_pre="Y"),0)*IF($W27=Ret_Yr_pre,1-$X27,1)*IF(Ret_Yr_pre&lt;Current,(_xlfn.IFNA(VLOOKUP($D27,CPI!$A:$E,2,FALSE),VLOOKUP(Current,CPI!$A:$E,2,FALSE))/VLOOKUP(Ret_Yr_pre,CPI!$A:$E,2,FALSE)),1)</f>
        <v/>
      </c>
      <c r="AM27" s="590">
        <f>$AC27*ee*IF($W27=Ret_Yr_pre,$X27,1)</f>
        <v/>
      </c>
      <c r="AN27" s="590">
        <f>$AC27*er*IF($W27=Ret_Yr_pre,$X27,1)</f>
        <v/>
      </c>
      <c r="AO27" s="590">
        <f>IF('LOE Sc1'!$W27=Ret_Yr_pre,Gratuity_Pre*(GEPF_pre="Y"),0)</f>
        <v/>
      </c>
      <c r="AP27" s="581">
        <f>AK27+AL27-$AM27-AN27*(GEPF_pre="Y")</f>
        <v/>
      </c>
      <c r="AQ27" s="590">
        <f>IF(DF27&lt;0,0,DF27)</f>
        <v/>
      </c>
      <c r="AR27" s="581">
        <f>(AP27-AQ27+AM27*(AM$7="Y")+AN27*(AN$7="Y"))*IF(W27&lt;Ret_Yr_pre,X27,1)+AO27</f>
        <v/>
      </c>
      <c r="AS27" s="595" t="n"/>
      <c r="AT27" s="6">
        <f>V27</f>
        <v/>
      </c>
      <c r="AU27" s="31">
        <f>W27</f>
        <v/>
      </c>
      <c r="AV27" s="598">
        <f>IF(AU27=Current,ROUND((AT27-AT26)/365.25,5),_xlfn.IFNA(INDEX(Summary!$A$55:$A$72,MATCH('LOE Sc1'!AU27,Summary!$C$55:$C$72,0)),IF(AU27=Ret_Yr_post,ROUND((DoR_Post-AT26)/365.25,5),ROUND((AT27-AT26)/365.25,2))))</f>
        <v/>
      </c>
      <c r="AW27" s="55">
        <f>Y27</f>
        <v/>
      </c>
      <c r="AX27" s="26">
        <f t="array" ref="AX27">IF(AU27&gt;Ret_Yr_post,0,_xlfn.IFNA(VLOOKUP(AW27,N$11:S$1000,5,),IF(AND(AU27=Current,AT27&gt;DoC,MONTH(DoC)&lt;&gt;3),AX26,AX26+INDEX(S$11:S$1000,MATCH(AW27,N$11:N$1000,1)+1))))</f>
        <v/>
      </c>
      <c r="AY27" s="590">
        <f>IF($V27&lt;DoC,AX27*VLOOKUP(YEAR($V27),CPI_Table,4,FALSE)/index,AX27*real_i^INT(BP27))</f>
        <v/>
      </c>
      <c r="AZ27" s="590">
        <f>$AY27/12*Bonus_Post*($AW27&lt;=RetAge_Post)</f>
        <v/>
      </c>
      <c r="BA27" s="590">
        <f>IF($E27="FL",MedSub*m^INT(BP27),MedSub)*IF(Summary!$C$81="Y",1,0)*($AU27&lt;=Ret_Yr_post)*(Summary!$C$81="Y")</f>
        <v/>
      </c>
      <c r="BB27" s="590">
        <f>IF(Summary!$C$80="Y",IF($E27&lt;&gt;"PL",VLOOKUP(Current,'Housing Allowance'!$A:$B,2,),VLOOKUP(YEAR($AT27),'Housing Allowance'!$A:$B,2,)),0)*($AU27&lt;=Ret_Yr_post)</f>
        <v/>
      </c>
      <c r="BC27" s="590">
        <f>AY27*overtime_post</f>
        <v/>
      </c>
      <c r="BD27" s="590">
        <f>$AY27*allow_1_post</f>
        <v/>
      </c>
      <c r="BE27" s="590">
        <f>($AY27&lt;&gt;0)*allow_2_post*12</f>
        <v/>
      </c>
      <c r="BF27" s="590" t="n"/>
      <c r="BG27" s="581">
        <f>IF(YEAR($V27)&lt;=Ret_Yr_post,SUM(AY27:BF27),0)*IF($W27=Ret_Yr_post,AV27,1)</f>
        <v/>
      </c>
      <c r="BH27" s="581">
        <f>IF($W27&gt;=Ret_Yr_post,pens_Post*(GEPF_pre="Y"),0)*IF($W27=Ret_Yr_post,1-$AV27,1)*IF(Ret_Yr_post&lt;Current,(_xlfn.IFNA(VLOOKUP($D27,CPI!$A:$E,2,FALSE),VLOOKUP(Current,CPI!$A:$E,2,FALSE))/VLOOKUP(Ret_Yr_post,CPI!$A:$E,2,FALSE)),1)</f>
        <v/>
      </c>
      <c r="BI27" s="590">
        <f>$AY27*ee_post*IF($W27=Ret_Yr_post,$AV27,1)</f>
        <v/>
      </c>
      <c r="BJ27" s="590">
        <f>$AY27*er_post*IF($W27=Ret_Yr_post,$AV27,1)</f>
        <v/>
      </c>
      <c r="BK27" s="590">
        <f>IF('LOE Sc1'!$W27=Ret_Yr_post,Gratuity_Post*(GEPF_post="Y"),0)</f>
        <v/>
      </c>
      <c r="BL27" s="581">
        <f>BG27+BH27-BI27-BJ27*(GEPF_post="Y")</f>
        <v/>
      </c>
      <c r="BM27" s="590">
        <f>IF(DM27&lt;0,0,DM27)</f>
        <v/>
      </c>
      <c r="BN27" s="581">
        <f>(BL27-BM27+BI27*(BI$7="Y")+BJ27*(BJ$7="Y"))*IF($W27&lt;Ret_Yr_post,AV27,1)+BK27</f>
        <v/>
      </c>
      <c r="BO27" s="591" t="n"/>
      <c r="BP27" s="592">
        <f>IF($E27="FL",IF($X27&lt;=DoC,DATEDIF(DoC,$V27,"M")/12,0),0)</f>
        <v/>
      </c>
      <c r="BQ27" s="592">
        <f>IF($E27="FL",(1+CPI)^INT(BP27),0)</f>
        <v/>
      </c>
      <c r="BR27" s="592">
        <f>IF($E27="FL",IF(($BP27-0.5)&gt;=0,1/(1+d)^($BP27-0.5),1/(1+d)^($BP27)),0)</f>
        <v/>
      </c>
      <c r="BS27" s="592" t="n"/>
      <c r="BT27" s="25">
        <f>IF(gender="M",VLOOKUP($Y27+pre_mort+IF(MONTH(DoC)&lt;MONTH(DoB),IF(MONTH(DoC)&lt;3,0,-1),IF(MONTH(DoB)&lt;3,-1,0)),'SALT LIFE TABLES'!$A$7:$E$106,2),VLOOKUP($Y27+pre_mort+IF(MONTH(DoC)&lt;MONTH(DoB),IF(MONTH(DoC)&lt;3,0,-1),IF(MONTH(DoB)&lt;3,-1,0)),'SALT LIFE TABLES'!$A$7:$E$106,4))</f>
        <v/>
      </c>
      <c r="BU27" s="592">
        <f>IF($E27="PL",1,BT27/BU$7)</f>
        <v/>
      </c>
      <c r="BV27" s="593" t="n"/>
      <c r="BW27" s="25">
        <f>IF(gender="M",VLOOKUP($Y27+post_mort+IF(MONTH(DoC)&lt;MONTH(DoB),IF(MONTH(DoC)&lt;3,0,-1),IF(MONTH(DoB)&lt;3,-1,0)),'SALT LIFE TABLES'!$A$7:$E$106,2),VLOOKUP($Y27+post_mort+IF(MONTH(DoC)&lt;MONTH(DoB),IF(MONTH(DoC)&lt;3,0,-1),IF(MONTH(DoB)&lt;3,-1,0)),'SALT LIFE TABLES'!$A$7:$E$106,4))</f>
        <v/>
      </c>
      <c r="BX27" s="592">
        <f>IF($E27="PL",1,BW27/BX$7)</f>
        <v/>
      </c>
      <c r="BY27" s="594" t="n"/>
      <c r="BZ27" s="592" t="n"/>
      <c r="CA27" s="592">
        <f>IF($E27="FL",$AR27*$BQ27*$BR27*$BU27,$AR27)</f>
        <v/>
      </c>
      <c r="CB27" s="592">
        <f>IF($E27="FL",$BN27*$BQ27*$BR27*$BX27,$BN27)</f>
        <v/>
      </c>
      <c r="CC27" s="592" t="n"/>
      <c r="CD27" s="592">
        <f>IF($E27="FL",$CA27*(1-pre_FL),$CA27*(1-pre_PL))</f>
        <v/>
      </c>
      <c r="CE27" s="592">
        <f>IF($E27="FL",$CB27*(1-post_FL),$CB27*(1-post_PL))</f>
        <v/>
      </c>
      <c r="CF27" s="592" t="n"/>
      <c r="CG27" s="599">
        <f>CD27-CE27</f>
        <v/>
      </c>
      <c r="CH27" s="599">
        <f>MIN(CG27,IF(W27=Ret_Yr_pre,1,$X27)*Cap)</f>
        <v/>
      </c>
      <c r="CI27" s="128" t="n"/>
      <c r="CJ27" s="37">
        <f>IF(D27&gt;Current,Current,D27)</f>
        <v/>
      </c>
      <c r="CK27" s="37">
        <f>MATCH($CJ27,Tax_Tables[Tax Year],0)</f>
        <v/>
      </c>
      <c r="CL27" s="600" t="n">
        <v>0</v>
      </c>
      <c r="CM27" s="600">
        <f t="array" ref="CM27">INDEX(Tax_Tables[[Limits]:[Limits]],$CK27+CM$8)</f>
        <v/>
      </c>
      <c r="CN27" s="600">
        <f t="array" ref="CN27">INDEX(Tax_Tables[[Limits]:[Limits]],$CK27+CN$8)</f>
        <v/>
      </c>
      <c r="CO27" s="600">
        <f t="array" ref="CO27">INDEX(Tax_Tables[[Limits]:[Limits]],$CK27+CO$8)</f>
        <v/>
      </c>
      <c r="CP27" s="600">
        <f t="array" ref="CP27">INDEX(Tax_Tables[[Limits]:[Limits]],$CK27+CP$8)</f>
        <v/>
      </c>
      <c r="CQ27" s="600">
        <f t="array" ref="CQ27">INDEX(Tax_Tables[[Limits]:[Limits]],$CK27+CQ$8)</f>
        <v/>
      </c>
      <c r="CR27" s="600">
        <f t="array" ref="CR27">INDEX(Tax_Tables[[Limits]:[Limits]],$CK27+CR$8)</f>
        <v/>
      </c>
      <c r="CS27" s="37">
        <f>INDEX(Rebate[&lt;65],MATCH($CJ27,Rebate[[Tax Year]:[Tax Year]],0))</f>
        <v/>
      </c>
      <c r="CT27" s="37">
        <f>INDEX(Rebate[&lt;75],MATCH($CJ27,Rebate[[Tax Year]:[Tax Year]],0))</f>
        <v/>
      </c>
      <c r="CU27" s="37">
        <f>INDEX(Rebate[&gt;75],MATCH($CJ27,Rebate[[Tax Year]:[Tax Year]],0))</f>
        <v/>
      </c>
      <c r="CV27" s="37">
        <f>INDEX(Tax_Credit[Principal],MATCH($CJ27,Tax_Credit[[Tax Year]:[Tax Year]],0))</f>
        <v/>
      </c>
      <c r="CW27" s="37">
        <f>INDEX(Tax_Credit[First Dependant],MATCH($CJ27,Tax_Credit[[Tax Year]:[Tax Year]],0))</f>
        <v/>
      </c>
      <c r="CX27" s="37">
        <f>INDEX(Tax_Credit[Each Additional],MATCH($CJ27,Tax_Credit[[Tax Year]:[Tax Year]],0))</f>
        <v/>
      </c>
      <c r="CY27" s="484">
        <f>Y27</f>
        <v/>
      </c>
      <c r="CZ27" s="601">
        <f>AP27</f>
        <v/>
      </c>
      <c r="DA27" s="37">
        <f t="array" ref="DA27">INDEX($CL27:$CR27,0,MATCH($CZ27,$CL27:$CR27,1))</f>
        <v/>
      </c>
      <c r="DB27" s="37">
        <f t="array" ref="DB27">IFERROR(INDEX(Tax_Tables[Percentages],$CK27+MATCH($DA27,$CL27:$CR27,0)-1),"")</f>
        <v/>
      </c>
      <c r="DC27" s="37">
        <f t="array" ref="DC27">IFERROR(INDEX(Tax_Tables[Tax],$CK27+MATCH($DA27,$CL27:$CR27,0)-1),"")</f>
        <v/>
      </c>
      <c r="DD27" s="37">
        <f>IF(CY27&lt;65,CS27,IF(CY27&lt;75,CT27,CU27))</f>
        <v/>
      </c>
      <c r="DE27" s="37">
        <f>CV27*(Summary!$C$31="Y")+(Summary!$C$31="Y")*(CW27*(Pre_MDep&gt;=1)+CX27*MAX(Pre_MDep-1,0))</f>
        <v/>
      </c>
      <c r="DF27" s="599">
        <f>IFERROR(MAX(DB27*(CZ27-DA27)+DC27-DD27-DE27*12,0),"")</f>
        <v/>
      </c>
      <c r="DG27" s="602" t="n"/>
      <c r="DH27" s="601">
        <f>BL27</f>
        <v/>
      </c>
      <c r="DI27" s="37">
        <f t="array" ref="DI27">INDEX($CL27:$CR27,0,MATCH($DH27,$CL27:$CR27,1))</f>
        <v/>
      </c>
      <c r="DJ27" s="37">
        <f t="array" ref="DJ27">IFERROR(INDEX(Tax_Tables[Percentages],$CK27+MATCH($DI27,$CL27:$CR27,0)-1),"")</f>
        <v/>
      </c>
      <c r="DK27" s="37">
        <f t="array" ref="DK27">IFERROR(INDEX(Tax_Tables[Tax],$CK27+MATCH($DI27,$CL27:$CR27,0)-1),"")</f>
        <v/>
      </c>
      <c r="DL27" s="37">
        <f>CV27*(Summary!$C$81="Y")+(Summary!$C$81="Y")*(CW27*(Post_MDep&gt;=1)+CX27*MAX(Post_MDep-1,0))</f>
        <v/>
      </c>
      <c r="DM27" s="599">
        <f>IFERROR(MAX(DJ27*(DH27-DI27)+DK27-DD27-DL27*12,0),"")</f>
        <v/>
      </c>
      <c r="DN27" s="601" t="n"/>
      <c r="DO27" s="37" t="n"/>
      <c r="DP27" s="37" t="n"/>
      <c r="DQ27" s="37" t="n"/>
      <c r="DR27" s="37" t="n"/>
      <c r="DS27" s="37" t="n"/>
      <c r="DT27" s="37" t="n"/>
      <c r="DU27" s="37" t="n"/>
      <c r="DV27" s="37" t="n"/>
      <c r="DW27" s="37" t="n"/>
      <c r="DX27" s="599" t="n"/>
      <c r="DY27" s="131" t="n"/>
      <c r="DZ27" s="601" t="n"/>
      <c r="EA27" s="37" t="n"/>
      <c r="EB27" s="37" t="n"/>
      <c r="EC27" s="37" t="n"/>
      <c r="ED27" s="599" t="n"/>
      <c r="EE27" s="595" t="n"/>
      <c r="EF27" s="25" t="n"/>
    </row>
    <row r="28" customFormat="1" s="284">
      <c r="A28" s="283" t="n"/>
      <c r="C28" s="603">
        <f>C27+D28-D27</f>
        <v/>
      </c>
      <c r="D28" s="286">
        <f>AU28</f>
        <v/>
      </c>
      <c r="E28" s="287">
        <f>IF(DoC=V28,"Calc Date",IF(V28&lt;DoC,"PL","FL"))</f>
        <v/>
      </c>
      <c r="F28" s="312">
        <f>IF(Summary!D21="",F27,Summary!D21)</f>
        <v/>
      </c>
      <c r="G28" s="289">
        <f>VLOOKUP(F28,C$10:D$148,2)</f>
        <v/>
      </c>
      <c r="H28" s="315">
        <f>IF(Summary!G21="",H27,Summary!G21)</f>
        <v/>
      </c>
      <c r="I28" s="290">
        <f>IF(Summary!E21="",I27,Summary!E21)</f>
        <v/>
      </c>
      <c r="J28" s="604">
        <f>I28*index/VLOOKUP($H28,CPI!A:E,4,FALSE)</f>
        <v/>
      </c>
      <c r="K28" s="604">
        <f>IF(L28="Linear",(J28-J27)/(G28-G27),0)</f>
        <v/>
      </c>
      <c r="L28" s="309">
        <f>IF(Summary!H21="",L27,Summary!H21)</f>
        <v/>
      </c>
      <c r="M28" s="293" t="n"/>
      <c r="N28" s="312">
        <f>IF(Summary!D71="",N27,Summary!D71)</f>
        <v/>
      </c>
      <c r="O28" s="289">
        <f>O27+N28-N27</f>
        <v/>
      </c>
      <c r="P28" s="315">
        <f>IF(Summary!G71="",P27,Summary!G71)</f>
        <v/>
      </c>
      <c r="Q28" s="290">
        <f>IF(Summary!E71="",Q27,Summary!E71)</f>
        <v/>
      </c>
      <c r="R28" s="604">
        <f>Q28*index/VLOOKUP($P28,CPI!A:E,4,FALSE)</f>
        <v/>
      </c>
      <c r="S28" s="604">
        <f>IF(T28="Linear",(R28-R27)/(O28-O27),0)</f>
        <v/>
      </c>
      <c r="T28" s="309">
        <f>IF(Summary!H71="",T27,Summary!H71)</f>
        <v/>
      </c>
      <c r="U28" s="294" t="n"/>
      <c r="V28" s="6">
        <f>IF(AND($V27=DoA,MONTH(V27)&lt;3),DATE(YEAR(DoA),3,1),IF(AND(IFERROR(DATEDIF(V27,DoC,"M"),12)&lt;12,IFERROR(DATEDIF(V27,DoC,"M"),12)&gt;0),DoC,DATE(YEAR(V27)+(1-AND(YEAR(DoC)=Current,V27=DoC)-AND(V27=DoA,MONTH(V27)&lt;3)),3,1)))</f>
        <v/>
      </c>
      <c r="W28" s="289">
        <f>IF(V28=DoR_Pre,IF(MONTH(DoR_Pre)&gt;3,YEAR(DoR_Pre)+1,YEAR(DoR_Pre)),IF(MONTH(V28)&gt;3,Current,YEAR(V28)))</f>
        <v/>
      </c>
      <c r="X28" s="597">
        <f>IF(W28=Current,ROUND((V28-V27)/365.25,5),_xlfn.IFNA(INDEX(Summary!$A$5:$A$22,MATCH('LOE Sc1'!W28,Summary!$C$5:$C$22,0)),IF(W28=Ret_Yr_pre,ROUND((DoR_Pre-V27)/365.25,5),ROUND((V28-V27)/365.25,2))))</f>
        <v/>
      </c>
      <c r="Y28" s="288">
        <f>IF(AND(V28=DoC,MONTH(DoC)&lt;&gt;3),ROUNDDOWN(DATEDIF(DoB,V29,"M")/12,),ROUNDDOWN(DATEDIF(DoB,V28,"M")/12,))</f>
        <v/>
      </c>
      <c r="Z28" s="605" t="n"/>
      <c r="AA28" s="296">
        <f>MAX(RetAge_Pre-Y28,0)</f>
        <v/>
      </c>
      <c r="AB28" s="26">
        <f t="array" ref="AB28">IF(W28&gt;Ret_Yr_pre,0,_xlfn.IFNA(VLOOKUP(Y28,F$11:J$1000,5,),IF(AND(W28=Current,V28&gt;DoC,MONTH(DoC)&lt;&gt;3),AB27,AB27+INDEX(K$11:K$1000,MATCH(Y28,F$11:F$1000,1)+1))))</f>
        <v/>
      </c>
      <c r="AC28" s="590">
        <f>IF(V28&lt;DoC,AB28*VLOOKUP(YEAR(V28),CPI!A:E,4,FALSE)/index,AB28*real_i^INT(BP28))</f>
        <v/>
      </c>
      <c r="AD28" s="605">
        <f>$AC28/12*Bonus</f>
        <v/>
      </c>
      <c r="AE28" s="605">
        <f>IF($E28="FL",MedSub*m^INT(BP28),MedSub)*IF(Summary!$C$31="Y",1,0)*(W28&lt;=Ret_Yr_pre)*(Summary!C$31="Y")</f>
        <v/>
      </c>
      <c r="AF28" s="590">
        <f>IF(Summary!$C$30="Y",IF(E28&lt;&gt;"PL",VLOOKUP(Current,'Housing Allowance'!$A:$B,2,),VLOOKUP(YEAR($V28),'Housing Allowance'!$A:$B,2,)),0)*(W28&lt;=Ret_Yr_pre)</f>
        <v/>
      </c>
      <c r="AG28" s="605">
        <f>AC28*overtime</f>
        <v/>
      </c>
      <c r="AH28" s="605">
        <f>AC28*allow_1</f>
        <v/>
      </c>
      <c r="AI28" s="605">
        <f>(AB28&lt;&gt;0)*12*allow_2</f>
        <v/>
      </c>
      <c r="AJ28" s="605" t="n"/>
      <c r="AK28" s="581">
        <f>IF(YEAR(W28)&lt;=Ret_Yr_pre,SUM(AC28:AJ28),0)*IF($W28=Ret_Yr_pre,X28,1)</f>
        <v/>
      </c>
      <c r="AL28" s="606">
        <f>IF($W28&gt;=Ret_Yr_pre,pens_Pre*(GEPF_pre="Y"),0)*IF($W28=Ret_Yr_pre,1-$X28,1)*IF(Ret_Yr_pre&lt;Current,(_xlfn.IFNA(VLOOKUP($D28,CPI!$A:$E,2,FALSE),VLOOKUP(Current,CPI!$A:$E,2,FALSE))/VLOOKUP(Ret_Yr_pre,CPI!$A:$E,2,FALSE)),1)</f>
        <v/>
      </c>
      <c r="AM28" s="605">
        <f>$AC28*ee*IF($W28=Ret_Yr_pre,$X28,1)</f>
        <v/>
      </c>
      <c r="AN28" s="605">
        <f>$AC28*er*IF($W28=Ret_Yr_pre,$X28,1)</f>
        <v/>
      </c>
      <c r="AO28" s="605">
        <f>IF('LOE Sc1'!$W28=Ret_Yr_pre,Gratuity_Pre*(GEPF_pre="Y"),0)</f>
        <v/>
      </c>
      <c r="AP28" s="581">
        <f>AK28+AL28-$AM28-AN28*(GEPF_pre="Y")</f>
        <v/>
      </c>
      <c r="AQ28" s="590">
        <f>IF(DF28&lt;0,0,DF28)</f>
        <v/>
      </c>
      <c r="AR28" s="581">
        <f>(AP28-AQ28+AM28*(AM$7="Y")+AN28*(AN$7="Y"))*IF(W28&lt;Ret_Yr_pre,X28,1)+AO28</f>
        <v/>
      </c>
      <c r="AS28" s="607" t="n"/>
      <c r="AT28" s="292">
        <f>V28</f>
        <v/>
      </c>
      <c r="AU28" s="289">
        <f>W28</f>
        <v/>
      </c>
      <c r="AV28" s="598">
        <f>IF(AU28=Current,ROUND((AT28-AT27)/365.25,5),_xlfn.IFNA(INDEX(Summary!$A$55:$A$72,MATCH('LOE Sc1'!AU28,Summary!$C$55:$C$72,0)),IF(AU28=Ret_Yr_post,ROUND((DoR_Post-AT27)/365.25,5),ROUND((AT28-AT27)/365.25,2))))</f>
        <v/>
      </c>
      <c r="AW28" s="288">
        <f>Y28</f>
        <v/>
      </c>
      <c r="AX28" s="26">
        <f t="array" ref="AX28">IF(AU28&gt;Ret_Yr_post,0,_xlfn.IFNA(VLOOKUP(AW28,N$11:S$1000,5,),IF(AND(AU28=Current,AT28&gt;DoC,MONTH(DoC)&lt;&gt;3),AX27,AX27+INDEX(S$11:S$1000,MATCH(AW28,N$11:N$1000,1)+1))))</f>
        <v/>
      </c>
      <c r="AY28" s="590">
        <f>IF($V28&lt;DoC,AX28*VLOOKUP(YEAR($V28),CPI_Table,4,FALSE)/index,AX28*real_i^INT(BP28))</f>
        <v/>
      </c>
      <c r="AZ28" s="605">
        <f>$AY28/12*Bonus_Post*($AW28&lt;=RetAge_Post)</f>
        <v/>
      </c>
      <c r="BA28" s="605">
        <f>IF($E28="FL",MedSub*m^INT(BP28),MedSub)*IF(Summary!$C$81="Y",1,0)*($AU28&lt;=Ret_Yr_post)*(Summary!$C$81="Y")</f>
        <v/>
      </c>
      <c r="BB28" s="590">
        <f>IF(Summary!$C$80="Y",IF($E28&lt;&gt;"PL",VLOOKUP(Current,'Housing Allowance'!$A:$B,2,),VLOOKUP(YEAR($AT28),'Housing Allowance'!$A:$B,2,)),0)*($AU28&lt;=Ret_Yr_post)</f>
        <v/>
      </c>
      <c r="BC28" s="605">
        <f>AY28*overtime_post</f>
        <v/>
      </c>
      <c r="BD28" s="605">
        <f>$AY28*allow_1_post</f>
        <v/>
      </c>
      <c r="BE28" s="605">
        <f>($AY28&lt;&gt;0)*allow_2_post*12</f>
        <v/>
      </c>
      <c r="BF28" s="605" t="n"/>
      <c r="BG28" s="581">
        <f>IF(YEAR($V28)&lt;=Ret_Yr_post,SUM(AY28:BF28),0)*IF($W28=Ret_Yr_post,AV28,1)</f>
        <v/>
      </c>
      <c r="BH28" s="606">
        <f>IF($W28&gt;=Ret_Yr_post,pens_Post*(GEPF_pre="Y"),0)*IF($W28=Ret_Yr_post,1-$AV28,1)*IF(Ret_Yr_post&lt;Current,(_xlfn.IFNA(VLOOKUP($D28,CPI!$A:$E,2,FALSE),VLOOKUP(Current,CPI!$A:$E,2,FALSE))/VLOOKUP(Ret_Yr_post,CPI!$A:$E,2,FALSE)),1)</f>
        <v/>
      </c>
      <c r="BI28" s="590">
        <f>$AY28*ee_post*IF($W28=Ret_Yr_post,$AV28,1)</f>
        <v/>
      </c>
      <c r="BJ28" s="605">
        <f>$AY28*er_post*IF($W28=Ret_Yr_post,$AV28,1)</f>
        <v/>
      </c>
      <c r="BK28" s="605">
        <f>IF('LOE Sc1'!$W28=Ret_Yr_post,Gratuity_Post*(GEPF_post="Y"),0)</f>
        <v/>
      </c>
      <c r="BL28" s="581">
        <f>BG28+BH28-BI28-BJ28*(GEPF_post="Y")</f>
        <v/>
      </c>
      <c r="BM28" s="590">
        <f>IF(DM28&lt;0,0,DM28)</f>
        <v/>
      </c>
      <c r="BN28" s="581">
        <f>(BL28-BM28+BI28*(BI$7="Y")+BJ28*(BJ$7="Y"))*IF($W28&lt;Ret_Yr_post,AV28,1)+BK28</f>
        <v/>
      </c>
      <c r="BO28" s="608" t="n"/>
      <c r="BP28" s="609">
        <f>IF($E28="FL",IF($X28&lt;=DoC,DATEDIF(DoC,$V28,"M")/12,0),0)</f>
        <v/>
      </c>
      <c r="BQ28" s="592">
        <f>IF($E28="FL",(1+CPI)^INT(BP28),0)</f>
        <v/>
      </c>
      <c r="BR28" s="609">
        <f>IF($E28="FL",IF(($BP28-0.5)&gt;=0,1/(1+d)^($BP28-0.5),1/(1+d)^($BP28)),0)</f>
        <v/>
      </c>
      <c r="BS28" s="609" t="n"/>
      <c r="BT28" s="25">
        <f>IF(gender="M",VLOOKUP($Y28+pre_mort+IF(MONTH(DoC)&lt;MONTH(DoB),IF(MONTH(DoC)&lt;3,0,-1),IF(MONTH(DoB)&lt;3,-1,0)),'SALT LIFE TABLES'!$A$7:$E$106,2),VLOOKUP($Y28+pre_mort+IF(MONTH(DoC)&lt;MONTH(DoB),IF(MONTH(DoC)&lt;3,0,-1),IF(MONTH(DoB)&lt;3,-1,0)),'SALT LIFE TABLES'!$A$7:$E$106,4))</f>
        <v/>
      </c>
      <c r="BU28" s="609">
        <f>IF($E28="PL",1,BT28/BU$7)</f>
        <v/>
      </c>
      <c r="BV28" s="610" t="n"/>
      <c r="BW28" s="25">
        <f>IF(gender="M",VLOOKUP($Y28+post_mort+IF(MONTH(DoC)&lt;MONTH(DoB),IF(MONTH(DoC)&lt;3,0,-1),IF(MONTH(DoB)&lt;3,-1,0)),'SALT LIFE TABLES'!$A$7:$E$106,2),VLOOKUP($Y28+post_mort+IF(MONTH(DoC)&lt;MONTH(DoB),IF(MONTH(DoC)&lt;3,0,-1),IF(MONTH(DoB)&lt;3,-1,0)),'SALT LIFE TABLES'!$A$7:$E$106,4))</f>
        <v/>
      </c>
      <c r="BX28" s="609">
        <f>IF($E28="PL",1,BW28/BX$7)</f>
        <v/>
      </c>
      <c r="BY28" s="611" t="n"/>
      <c r="BZ28" s="609" t="n"/>
      <c r="CA28" s="609">
        <f>IF($E28="FL",$AR28*$BQ28*$BR28*$BU28,$AR28)</f>
        <v/>
      </c>
      <c r="CB28" s="609">
        <f>IF($E28="FL",$BN28*$BQ28*$BR28*$BX28,$BN28)</f>
        <v/>
      </c>
      <c r="CC28" s="609" t="n"/>
      <c r="CD28" s="609">
        <f>IF($E28="FL",$CA28*(1-pre_FL),$CA28*(1-pre_PL))</f>
        <v/>
      </c>
      <c r="CE28" s="609">
        <f>IF($E28="FL",$CB28*(1-post_FL),$CB28*(1-post_PL))</f>
        <v/>
      </c>
      <c r="CF28" s="609" t="n"/>
      <c r="CG28" s="599">
        <f>CD28-CE28</f>
        <v/>
      </c>
      <c r="CH28" s="599">
        <f>MIN(CG28,IF(W28=Ret_Yr_pre,1,$X28)*Cap)</f>
        <v/>
      </c>
      <c r="CI28" s="305" t="n"/>
      <c r="CJ28" s="37">
        <f>IF(D28&gt;Current,Current,D28)</f>
        <v/>
      </c>
      <c r="CK28" s="37">
        <f>MATCH($CJ28,Tax_Tables[Tax Year],0)</f>
        <v/>
      </c>
      <c r="CL28" s="600" t="n">
        <v>0</v>
      </c>
      <c r="CM28" s="600">
        <f t="array" ref="CM28">INDEX(Tax_Tables[[Limits]:[Limits]],$CK28+CM$8)</f>
        <v/>
      </c>
      <c r="CN28" s="600">
        <f t="array" ref="CN28">INDEX(Tax_Tables[[Limits]:[Limits]],$CK28+CN$8)</f>
        <v/>
      </c>
      <c r="CO28" s="600">
        <f t="array" ref="CO28">INDEX(Tax_Tables[[Limits]:[Limits]],$CK28+CO$8)</f>
        <v/>
      </c>
      <c r="CP28" s="600">
        <f t="array" ref="CP28">INDEX(Tax_Tables[[Limits]:[Limits]],$CK28+CP$8)</f>
        <v/>
      </c>
      <c r="CQ28" s="600">
        <f t="array" ref="CQ28">INDEX(Tax_Tables[[Limits]:[Limits]],$CK28+CQ$8)</f>
        <v/>
      </c>
      <c r="CR28" s="600">
        <f t="array" ref="CR28">INDEX(Tax_Tables[[Limits]:[Limits]],$CK28+CR$8)</f>
        <v/>
      </c>
      <c r="CS28" s="37">
        <f>INDEX(Rebate[&lt;65],MATCH($CJ28,Rebate[[Tax Year]:[Tax Year]],0))</f>
        <v/>
      </c>
      <c r="CT28" s="37">
        <f>INDEX(Rebate[&lt;75],MATCH($CJ28,Rebate[[Tax Year]:[Tax Year]],0))</f>
        <v/>
      </c>
      <c r="CU28" s="37">
        <f>INDEX(Rebate[&gt;75],MATCH($CJ28,Rebate[[Tax Year]:[Tax Year]],0))</f>
        <v/>
      </c>
      <c r="CV28" s="37">
        <f>INDEX(Tax_Credit[Principal],MATCH($CJ28,Tax_Credit[[Tax Year]:[Tax Year]],0))</f>
        <v/>
      </c>
      <c r="CW28" s="37">
        <f>INDEX(Tax_Credit[First Dependant],MATCH($CJ28,Tax_Credit[[Tax Year]:[Tax Year]],0))</f>
        <v/>
      </c>
      <c r="CX28" s="37">
        <f>INDEX(Tax_Credit[Each Additional],MATCH($CJ28,Tax_Credit[[Tax Year]:[Tax Year]],0))</f>
        <v/>
      </c>
      <c r="CY28" s="484">
        <f>Y28</f>
        <v/>
      </c>
      <c r="CZ28" s="601">
        <f>AP28</f>
        <v/>
      </c>
      <c r="DA28" s="37">
        <f t="array" ref="DA28">INDEX($CL28:$CR28,0,MATCH($CZ28,$CL28:$CR28,1))</f>
        <v/>
      </c>
      <c r="DB28" s="37">
        <f t="array" ref="DB28">IFERROR(INDEX(Tax_Tables[Percentages],$CK28+MATCH($DA28,$CL28:$CR28,0)-1),"")</f>
        <v/>
      </c>
      <c r="DC28" s="37">
        <f t="array" ref="DC28">IFERROR(INDEX(Tax_Tables[Tax],$CK28+MATCH($DA28,$CL28:$CR28,0)-1),"")</f>
        <v/>
      </c>
      <c r="DD28" s="37">
        <f>IF(CY28&lt;65,CS28,IF(CY28&lt;75,CT28,CU28))</f>
        <v/>
      </c>
      <c r="DE28" s="37">
        <f>CV28*(Summary!$C$31="Y")+(Summary!$C$31="Y")*(CW28*(Pre_MDep&gt;=1)+CX28*MAX(Pre_MDep-1,0))</f>
        <v/>
      </c>
      <c r="DF28" s="599">
        <f>IFERROR(MAX(DB28*(CZ28-DA28)+DC28-DD28-DE28*12,0),"")</f>
        <v/>
      </c>
      <c r="DG28" s="602" t="n"/>
      <c r="DH28" s="601">
        <f>BL28</f>
        <v/>
      </c>
      <c r="DI28" s="37">
        <f t="array" ref="DI28">INDEX($CL28:$CR28,0,MATCH($DH28,$CL28:$CR28,1))</f>
        <v/>
      </c>
      <c r="DJ28" s="37">
        <f t="array" ref="DJ28">IFERROR(INDEX(Tax_Tables[Percentages],$CK28+MATCH($DI28,$CL28:$CR28,0)-1),"")</f>
        <v/>
      </c>
      <c r="DK28" s="37">
        <f t="array" ref="DK28">IFERROR(INDEX(Tax_Tables[Tax],$CK28+MATCH($DI28,$CL28:$CR28,0)-1),"")</f>
        <v/>
      </c>
      <c r="DL28" s="37">
        <f>CV28*(Summary!$C$81="Y")+(Summary!$C$81="Y")*(CW28*(Post_MDep&gt;=1)+CX28*MAX(Post_MDep-1,0))</f>
        <v/>
      </c>
      <c r="DM28" s="599">
        <f>IFERROR(MAX(DJ28*(DH28-DI28)+DK28-DD28-DL28*12,0),"")</f>
        <v/>
      </c>
      <c r="DN28" s="612" t="n"/>
      <c r="DO28" s="37" t="n"/>
      <c r="DP28" s="37" t="n"/>
      <c r="DQ28" s="37" t="n"/>
      <c r="DR28" s="37" t="n"/>
      <c r="DS28" s="37" t="n"/>
      <c r="DT28" s="37" t="n"/>
      <c r="DU28" s="37" t="n"/>
      <c r="DV28" s="37" t="n"/>
      <c r="DW28" s="37" t="n"/>
      <c r="DX28" s="613" t="n"/>
      <c r="DY28" s="307" t="n"/>
      <c r="DZ28" s="612" t="n"/>
      <c r="EA28" s="37" t="n"/>
      <c r="EB28" s="37" t="n"/>
      <c r="EC28" s="37" t="n"/>
      <c r="ED28" s="613" t="n"/>
      <c r="EE28" s="607" t="n"/>
      <c r="EF28" s="296" t="n"/>
    </row>
    <row r="29">
      <c r="A29" s="47" t="n"/>
      <c r="C29" s="596">
        <f>C28+D29-D28</f>
        <v/>
      </c>
      <c r="D29" s="160">
        <f>AU29</f>
        <v/>
      </c>
      <c r="E29" s="87">
        <f>IF(DoC=V29,"Calc Date",IF(V29&lt;DoC,"PL","FL"))</f>
        <v/>
      </c>
      <c r="F29" s="310">
        <f>F28+1</f>
        <v/>
      </c>
      <c r="G29" s="31">
        <f>VLOOKUP(F29,C$10:D$148,2)</f>
        <v/>
      </c>
      <c r="H29" s="313">
        <f>H28</f>
        <v/>
      </c>
      <c r="I29" s="281">
        <f>I28</f>
        <v/>
      </c>
      <c r="J29" s="589">
        <f>I29*index/VLOOKUP($H29,CPI!A:E,4,FALSE)</f>
        <v/>
      </c>
      <c r="K29" s="589">
        <f>IF(L29="Linear",(J29-J28)/(G29-G28),0)</f>
        <v/>
      </c>
      <c r="L29" s="311" t="inlineStr">
        <is>
          <t>Flat</t>
        </is>
      </c>
      <c r="M29" s="137" t="n"/>
      <c r="N29" s="310">
        <f>N28+1</f>
        <v/>
      </c>
      <c r="O29" s="31">
        <f>O28+N29-N28</f>
        <v/>
      </c>
      <c r="P29" s="313">
        <f>P28</f>
        <v/>
      </c>
      <c r="Q29" s="281">
        <f>Q28</f>
        <v/>
      </c>
      <c r="R29" s="589">
        <f>Q29*index/VLOOKUP($P29,CPI!A:E,4,FALSE)</f>
        <v/>
      </c>
      <c r="S29" s="589">
        <f>IF(T29="Linear",(R29-R28)/(O29-O28),0)</f>
        <v/>
      </c>
      <c r="T29" s="311" t="inlineStr">
        <is>
          <t>Flat</t>
        </is>
      </c>
      <c r="U29" s="144" t="n"/>
      <c r="V29" s="6">
        <f>IF(AND($V28=DoA,MONTH(V28)&lt;3),DATE(YEAR(DoA),3,1),IF(AND(IFERROR(DATEDIF(V28,DoC,"M"),12)&lt;12,IFERROR(DATEDIF(V28,DoC,"M"),12)&gt;0),DoC,DATE(YEAR(V28)+(1-AND(YEAR(DoC)=Current,V28=DoC)-AND(V28=DoA,MONTH(V28)&lt;3)),3,1)))</f>
        <v/>
      </c>
      <c r="W29" s="31">
        <f>IF(V29=DoR_Pre,IF(MONTH(DoR_Pre)&gt;3,YEAR(DoR_Pre)+1,YEAR(DoR_Pre)),IF(MONTH(V29)&gt;3,Current,YEAR(V29)))</f>
        <v/>
      </c>
      <c r="X29" s="597">
        <f>IF(W29=Current,ROUND((V29-V28)/365.25,5),_xlfn.IFNA(INDEX(Summary!$A$5:$A$22,MATCH('LOE Sc1'!W29,Summary!$C$5:$C$22,0)),IF(W29=Ret_Yr_pre,ROUND((DoR_Pre-V28)/365.25,5),ROUND((V29-V28)/365.25,2))))</f>
        <v/>
      </c>
      <c r="Y29" s="55">
        <f>IF(AND(V29=DoC,MONTH(DoC)&lt;&gt;3),ROUNDDOWN(DATEDIF(DoB,V30,"M")/12,),ROUNDDOWN(DATEDIF(DoB,V29,"M")/12,))</f>
        <v/>
      </c>
      <c r="Z29" s="590" t="n"/>
      <c r="AA29" s="25">
        <f>MAX(RetAge_Pre-Y29,0)</f>
        <v/>
      </c>
      <c r="AB29" s="26">
        <f t="array" ref="AB29">IF(W29&gt;Ret_Yr_pre,0,_xlfn.IFNA(VLOOKUP(Y29,F$11:J$1000,5,),IF(AND(W29=Current,V29&gt;DoC,MONTH(DoC)&lt;&gt;3),AB28,AB28+INDEX(K$11:K$1000,MATCH(Y29,F$11:F$1000,1)+1))))</f>
        <v/>
      </c>
      <c r="AC29" s="590">
        <f>IF(V29&lt;DoC,AB29*VLOOKUP(YEAR(V29),CPI!A:E,4,FALSE)/index,AB29*real_i^INT(BP29))</f>
        <v/>
      </c>
      <c r="AD29" s="590">
        <f>$AC29/12*Bonus</f>
        <v/>
      </c>
      <c r="AE29" s="590">
        <f>IF($E29="FL",MedSub*m^INT(BP29),MedSub)*IF(Summary!$C$31="Y",1,0)*(W29&lt;=Ret_Yr_pre)*(Summary!C$31="Y")</f>
        <v/>
      </c>
      <c r="AF29" s="590">
        <f>IF(Summary!$C$30="Y",IF(E29&lt;&gt;"PL",VLOOKUP(Current,'Housing Allowance'!$A:$B,2,),VLOOKUP(YEAR($V29),'Housing Allowance'!$A:$B,2,)),0)*(W29&lt;=Ret_Yr_pre)</f>
        <v/>
      </c>
      <c r="AG29" s="590">
        <f>AC29*overtime</f>
        <v/>
      </c>
      <c r="AH29" s="590">
        <f>AC29*allow_1</f>
        <v/>
      </c>
      <c r="AI29" s="590">
        <f>(AB29&lt;&gt;0)*12*allow_2</f>
        <v/>
      </c>
      <c r="AJ29" s="590" t="n"/>
      <c r="AK29" s="581">
        <f>IF(YEAR(W29)&lt;=Ret_Yr_pre,SUM(AC29:AJ29),0)*IF($W29=Ret_Yr_pre,X29,1)</f>
        <v/>
      </c>
      <c r="AL29" s="581">
        <f>IF($W29&gt;=Ret_Yr_pre,pens_Pre*(GEPF_pre="Y"),0)*IF($W29=Ret_Yr_pre,1-$X29,1)*IF(Ret_Yr_pre&lt;Current,(_xlfn.IFNA(VLOOKUP($D29,CPI!$A:$E,2,FALSE),VLOOKUP(Current,CPI!$A:$E,2,FALSE))/VLOOKUP(Ret_Yr_pre,CPI!$A:$E,2,FALSE)),1)</f>
        <v/>
      </c>
      <c r="AM29" s="590">
        <f>$AC29*ee*IF($W29=Ret_Yr_pre,$X29,1)</f>
        <v/>
      </c>
      <c r="AN29" s="590">
        <f>$AC29*er*IF($W29=Ret_Yr_pre,$X29,1)</f>
        <v/>
      </c>
      <c r="AO29" s="590">
        <f>IF('LOE Sc1'!$W29=Ret_Yr_pre,Gratuity_Pre*(GEPF_pre="Y"),0)</f>
        <v/>
      </c>
      <c r="AP29" s="581">
        <f>AK29+AL29-$AM29-AN29*(GEPF_pre="Y")</f>
        <v/>
      </c>
      <c r="AQ29" s="590">
        <f>IF(DF29&lt;0,0,DF29)</f>
        <v/>
      </c>
      <c r="AR29" s="581">
        <f>(AP29-AQ29+AM29*(AM$7="Y")+AN29*(AN$7="Y"))*IF(W29&lt;Ret_Yr_pre,X29,1)+AO29</f>
        <v/>
      </c>
      <c r="AS29" s="595" t="n"/>
      <c r="AT29" s="6">
        <f>V29</f>
        <v/>
      </c>
      <c r="AU29" s="31">
        <f>W29</f>
        <v/>
      </c>
      <c r="AV29" s="598">
        <f>IF(AU29=Current,ROUND((AT29-AT28)/365.25,5),_xlfn.IFNA(INDEX(Summary!$A$55:$A$72,MATCH('LOE Sc1'!AU29,Summary!$C$55:$C$72,0)),IF(AU29=Ret_Yr_post,ROUND((DoR_Post-AT28)/365.25,5),ROUND((AT29-AT28)/365.25,2))))</f>
        <v/>
      </c>
      <c r="AW29" s="55">
        <f>Y29</f>
        <v/>
      </c>
      <c r="AX29" s="26">
        <f t="array" ref="AX29">IF(AU29&gt;Ret_Yr_post,0,_xlfn.IFNA(VLOOKUP(AW29,N$11:S$1000,5,),IF(AND(AU29=Current,AT29&gt;DoC,MONTH(DoC)&lt;&gt;3),AX28,AX28+INDEX(S$11:S$1000,MATCH(AW29,N$11:N$1000,1)+1))))</f>
        <v/>
      </c>
      <c r="AY29" s="590">
        <f>IF($V29&lt;DoC,AX29*VLOOKUP(YEAR($V29),CPI_Table,4,FALSE)/index,AX29*real_i^INT(BP29))</f>
        <v/>
      </c>
      <c r="AZ29" s="590">
        <f>$AY29/12*Bonus_Post*($AW29&lt;=RetAge_Post)</f>
        <v/>
      </c>
      <c r="BA29" s="590">
        <f>IF($E29="FL",MedSub*m^INT(BP29),MedSub)*IF(Summary!$C$81="Y",1,0)*($AU29&lt;=Ret_Yr_post)*(Summary!$C$81="Y")</f>
        <v/>
      </c>
      <c r="BB29" s="590">
        <f>IF(Summary!$C$80="Y",IF($E29&lt;&gt;"PL",VLOOKUP(Current,'Housing Allowance'!$A:$B,2,),VLOOKUP(YEAR($AT29),'Housing Allowance'!$A:$B,2,)),0)*($AU29&lt;=Ret_Yr_post)</f>
        <v/>
      </c>
      <c r="BC29" s="590">
        <f>AY29*overtime_post</f>
        <v/>
      </c>
      <c r="BD29" s="590">
        <f>$AY29*allow_1_post</f>
        <v/>
      </c>
      <c r="BE29" s="590">
        <f>($AY29&lt;&gt;0)*allow_2_post*12</f>
        <v/>
      </c>
      <c r="BF29" s="590" t="n"/>
      <c r="BG29" s="581">
        <f>IF(YEAR($V29)&lt;=Ret_Yr_post,SUM(AY29:BF29),0)*IF($W29=Ret_Yr_post,AV29,1)</f>
        <v/>
      </c>
      <c r="BH29" s="581">
        <f>IF($W29&gt;=Ret_Yr_post,pens_Post*(GEPF_pre="Y"),0)*IF($W29=Ret_Yr_post,1-$AV29,1)*IF(Ret_Yr_post&lt;Current,(_xlfn.IFNA(VLOOKUP($D29,CPI!$A:$E,2,FALSE),VLOOKUP(Current,CPI!$A:$E,2,FALSE))/VLOOKUP(Ret_Yr_post,CPI!$A:$E,2,FALSE)),1)</f>
        <v/>
      </c>
      <c r="BI29" s="590">
        <f>$AY29*ee_post*IF($W29=Ret_Yr_post,$AV29,1)</f>
        <v/>
      </c>
      <c r="BJ29" s="590">
        <f>$AY29*er_post*IF($W29=Ret_Yr_post,$AV29,1)</f>
        <v/>
      </c>
      <c r="BK29" s="590">
        <f>IF('LOE Sc1'!$W29=Ret_Yr_post,Gratuity_Post*(GEPF_post="Y"),0)</f>
        <v/>
      </c>
      <c r="BL29" s="581">
        <f>BG29+BH29-BI29-BJ29*(GEPF_post="Y")</f>
        <v/>
      </c>
      <c r="BM29" s="590">
        <f>IF(DM29&lt;0,0,DM29)</f>
        <v/>
      </c>
      <c r="BN29" s="581">
        <f>(BL29-BM29+BI29*(BI$7="Y")+BJ29*(BJ$7="Y"))*IF($W29&lt;Ret_Yr_post,AV29,1)+BK29</f>
        <v/>
      </c>
      <c r="BO29" s="591" t="n"/>
      <c r="BP29" s="592">
        <f>IF($E29="FL",IF($X29&lt;=DoC,DATEDIF(DoC,$V29,"M")/12,0),0)</f>
        <v/>
      </c>
      <c r="BQ29" s="592">
        <f>IF($E29="FL",(1+CPI)^INT(BP29),0)</f>
        <v/>
      </c>
      <c r="BR29" s="592">
        <f>IF($E29="FL",IF(($BP29-0.5)&gt;=0,1/(1+d)^($BP29-0.5),1/(1+d)^($BP29)),0)</f>
        <v/>
      </c>
      <c r="BS29" s="592" t="n"/>
      <c r="BT29" s="25">
        <f>IF(gender="M",VLOOKUP($Y29+pre_mort+IF(MONTH(DoC)&lt;MONTH(DoB),IF(MONTH(DoC)&lt;3,0,-1),IF(MONTH(DoB)&lt;3,-1,0)),'SALT LIFE TABLES'!$A$7:$E$106,2),VLOOKUP($Y29+pre_mort+IF(MONTH(DoC)&lt;MONTH(DoB),IF(MONTH(DoC)&lt;3,0,-1),IF(MONTH(DoB)&lt;3,-1,0)),'SALT LIFE TABLES'!$A$7:$E$106,4))</f>
        <v/>
      </c>
      <c r="BU29" s="592">
        <f>IF($E29="PL",1,BT29/BU$7)</f>
        <v/>
      </c>
      <c r="BV29" s="593" t="n"/>
      <c r="BW29" s="25">
        <f>IF(gender="M",VLOOKUP($Y29+post_mort+IF(MONTH(DoC)&lt;MONTH(DoB),IF(MONTH(DoC)&lt;3,0,-1),IF(MONTH(DoB)&lt;3,-1,0)),'SALT LIFE TABLES'!$A$7:$E$106,2),VLOOKUP($Y29+post_mort+IF(MONTH(DoC)&lt;MONTH(DoB),IF(MONTH(DoC)&lt;3,0,-1),IF(MONTH(DoB)&lt;3,-1,0)),'SALT LIFE TABLES'!$A$7:$E$106,4))</f>
        <v/>
      </c>
      <c r="BX29" s="592">
        <f>IF($E29="PL",1,BW29/BX$7)</f>
        <v/>
      </c>
      <c r="BY29" s="594" t="n"/>
      <c r="BZ29" s="592" t="n"/>
      <c r="CA29" s="592">
        <f>IF($E29="FL",$AR29*$BQ29*$BR29*$BU29,$AR29)</f>
        <v/>
      </c>
      <c r="CB29" s="592">
        <f>IF($E29="FL",$BN29*$BQ29*$BR29*$BX29,$BN29)</f>
        <v/>
      </c>
      <c r="CC29" s="592" t="n"/>
      <c r="CD29" s="592">
        <f>IF($E29="FL",$CA29*(1-pre_FL),$CA29*(1-pre_PL))</f>
        <v/>
      </c>
      <c r="CE29" s="592">
        <f>IF($E29="FL",$CB29*(1-post_FL),$CB29*(1-post_PL))</f>
        <v/>
      </c>
      <c r="CF29" s="592" t="n"/>
      <c r="CG29" s="599">
        <f>CD29-CE29</f>
        <v/>
      </c>
      <c r="CH29" s="599">
        <f>MIN(CG29,IF(W29=Ret_Yr_pre,1,$X29)*Cap)</f>
        <v/>
      </c>
      <c r="CI29" s="128" t="n"/>
      <c r="CJ29" s="37">
        <f>IF(D29&gt;Current,Current,D29)</f>
        <v/>
      </c>
      <c r="CK29" s="37">
        <f>MATCH($CJ29,Tax_Tables[Tax Year],0)</f>
        <v/>
      </c>
      <c r="CL29" s="600" t="n">
        <v>0</v>
      </c>
      <c r="CM29" s="600">
        <f t="array" ref="CM29">INDEX(Tax_Tables[[Limits]:[Limits]],$CK29+CM$8)</f>
        <v/>
      </c>
      <c r="CN29" s="600">
        <f t="array" ref="CN29">INDEX(Tax_Tables[[Limits]:[Limits]],$CK29+CN$8)</f>
        <v/>
      </c>
      <c r="CO29" s="600">
        <f t="array" ref="CO29">INDEX(Tax_Tables[[Limits]:[Limits]],$CK29+CO$8)</f>
        <v/>
      </c>
      <c r="CP29" s="600">
        <f t="array" ref="CP29">INDEX(Tax_Tables[[Limits]:[Limits]],$CK29+CP$8)</f>
        <v/>
      </c>
      <c r="CQ29" s="600">
        <f t="array" ref="CQ29">INDEX(Tax_Tables[[Limits]:[Limits]],$CK29+CQ$8)</f>
        <v/>
      </c>
      <c r="CR29" s="600">
        <f t="array" ref="CR29">INDEX(Tax_Tables[[Limits]:[Limits]],$CK29+CR$8)</f>
        <v/>
      </c>
      <c r="CS29" s="37">
        <f>INDEX(Rebate[&lt;65],MATCH($CJ29,Rebate[[Tax Year]:[Tax Year]],0))</f>
        <v/>
      </c>
      <c r="CT29" s="37">
        <f>INDEX(Rebate[&lt;75],MATCH($CJ29,Rebate[[Tax Year]:[Tax Year]],0))</f>
        <v/>
      </c>
      <c r="CU29" s="37">
        <f>INDEX(Rebate[&gt;75],MATCH($CJ29,Rebate[[Tax Year]:[Tax Year]],0))</f>
        <v/>
      </c>
      <c r="CV29" s="37">
        <f>INDEX(Tax_Credit[Principal],MATCH($CJ29,Tax_Credit[[Tax Year]:[Tax Year]],0))</f>
        <v/>
      </c>
      <c r="CW29" s="37">
        <f>INDEX(Tax_Credit[First Dependant],MATCH($CJ29,Tax_Credit[[Tax Year]:[Tax Year]],0))</f>
        <v/>
      </c>
      <c r="CX29" s="37">
        <f>INDEX(Tax_Credit[Each Additional],MATCH($CJ29,Tax_Credit[[Tax Year]:[Tax Year]],0))</f>
        <v/>
      </c>
      <c r="CY29" s="484">
        <f>Y29</f>
        <v/>
      </c>
      <c r="CZ29" s="601">
        <f>AP29</f>
        <v/>
      </c>
      <c r="DA29" s="37">
        <f t="array" ref="DA29">INDEX($CL29:$CR29,0,MATCH($CZ29,$CL29:$CR29,1))</f>
        <v/>
      </c>
      <c r="DB29" s="37">
        <f t="array" ref="DB29">IFERROR(INDEX(Tax_Tables[Percentages],$CK29+MATCH($DA29,$CL29:$CR29,0)-1),"")</f>
        <v/>
      </c>
      <c r="DC29" s="37">
        <f t="array" ref="DC29">IFERROR(INDEX(Tax_Tables[Tax],$CK29+MATCH($DA29,$CL29:$CR29,0)-1),"")</f>
        <v/>
      </c>
      <c r="DD29" s="37">
        <f>IF(CY29&lt;65,CS29,IF(CY29&lt;75,CT29,CU29))</f>
        <v/>
      </c>
      <c r="DE29" s="37">
        <f>CV29*(Summary!$C$31="Y")+(Summary!$C$31="Y")*(CW29*(Pre_MDep&gt;=1)+CX29*MAX(Pre_MDep-1,0))</f>
        <v/>
      </c>
      <c r="DF29" s="599">
        <f>IFERROR(MAX(DB29*(CZ29-DA29)+DC29-DD29-DE29*12,0),"")</f>
        <v/>
      </c>
      <c r="DG29" s="602" t="n"/>
      <c r="DH29" s="601">
        <f>BL29</f>
        <v/>
      </c>
      <c r="DI29" s="37">
        <f t="array" ref="DI29">INDEX($CL29:$CR29,0,MATCH($DH29,$CL29:$CR29,1))</f>
        <v/>
      </c>
      <c r="DJ29" s="37">
        <f t="array" ref="DJ29">IFERROR(INDEX(Tax_Tables[Percentages],$CK29+MATCH($DI29,$CL29:$CR29,0)-1),"")</f>
        <v/>
      </c>
      <c r="DK29" s="37">
        <f t="array" ref="DK29">IFERROR(INDEX(Tax_Tables[Tax],$CK29+MATCH($DI29,$CL29:$CR29,0)-1),"")</f>
        <v/>
      </c>
      <c r="DL29" s="37">
        <f>CV29*(Summary!$C$81="Y")+(Summary!$C$81="Y")*(CW29*(Post_MDep&gt;=1)+CX29*MAX(Post_MDep-1,0))</f>
        <v/>
      </c>
      <c r="DM29" s="599">
        <f>IFERROR(MAX(DJ29*(DH29-DI29)+DK29-DD29-DL29*12,0),"")</f>
        <v/>
      </c>
      <c r="DN29" s="601" t="n"/>
      <c r="DO29" s="37" t="n"/>
      <c r="DP29" s="37" t="n"/>
      <c r="DQ29" s="37" t="n"/>
      <c r="DR29" s="37" t="n"/>
      <c r="DS29" s="37" t="n"/>
      <c r="DT29" s="37" t="n"/>
      <c r="DU29" s="37" t="n"/>
      <c r="DV29" s="37" t="n"/>
      <c r="DW29" s="37" t="n"/>
      <c r="DX29" s="599" t="n"/>
      <c r="DY29" s="131" t="n"/>
      <c r="DZ29" s="601" t="n"/>
      <c r="EA29" s="37" t="n"/>
      <c r="EB29" s="37" t="n"/>
      <c r="EC29" s="37" t="n"/>
      <c r="ED29" s="599" t="n"/>
      <c r="EE29" s="595" t="n"/>
      <c r="EF29" s="25" t="n"/>
    </row>
    <row r="30">
      <c r="A30" s="47" t="n"/>
      <c r="C30" s="596">
        <f>C29+D30-D29</f>
        <v/>
      </c>
      <c r="D30" s="160">
        <f>AU30</f>
        <v/>
      </c>
      <c r="E30" s="87">
        <f>IF(DoC=V30,"Calc Date",IF(V30&lt;DoC,"PL","FL"))</f>
        <v/>
      </c>
      <c r="F30" s="310">
        <f>F29+1</f>
        <v/>
      </c>
      <c r="G30" s="31">
        <f>VLOOKUP(F30,C$10:D$148,2)</f>
        <v/>
      </c>
      <c r="H30" s="313">
        <f>H29</f>
        <v/>
      </c>
      <c r="I30" s="281">
        <f>I29</f>
        <v/>
      </c>
      <c r="J30" s="589">
        <f>I30*index/VLOOKUP($H30,CPI!A:E,4,FALSE)</f>
        <v/>
      </c>
      <c r="K30" s="589">
        <f>IF(L30="Linear",(J30-J29)/(G30-G29),0)</f>
        <v/>
      </c>
      <c r="L30" s="311" t="inlineStr">
        <is>
          <t>Flat</t>
        </is>
      </c>
      <c r="M30" s="137" t="n"/>
      <c r="N30" s="310">
        <f>N29+1</f>
        <v/>
      </c>
      <c r="O30" s="31">
        <f>O29+N30-N29</f>
        <v/>
      </c>
      <c r="P30" s="313">
        <f>P29</f>
        <v/>
      </c>
      <c r="Q30" s="281">
        <f>Q29</f>
        <v/>
      </c>
      <c r="R30" s="589">
        <f>Q30*index/VLOOKUP($P30,CPI!A:E,4,FALSE)</f>
        <v/>
      </c>
      <c r="S30" s="589">
        <f>IF(T30="Linear",(R30-R29)/(O30-O29),0)</f>
        <v/>
      </c>
      <c r="T30" s="311" t="inlineStr">
        <is>
          <t>Flat</t>
        </is>
      </c>
      <c r="U30" s="144" t="n"/>
      <c r="V30" s="6">
        <f>IF(AND($V29=DoA,MONTH(V29)&lt;3),DATE(YEAR(DoA),3,1),IF(AND(IFERROR(DATEDIF(V29,DoC,"M"),12)&lt;12,IFERROR(DATEDIF(V29,DoC,"M"),12)&gt;0),DoC,DATE(YEAR(V29)+(1-AND(YEAR(DoC)=Current,V29=DoC)-AND(V29=DoA,MONTH(V29)&lt;3)),3,1)))</f>
        <v/>
      </c>
      <c r="W30" s="31">
        <f>IF(V30=DoR_Pre,IF(MONTH(DoR_Pre)&gt;3,YEAR(DoR_Pre)+1,YEAR(DoR_Pre)),IF(MONTH(V30)&gt;3,Current,YEAR(V30)))</f>
        <v/>
      </c>
      <c r="X30" s="597">
        <f>IF(W30=Current,ROUND((V30-V29)/365.25,5),_xlfn.IFNA(INDEX(Summary!$A$5:$A$22,MATCH('LOE Sc1'!W30,Summary!$C$5:$C$22,0)),IF(W30=Ret_Yr_pre,ROUND((DoR_Pre-V29)/365.25,5),ROUND((V30-V29)/365.25,2))))</f>
        <v/>
      </c>
      <c r="Y30" s="55">
        <f>IF(AND(V30=DoC,MONTH(DoC)&lt;&gt;3),ROUNDDOWN(DATEDIF(DoB,V31,"M")/12,),ROUNDDOWN(DATEDIF(DoB,V30,"M")/12,))</f>
        <v/>
      </c>
      <c r="Z30" s="590" t="n"/>
      <c r="AA30" s="25">
        <f>MAX(RetAge_Pre-Y30,0)</f>
        <v/>
      </c>
      <c r="AB30" s="26">
        <f t="array" ref="AB30">IF(W30&gt;Ret_Yr_pre,0,_xlfn.IFNA(VLOOKUP(Y30,F$11:J$1000,5,),IF(AND(W30=Current,V30&gt;DoC,MONTH(DoC)&lt;&gt;3),AB29,AB29+INDEX(K$11:K$1000,MATCH(Y30,F$11:F$1000,1)+1))))</f>
        <v/>
      </c>
      <c r="AC30" s="590">
        <f>IF(V30&lt;DoC,AB30*VLOOKUP(YEAR(V30),CPI!A:E,4,FALSE)/index,AB30*real_i^INT(BP30))</f>
        <v/>
      </c>
      <c r="AD30" s="590">
        <f>$AC30/12*Bonus</f>
        <v/>
      </c>
      <c r="AE30" s="590">
        <f>IF($E30="FL",MedSub*m^INT(BP30),MedSub)*IF(Summary!$C$31="Y",1,0)*(W30&lt;=Ret_Yr_pre)*(Summary!C$31="Y")</f>
        <v/>
      </c>
      <c r="AF30" s="590">
        <f>IF(Summary!$C$30="Y",IF(E30&lt;&gt;"PL",VLOOKUP(Current,'Housing Allowance'!$A:$B,2,),VLOOKUP(YEAR($V30),'Housing Allowance'!$A:$B,2,)),0)*(W30&lt;=Ret_Yr_pre)</f>
        <v/>
      </c>
      <c r="AG30" s="590">
        <f>AC30*overtime</f>
        <v/>
      </c>
      <c r="AH30" s="590">
        <f>AC30*allow_1</f>
        <v/>
      </c>
      <c r="AI30" s="590">
        <f>(AB30&lt;&gt;0)*12*allow_2</f>
        <v/>
      </c>
      <c r="AJ30" s="590" t="n"/>
      <c r="AK30" s="581">
        <f>IF(YEAR(W30)&lt;=Ret_Yr_pre,SUM(AC30:AJ30),0)*IF($W30=Ret_Yr_pre,X30,1)</f>
        <v/>
      </c>
      <c r="AL30" s="581">
        <f>IF($W30&gt;=Ret_Yr_pre,pens_Pre*(GEPF_pre="Y"),0)*IF($W30=Ret_Yr_pre,1-$X30,1)*IF(Ret_Yr_pre&lt;Current,(_xlfn.IFNA(VLOOKUP($D30,CPI!$A:$E,2,FALSE),VLOOKUP(Current,CPI!$A:$E,2,FALSE))/VLOOKUP(Ret_Yr_pre,CPI!$A:$E,2,FALSE)),1)</f>
        <v/>
      </c>
      <c r="AM30" s="590">
        <f>$AC30*ee*IF($W30=Ret_Yr_pre,$X30,1)</f>
        <v/>
      </c>
      <c r="AN30" s="590">
        <f>$AC30*er*IF($W30=Ret_Yr_pre,$X30,1)</f>
        <v/>
      </c>
      <c r="AO30" s="590">
        <f>IF('LOE Sc1'!$W30=Ret_Yr_pre,Gratuity_Pre*(GEPF_pre="Y"),0)</f>
        <v/>
      </c>
      <c r="AP30" s="581">
        <f>AK30+AL30-$AM30-AN30*(GEPF_pre="Y")</f>
        <v/>
      </c>
      <c r="AQ30" s="590">
        <f>IF(DF30&lt;0,0,DF30)</f>
        <v/>
      </c>
      <c r="AR30" s="581">
        <f>(AP30-AQ30+AM30*(AM$7="Y")+AN30*(AN$7="Y"))*IF(W30&lt;Ret_Yr_pre,X30,1)+AO30</f>
        <v/>
      </c>
      <c r="AS30" s="595" t="n"/>
      <c r="AT30" s="6">
        <f>V30</f>
        <v/>
      </c>
      <c r="AU30" s="31">
        <f>W30</f>
        <v/>
      </c>
      <c r="AV30" s="598">
        <f>IF(AU30=Current,ROUND((AT30-AT29)/365.25,5),_xlfn.IFNA(INDEX(Summary!$A$55:$A$72,MATCH('LOE Sc1'!AU30,Summary!$C$55:$C$72,0)),IF(AU30=Ret_Yr_post,ROUND((DoR_Post-AT29)/365.25,5),ROUND((AT30-AT29)/365.25,2))))</f>
        <v/>
      </c>
      <c r="AW30" s="55">
        <f>Y30</f>
        <v/>
      </c>
      <c r="AX30" s="26">
        <f t="array" ref="AX30">IF(AU30&gt;Ret_Yr_post,0,_xlfn.IFNA(VLOOKUP(AW30,N$11:S$1000,5,),IF(AND(AU30=Current,AT30&gt;DoC,MONTH(DoC)&lt;&gt;3),AX29,AX29+INDEX(S$11:S$1000,MATCH(AW30,N$11:N$1000,1)+1))))</f>
        <v/>
      </c>
      <c r="AY30" s="590">
        <f>IF($V30&lt;DoC,AX30*VLOOKUP(YEAR($V30),CPI_Table,4,FALSE)/index,AX30*real_i^INT(BP30))</f>
        <v/>
      </c>
      <c r="AZ30" s="590">
        <f>$AY30/12*Bonus_Post*($AW30&lt;=RetAge_Post)</f>
        <v/>
      </c>
      <c r="BA30" s="590">
        <f>IF($E30="FL",MedSub*m^INT(BP30),MedSub)*IF(Summary!$C$81="Y",1,0)*($AU30&lt;=Ret_Yr_post)*(Summary!$C$81="Y")</f>
        <v/>
      </c>
      <c r="BB30" s="590">
        <f>IF(Summary!$C$80="Y",IF($E30&lt;&gt;"PL",VLOOKUP(Current,'Housing Allowance'!$A:$B,2,),VLOOKUP(YEAR($AT30),'Housing Allowance'!$A:$B,2,)),0)*($AU30&lt;=Ret_Yr_post)</f>
        <v/>
      </c>
      <c r="BC30" s="590">
        <f>AY30*overtime_post</f>
        <v/>
      </c>
      <c r="BD30" s="590">
        <f>$AY30*allow_1_post</f>
        <v/>
      </c>
      <c r="BE30" s="590">
        <f>($AY30&lt;&gt;0)*allow_2_post*12</f>
        <v/>
      </c>
      <c r="BF30" s="590" t="n"/>
      <c r="BG30" s="581">
        <f>IF(YEAR($V30)&lt;=Ret_Yr_post,SUM(AY30:BF30),0)*IF($W30=Ret_Yr_post,AV30,1)</f>
        <v/>
      </c>
      <c r="BH30" s="581">
        <f>IF($W30&gt;=Ret_Yr_post,pens_Post*(GEPF_pre="Y"),0)*IF($W30=Ret_Yr_post,1-$AV30,1)*IF(Ret_Yr_post&lt;Current,(_xlfn.IFNA(VLOOKUP($D30,CPI!$A:$E,2,FALSE),VLOOKUP(Current,CPI!$A:$E,2,FALSE))/VLOOKUP(Ret_Yr_post,CPI!$A:$E,2,FALSE)),1)</f>
        <v/>
      </c>
      <c r="BI30" s="590">
        <f>$AY30*ee_post*IF($W30=Ret_Yr_post,$AV30,1)</f>
        <v/>
      </c>
      <c r="BJ30" s="590">
        <f>$AY30*er_post*IF($W30=Ret_Yr_post,$AV30,1)</f>
        <v/>
      </c>
      <c r="BK30" s="590">
        <f>IF('LOE Sc1'!$W30=Ret_Yr_post,Gratuity_Post*(GEPF_post="Y"),0)</f>
        <v/>
      </c>
      <c r="BL30" s="581">
        <f>BG30+BH30-BI30-BJ30*(GEPF_post="Y")</f>
        <v/>
      </c>
      <c r="BM30" s="590">
        <f>IF(DM30&lt;0,0,DM30)</f>
        <v/>
      </c>
      <c r="BN30" s="581">
        <f>(BL30-BM30+BI30*(BI$7="Y")+BJ30*(BJ$7="Y"))*IF($W30&lt;Ret_Yr_post,AV30,1)+BK30</f>
        <v/>
      </c>
      <c r="BO30" s="591" t="n"/>
      <c r="BP30" s="592">
        <f>IF($E30="FL",IF($X30&lt;=DoC,DATEDIF(DoC,$V30,"M")/12,0),0)</f>
        <v/>
      </c>
      <c r="BQ30" s="592">
        <f>IF($E30="FL",(1+CPI)^INT(BP30),0)</f>
        <v/>
      </c>
      <c r="BR30" s="592">
        <f>IF($E30="FL",IF(($BP30-0.5)&gt;=0,1/(1+d)^($BP30-0.5),1/(1+d)^($BP30)),0)</f>
        <v/>
      </c>
      <c r="BS30" s="592" t="n"/>
      <c r="BT30" s="25">
        <f>IF(gender="M",VLOOKUP($Y30+pre_mort+IF(MONTH(DoC)&lt;MONTH(DoB),IF(MONTH(DoC)&lt;3,0,-1),IF(MONTH(DoB)&lt;3,-1,0)),'SALT LIFE TABLES'!$A$7:$E$106,2),VLOOKUP($Y30+pre_mort+IF(MONTH(DoC)&lt;MONTH(DoB),IF(MONTH(DoC)&lt;3,0,-1),IF(MONTH(DoB)&lt;3,-1,0)),'SALT LIFE TABLES'!$A$7:$E$106,4))</f>
        <v/>
      </c>
      <c r="BU30" s="592">
        <f>IF($E30="PL",1,BT30/BU$7)</f>
        <v/>
      </c>
      <c r="BV30" s="593" t="n"/>
      <c r="BW30" s="25">
        <f>IF(gender="M",VLOOKUP($Y30+post_mort+IF(MONTH(DoC)&lt;MONTH(DoB),IF(MONTH(DoC)&lt;3,0,-1),IF(MONTH(DoB)&lt;3,-1,0)),'SALT LIFE TABLES'!$A$7:$E$106,2),VLOOKUP($Y30+post_mort+IF(MONTH(DoC)&lt;MONTH(DoB),IF(MONTH(DoC)&lt;3,0,-1),IF(MONTH(DoB)&lt;3,-1,0)),'SALT LIFE TABLES'!$A$7:$E$106,4))</f>
        <v/>
      </c>
      <c r="BX30" s="592">
        <f>IF($E30="PL",1,BW30/BX$7)</f>
        <v/>
      </c>
      <c r="BY30" s="594" t="n"/>
      <c r="BZ30" s="592" t="n"/>
      <c r="CA30" s="592">
        <f>IF($E30="FL",$AR30*$BQ30*$BR30*$BU30,$AR30)</f>
        <v/>
      </c>
      <c r="CB30" s="592">
        <f>IF($E30="FL",$BN30*$BQ30*$BR30*$BX30,$BN30)</f>
        <v/>
      </c>
      <c r="CC30" s="592" t="n"/>
      <c r="CD30" s="592">
        <f>IF($E30="FL",$CA30*(1-pre_FL),$CA30*(1-pre_PL))</f>
        <v/>
      </c>
      <c r="CE30" s="592">
        <f>IF($E30="FL",$CB30*(1-post_FL),$CB30*(1-post_PL))</f>
        <v/>
      </c>
      <c r="CF30" s="592" t="n"/>
      <c r="CG30" s="599">
        <f>CD30-CE30</f>
        <v/>
      </c>
      <c r="CH30" s="599">
        <f>MIN(CG30,IF(W30=Ret_Yr_pre,1,$X30)*Cap)</f>
        <v/>
      </c>
      <c r="CI30" s="128" t="n"/>
      <c r="CJ30" s="37">
        <f>IF(D30&gt;Current,Current,D30)</f>
        <v/>
      </c>
      <c r="CK30" s="37">
        <f>MATCH($CJ30,Tax_Tables[Tax Year],0)</f>
        <v/>
      </c>
      <c r="CL30" s="600" t="n">
        <v>0</v>
      </c>
      <c r="CM30" s="600">
        <f t="array" ref="CM30">INDEX(Tax_Tables[[Limits]:[Limits]],$CK30+CM$8)</f>
        <v/>
      </c>
      <c r="CN30" s="600">
        <f t="array" ref="CN30">INDEX(Tax_Tables[[Limits]:[Limits]],$CK30+CN$8)</f>
        <v/>
      </c>
      <c r="CO30" s="600">
        <f t="array" ref="CO30">INDEX(Tax_Tables[[Limits]:[Limits]],$CK30+CO$8)</f>
        <v/>
      </c>
      <c r="CP30" s="600">
        <f t="array" ref="CP30">INDEX(Tax_Tables[[Limits]:[Limits]],$CK30+CP$8)</f>
        <v/>
      </c>
      <c r="CQ30" s="600">
        <f t="array" ref="CQ30">INDEX(Tax_Tables[[Limits]:[Limits]],$CK30+CQ$8)</f>
        <v/>
      </c>
      <c r="CR30" s="600">
        <f t="array" ref="CR30">INDEX(Tax_Tables[[Limits]:[Limits]],$CK30+CR$8)</f>
        <v/>
      </c>
      <c r="CS30" s="37">
        <f>INDEX(Rebate[&lt;65],MATCH($CJ30,Rebate[[Tax Year]:[Tax Year]],0))</f>
        <v/>
      </c>
      <c r="CT30" s="37">
        <f>INDEX(Rebate[&lt;75],MATCH($CJ30,Rebate[[Tax Year]:[Tax Year]],0))</f>
        <v/>
      </c>
      <c r="CU30" s="37">
        <f>INDEX(Rebate[&gt;75],MATCH($CJ30,Rebate[[Tax Year]:[Tax Year]],0))</f>
        <v/>
      </c>
      <c r="CV30" s="37">
        <f>INDEX(Tax_Credit[Principal],MATCH($CJ30,Tax_Credit[[Tax Year]:[Tax Year]],0))</f>
        <v/>
      </c>
      <c r="CW30" s="37">
        <f>INDEX(Tax_Credit[First Dependant],MATCH($CJ30,Tax_Credit[[Tax Year]:[Tax Year]],0))</f>
        <v/>
      </c>
      <c r="CX30" s="37">
        <f>INDEX(Tax_Credit[Each Additional],MATCH($CJ30,Tax_Credit[[Tax Year]:[Tax Year]],0))</f>
        <v/>
      </c>
      <c r="CY30" s="484">
        <f>Y30</f>
        <v/>
      </c>
      <c r="CZ30" s="601">
        <f>AP30</f>
        <v/>
      </c>
      <c r="DA30" s="37">
        <f t="array" ref="DA30">INDEX($CL30:$CR30,0,MATCH($CZ30,$CL30:$CR30,1))</f>
        <v/>
      </c>
      <c r="DB30" s="37">
        <f t="array" ref="DB30">IFERROR(INDEX(Tax_Tables[Percentages],$CK30+MATCH($DA30,$CL30:$CR30,0)-1),"")</f>
        <v/>
      </c>
      <c r="DC30" s="37">
        <f t="array" ref="DC30">IFERROR(INDEX(Tax_Tables[Tax],$CK30+MATCH($DA30,$CL30:$CR30,0)-1),"")</f>
        <v/>
      </c>
      <c r="DD30" s="37">
        <f>IF(CY30&lt;65,CS30,IF(CY30&lt;75,CT30,CU30))</f>
        <v/>
      </c>
      <c r="DE30" s="37">
        <f>CV30*(Summary!$C$31="Y")+(Summary!$C$31="Y")*(CW30*(Pre_MDep&gt;=1)+CX30*MAX(Pre_MDep-1,0))</f>
        <v/>
      </c>
      <c r="DF30" s="599">
        <f>IFERROR(MAX(DB30*(CZ30-DA30)+DC30-DD30-DE30*12,0),"")</f>
        <v/>
      </c>
      <c r="DG30" s="602" t="n"/>
      <c r="DH30" s="601">
        <f>BL30</f>
        <v/>
      </c>
      <c r="DI30" s="37">
        <f t="array" ref="DI30">INDEX($CL30:$CR30,0,MATCH($DH30,$CL30:$CR30,1))</f>
        <v/>
      </c>
      <c r="DJ30" s="37">
        <f t="array" ref="DJ30">IFERROR(INDEX(Tax_Tables[Percentages],$CK30+MATCH($DI30,$CL30:$CR30,0)-1),"")</f>
        <v/>
      </c>
      <c r="DK30" s="37">
        <f t="array" ref="DK30">IFERROR(INDEX(Tax_Tables[Tax],$CK30+MATCH($DI30,$CL30:$CR30,0)-1),"")</f>
        <v/>
      </c>
      <c r="DL30" s="37">
        <f>CV30*(Summary!$C$81="Y")+(Summary!$C$81="Y")*(CW30*(Post_MDep&gt;=1)+CX30*MAX(Post_MDep-1,0))</f>
        <v/>
      </c>
      <c r="DM30" s="599">
        <f>IFERROR(MAX(DJ30*(DH30-DI30)+DK30-DD30-DL30*12,0),"")</f>
        <v/>
      </c>
      <c r="DN30" s="601" t="n"/>
      <c r="DO30" s="37" t="n"/>
      <c r="DP30" s="37" t="n"/>
      <c r="DQ30" s="37" t="n"/>
      <c r="DR30" s="37" t="n"/>
      <c r="DS30" s="37" t="n"/>
      <c r="DT30" s="37" t="n"/>
      <c r="DU30" s="37" t="n"/>
      <c r="DV30" s="37" t="n"/>
      <c r="DW30" s="37" t="n"/>
      <c r="DX30" s="599" t="n"/>
      <c r="DY30" s="131" t="n"/>
      <c r="DZ30" s="601" t="n"/>
      <c r="EA30" s="37" t="n"/>
      <c r="EB30" s="37" t="n"/>
      <c r="EC30" s="37" t="n"/>
      <c r="ED30" s="599" t="n"/>
      <c r="EE30" s="595" t="n"/>
      <c r="EF30" s="25" t="n"/>
    </row>
    <row r="31">
      <c r="A31" s="47" t="n"/>
      <c r="C31" s="596">
        <f>C30+D31-D30</f>
        <v/>
      </c>
      <c r="D31" s="160">
        <f>AU31</f>
        <v/>
      </c>
      <c r="E31" s="87">
        <f>IF(DoC=V31,"Calc Date",IF(V31&lt;DoC,"PL","FL"))</f>
        <v/>
      </c>
      <c r="F31" s="310">
        <f>F30+1</f>
        <v/>
      </c>
      <c r="G31" s="31">
        <f>VLOOKUP(F31,C$10:D$148,2)</f>
        <v/>
      </c>
      <c r="H31" s="313">
        <f>H30</f>
        <v/>
      </c>
      <c r="I31" s="281">
        <f>I30</f>
        <v/>
      </c>
      <c r="J31" s="589">
        <f>I31*index/VLOOKUP($H31,CPI!A:E,4,FALSE)</f>
        <v/>
      </c>
      <c r="K31" s="589">
        <f>IF(L31="Linear",(J31-J30)/(G31-G30),0)</f>
        <v/>
      </c>
      <c r="L31" s="311" t="inlineStr">
        <is>
          <t>Flat</t>
        </is>
      </c>
      <c r="M31" s="137" t="n"/>
      <c r="N31" s="310">
        <f>N30+1</f>
        <v/>
      </c>
      <c r="O31" s="31">
        <f>O30+N31-N30</f>
        <v/>
      </c>
      <c r="P31" s="313">
        <f>P30</f>
        <v/>
      </c>
      <c r="Q31" s="281">
        <f>Q30</f>
        <v/>
      </c>
      <c r="R31" s="589">
        <f>Q31*index/VLOOKUP($P31,CPI!A:E,4,FALSE)</f>
        <v/>
      </c>
      <c r="S31" s="589">
        <f>IF(T31="Linear",(R31-R30)/(O31-O30),0)</f>
        <v/>
      </c>
      <c r="T31" s="311" t="inlineStr">
        <is>
          <t>Flat</t>
        </is>
      </c>
      <c r="U31" s="144" t="n"/>
      <c r="V31" s="6">
        <f>IF(AND($V30=DoA,MONTH(V30)&lt;3),DATE(YEAR(DoA),3,1),IF(AND(IFERROR(DATEDIF(V30,DoC,"M"),12)&lt;12,IFERROR(DATEDIF(V30,DoC,"M"),12)&gt;0),DoC,DATE(YEAR(V30)+(1-AND(YEAR(DoC)=Current,V30=DoC)-AND(V30=DoA,MONTH(V30)&lt;3)),3,1)))</f>
        <v/>
      </c>
      <c r="W31" s="31">
        <f>IF(V31=DoR_Pre,IF(MONTH(DoR_Pre)&gt;3,YEAR(DoR_Pre)+1,YEAR(DoR_Pre)),IF(MONTH(V31)&gt;3,Current,YEAR(V31)))</f>
        <v/>
      </c>
      <c r="X31" s="597">
        <f>IF(W31=Current,ROUND((V31-V30)/365.25,5),_xlfn.IFNA(INDEX(Summary!$A$5:$A$22,MATCH('LOE Sc1'!W31,Summary!$C$5:$C$22,0)),IF(W31=Ret_Yr_pre,ROUND((DoR_Pre-V30)/365.25,5),ROUND((V31-V30)/365.25,2))))</f>
        <v/>
      </c>
      <c r="Y31" s="55">
        <f>IF(AND(V31=DoC,MONTH(DoC)&lt;&gt;3),ROUNDDOWN(DATEDIF(DoB,V32,"M")/12,),ROUNDDOWN(DATEDIF(DoB,V31,"M")/12,))</f>
        <v/>
      </c>
      <c r="Z31" s="590" t="n"/>
      <c r="AA31" s="25">
        <f>MAX(RetAge_Pre-Y31,0)</f>
        <v/>
      </c>
      <c r="AB31" s="26">
        <f t="array" ref="AB31">IF(W31&gt;Ret_Yr_pre,0,_xlfn.IFNA(VLOOKUP(Y31,F$11:J$1000,5,),IF(AND(W31=Current,V31&gt;DoC,MONTH(DoC)&lt;&gt;3),AB30,AB30+INDEX(K$11:K$1000,MATCH(Y31,F$11:F$1000,1)+1))))</f>
        <v/>
      </c>
      <c r="AC31" s="590">
        <f>IF(V31&lt;DoC,AB31*VLOOKUP(YEAR(V31),CPI!A:E,4,FALSE)/index,AB31*real_i^INT(BP31))</f>
        <v/>
      </c>
      <c r="AD31" s="590">
        <f>$AC31/12*Bonus</f>
        <v/>
      </c>
      <c r="AE31" s="590">
        <f>IF($E31="FL",MedSub*m^INT(BP31),MedSub)*IF(Summary!$C$31="Y",1,0)*(W31&lt;=Ret_Yr_pre)*(Summary!C$31="Y")</f>
        <v/>
      </c>
      <c r="AF31" s="590">
        <f>IF(Summary!$C$30="Y",IF(E31&lt;&gt;"PL",VLOOKUP(Current,'Housing Allowance'!$A:$B,2,),VLOOKUP(YEAR($V31),'Housing Allowance'!$A:$B,2,)),0)*(W31&lt;=Ret_Yr_pre)</f>
        <v/>
      </c>
      <c r="AG31" s="590">
        <f>AC31*overtime</f>
        <v/>
      </c>
      <c r="AH31" s="590">
        <f>AC31*allow_1</f>
        <v/>
      </c>
      <c r="AI31" s="590">
        <f>(AB31&lt;&gt;0)*12*allow_2</f>
        <v/>
      </c>
      <c r="AJ31" s="590" t="n"/>
      <c r="AK31" s="581">
        <f>IF(YEAR(W31)&lt;=Ret_Yr_pre,SUM(AC31:AJ31),0)*IF($W31=Ret_Yr_pre,X31,1)</f>
        <v/>
      </c>
      <c r="AL31" s="581">
        <f>IF($W31&gt;=Ret_Yr_pre,pens_Pre*(GEPF_pre="Y"),0)*IF($W31=Ret_Yr_pre,1-$X31,1)*IF(Ret_Yr_pre&lt;Current,(_xlfn.IFNA(VLOOKUP($D31,CPI!$A:$E,2,FALSE),VLOOKUP(Current,CPI!$A:$E,2,FALSE))/VLOOKUP(Ret_Yr_pre,CPI!$A:$E,2,FALSE)),1)</f>
        <v/>
      </c>
      <c r="AM31" s="590">
        <f>$AC31*ee*IF($W31=Ret_Yr_pre,$X31,1)</f>
        <v/>
      </c>
      <c r="AN31" s="590">
        <f>$AC31*er*IF($W31=Ret_Yr_pre,$X31,1)</f>
        <v/>
      </c>
      <c r="AO31" s="590">
        <f>IF('LOE Sc1'!$W31=Ret_Yr_pre,Gratuity_Pre*(GEPF_pre="Y"),0)</f>
        <v/>
      </c>
      <c r="AP31" s="581">
        <f>AK31+AL31-$AM31-AN31*(GEPF_pre="Y")</f>
        <v/>
      </c>
      <c r="AQ31" s="590">
        <f>IF(DF31&lt;0,0,DF31)</f>
        <v/>
      </c>
      <c r="AR31" s="581">
        <f>(AP31-AQ31+AM31*(AM$7="Y")+AN31*(AN$7="Y"))*IF(W31&lt;Ret_Yr_pre,X31,1)+AO31</f>
        <v/>
      </c>
      <c r="AS31" s="595" t="n"/>
      <c r="AT31" s="6">
        <f>V31</f>
        <v/>
      </c>
      <c r="AU31" s="31">
        <f>W31</f>
        <v/>
      </c>
      <c r="AV31" s="598">
        <f>IF(AU31=Current,ROUND((AT31-AT30)/365.25,5),_xlfn.IFNA(INDEX(Summary!$A$55:$A$72,MATCH('LOE Sc1'!AU31,Summary!$C$55:$C$72,0)),IF(AU31=Ret_Yr_post,ROUND((DoR_Post-AT30)/365.25,5),ROUND((AT31-AT30)/365.25,2))))</f>
        <v/>
      </c>
      <c r="AW31" s="55">
        <f>Y31</f>
        <v/>
      </c>
      <c r="AX31" s="26">
        <f t="array" ref="AX31">IF(AU31&gt;Ret_Yr_post,0,_xlfn.IFNA(VLOOKUP(AW31,N$11:S$1000,5,),IF(AND(AU31=Current,AT31&gt;DoC,MONTH(DoC)&lt;&gt;3),AX30,AX30+INDEX(S$11:S$1000,MATCH(AW31,N$11:N$1000,1)+1))))</f>
        <v/>
      </c>
      <c r="AY31" s="590">
        <f>IF($V31&lt;DoC,AX31*VLOOKUP(YEAR($V31),CPI_Table,4,FALSE)/index,AX31*real_i^INT(BP31))</f>
        <v/>
      </c>
      <c r="AZ31" s="590">
        <f>$AY31/12*Bonus_Post*($AW31&lt;=RetAge_Post)</f>
        <v/>
      </c>
      <c r="BA31" s="590">
        <f>IF($E31="FL",MedSub*m^INT(BP31),MedSub)*IF(Summary!$C$81="Y",1,0)*($AU31&lt;=Ret_Yr_post)*(Summary!$C$81="Y")</f>
        <v/>
      </c>
      <c r="BB31" s="590">
        <f>IF(Summary!$C$80="Y",IF($E31&lt;&gt;"PL",VLOOKUP(Current,'Housing Allowance'!$A:$B,2,),VLOOKUP(YEAR($AT31),'Housing Allowance'!$A:$B,2,)),0)*($AU31&lt;=Ret_Yr_post)</f>
        <v/>
      </c>
      <c r="BC31" s="590">
        <f>AY31*overtime_post</f>
        <v/>
      </c>
      <c r="BD31" s="590">
        <f>$AY31*allow_1_post</f>
        <v/>
      </c>
      <c r="BE31" s="590">
        <f>($AY31&lt;&gt;0)*allow_2_post*12</f>
        <v/>
      </c>
      <c r="BF31" s="590" t="n"/>
      <c r="BG31" s="581">
        <f>IF(YEAR($V31)&lt;=Ret_Yr_post,SUM(AY31:BF31),0)*IF($W31=Ret_Yr_post,AV31,1)</f>
        <v/>
      </c>
      <c r="BH31" s="581">
        <f>IF($W31&gt;=Ret_Yr_post,pens_Post*(GEPF_pre="Y"),0)*IF($W31=Ret_Yr_post,1-$AV31,1)*IF(Ret_Yr_post&lt;Current,(_xlfn.IFNA(VLOOKUP($D31,CPI!$A:$E,2,FALSE),VLOOKUP(Current,CPI!$A:$E,2,FALSE))/VLOOKUP(Ret_Yr_post,CPI!$A:$E,2,FALSE)),1)</f>
        <v/>
      </c>
      <c r="BI31" s="590">
        <f>$AY31*ee_post*IF($W31=Ret_Yr_post,$AV31,1)</f>
        <v/>
      </c>
      <c r="BJ31" s="590">
        <f>$AY31*er_post*IF($W31=Ret_Yr_post,$AV31,1)</f>
        <v/>
      </c>
      <c r="BK31" s="590">
        <f>IF('LOE Sc1'!$W31=Ret_Yr_post,Gratuity_Post*(GEPF_post="Y"),0)</f>
        <v/>
      </c>
      <c r="BL31" s="581">
        <f>BG31+BH31-BI31-BJ31*(GEPF_post="Y")</f>
        <v/>
      </c>
      <c r="BM31" s="590">
        <f>IF(DM31&lt;0,0,DM31)</f>
        <v/>
      </c>
      <c r="BN31" s="581">
        <f>(BL31-BM31+BI31*(BI$7="Y")+BJ31*(BJ$7="Y"))*IF($W31&lt;Ret_Yr_post,AV31,1)+BK31</f>
        <v/>
      </c>
      <c r="BO31" s="591" t="n"/>
      <c r="BP31" s="592">
        <f>IF($E31="FL",IF($X31&lt;=DoC,DATEDIF(DoC,$V31,"M")/12,0),0)</f>
        <v/>
      </c>
      <c r="BQ31" s="592">
        <f>IF($E31="FL",(1+CPI)^INT(BP31),0)</f>
        <v/>
      </c>
      <c r="BR31" s="592">
        <f>IF($E31="FL",IF(($BP31-0.5)&gt;=0,1/(1+d)^($BP31-0.5),1/(1+d)^($BP31)),0)</f>
        <v/>
      </c>
      <c r="BS31" s="592" t="n"/>
      <c r="BT31" s="25">
        <f>IF(gender="M",VLOOKUP($Y31+pre_mort+IF(MONTH(DoC)&lt;MONTH(DoB),IF(MONTH(DoC)&lt;3,0,-1),IF(MONTH(DoB)&lt;3,-1,0)),'SALT LIFE TABLES'!$A$7:$E$106,2),VLOOKUP($Y31+pre_mort+IF(MONTH(DoC)&lt;MONTH(DoB),IF(MONTH(DoC)&lt;3,0,-1),IF(MONTH(DoB)&lt;3,-1,0)),'SALT LIFE TABLES'!$A$7:$E$106,4))</f>
        <v/>
      </c>
      <c r="BU31" s="592">
        <f>IF($E31="PL",1,BT31/BU$7)</f>
        <v/>
      </c>
      <c r="BV31" s="593" t="n"/>
      <c r="BW31" s="25">
        <f>IF(gender="M",VLOOKUP($Y31+post_mort+IF(MONTH(DoC)&lt;MONTH(DoB),IF(MONTH(DoC)&lt;3,0,-1),IF(MONTH(DoB)&lt;3,-1,0)),'SALT LIFE TABLES'!$A$7:$E$106,2),VLOOKUP($Y31+post_mort+IF(MONTH(DoC)&lt;MONTH(DoB),IF(MONTH(DoC)&lt;3,0,-1),IF(MONTH(DoB)&lt;3,-1,0)),'SALT LIFE TABLES'!$A$7:$E$106,4))</f>
        <v/>
      </c>
      <c r="BX31" s="592">
        <f>IF($E31="PL",1,BW31/BX$7)</f>
        <v/>
      </c>
      <c r="BY31" s="594" t="n"/>
      <c r="BZ31" s="592" t="n"/>
      <c r="CA31" s="592">
        <f>IF($E31="FL",$AR31*$BQ31*$BR31*$BU31,$AR31)</f>
        <v/>
      </c>
      <c r="CB31" s="592">
        <f>IF($E31="FL",$BN31*$BQ31*$BR31*$BX31,$BN31)</f>
        <v/>
      </c>
      <c r="CC31" s="592" t="n"/>
      <c r="CD31" s="592">
        <f>IF($E31="FL",$CA31*(1-pre_FL),$CA31*(1-pre_PL))</f>
        <v/>
      </c>
      <c r="CE31" s="592">
        <f>IF($E31="FL",$CB31*(1-post_FL),$CB31*(1-post_PL))</f>
        <v/>
      </c>
      <c r="CF31" s="592" t="n"/>
      <c r="CG31" s="599">
        <f>CD31-CE31</f>
        <v/>
      </c>
      <c r="CH31" s="599">
        <f>MIN(CG31,IF(W31=Ret_Yr_pre,1,$X31)*Cap)</f>
        <v/>
      </c>
      <c r="CI31" s="128" t="n"/>
      <c r="CJ31" s="37">
        <f>IF(D31&gt;Current,Current,D31)</f>
        <v/>
      </c>
      <c r="CK31" s="37">
        <f>MATCH($CJ31,Tax_Tables[Tax Year],0)</f>
        <v/>
      </c>
      <c r="CL31" s="600" t="n">
        <v>0</v>
      </c>
      <c r="CM31" s="600">
        <f t="array" ref="CM31">INDEX(Tax_Tables[[Limits]:[Limits]],$CK31+CM$8)</f>
        <v/>
      </c>
      <c r="CN31" s="600">
        <f t="array" ref="CN31">INDEX(Tax_Tables[[Limits]:[Limits]],$CK31+CN$8)</f>
        <v/>
      </c>
      <c r="CO31" s="600">
        <f t="array" ref="CO31">INDEX(Tax_Tables[[Limits]:[Limits]],$CK31+CO$8)</f>
        <v/>
      </c>
      <c r="CP31" s="600">
        <f t="array" ref="CP31">INDEX(Tax_Tables[[Limits]:[Limits]],$CK31+CP$8)</f>
        <v/>
      </c>
      <c r="CQ31" s="600">
        <f t="array" ref="CQ31">INDEX(Tax_Tables[[Limits]:[Limits]],$CK31+CQ$8)</f>
        <v/>
      </c>
      <c r="CR31" s="600">
        <f t="array" ref="CR31">INDEX(Tax_Tables[[Limits]:[Limits]],$CK31+CR$8)</f>
        <v/>
      </c>
      <c r="CS31" s="37">
        <f>INDEX(Rebate[&lt;65],MATCH($CJ31,Rebate[[Tax Year]:[Tax Year]],0))</f>
        <v/>
      </c>
      <c r="CT31" s="37">
        <f>INDEX(Rebate[&lt;75],MATCH($CJ31,Rebate[[Tax Year]:[Tax Year]],0))</f>
        <v/>
      </c>
      <c r="CU31" s="37">
        <f>INDEX(Rebate[&gt;75],MATCH($CJ31,Rebate[[Tax Year]:[Tax Year]],0))</f>
        <v/>
      </c>
      <c r="CV31" s="37">
        <f>INDEX(Tax_Credit[Principal],MATCH($CJ31,Tax_Credit[[Tax Year]:[Tax Year]],0))</f>
        <v/>
      </c>
      <c r="CW31" s="37">
        <f>INDEX(Tax_Credit[First Dependant],MATCH($CJ31,Tax_Credit[[Tax Year]:[Tax Year]],0))</f>
        <v/>
      </c>
      <c r="CX31" s="37">
        <f>INDEX(Tax_Credit[Each Additional],MATCH($CJ31,Tax_Credit[[Tax Year]:[Tax Year]],0))</f>
        <v/>
      </c>
      <c r="CY31" s="484">
        <f>Y31</f>
        <v/>
      </c>
      <c r="CZ31" s="601">
        <f>AP31</f>
        <v/>
      </c>
      <c r="DA31" s="37">
        <f t="array" ref="DA31">INDEX($CL31:$CR31,0,MATCH($CZ31,$CL31:$CR31,1))</f>
        <v/>
      </c>
      <c r="DB31" s="37">
        <f t="array" ref="DB31">IFERROR(INDEX(Tax_Tables[Percentages],$CK31+MATCH($DA31,$CL31:$CR31,0)-1),"")</f>
        <v/>
      </c>
      <c r="DC31" s="37">
        <f t="array" ref="DC31">IFERROR(INDEX(Tax_Tables[Tax],$CK31+MATCH($DA31,$CL31:$CR31,0)-1),"")</f>
        <v/>
      </c>
      <c r="DD31" s="37">
        <f>IF(CY31&lt;65,CS31,IF(CY31&lt;75,CT31,CU31))</f>
        <v/>
      </c>
      <c r="DE31" s="37">
        <f>CV31*(Summary!$C$31="Y")+(Summary!$C$31="Y")*(CW31*(Pre_MDep&gt;=1)+CX31*MAX(Pre_MDep-1,0))</f>
        <v/>
      </c>
      <c r="DF31" s="599">
        <f>IFERROR(MAX(DB31*(CZ31-DA31)+DC31-DD31-DE31*12,0),"")</f>
        <v/>
      </c>
      <c r="DG31" s="602" t="n"/>
      <c r="DH31" s="601">
        <f>BL31</f>
        <v/>
      </c>
      <c r="DI31" s="37">
        <f t="array" ref="DI31">INDEX($CL31:$CR31,0,MATCH($DH31,$CL31:$CR31,1))</f>
        <v/>
      </c>
      <c r="DJ31" s="37">
        <f t="array" ref="DJ31">IFERROR(INDEX(Tax_Tables[Percentages],$CK31+MATCH($DI31,$CL31:$CR31,0)-1),"")</f>
        <v/>
      </c>
      <c r="DK31" s="37">
        <f t="array" ref="DK31">IFERROR(INDEX(Tax_Tables[Tax],$CK31+MATCH($DI31,$CL31:$CR31,0)-1),"")</f>
        <v/>
      </c>
      <c r="DL31" s="37">
        <f>CV31*(Summary!$C$81="Y")+(Summary!$C$81="Y")*(CW31*(Post_MDep&gt;=1)+CX31*MAX(Post_MDep-1,0))</f>
        <v/>
      </c>
      <c r="DM31" s="599">
        <f>IFERROR(MAX(DJ31*(DH31-DI31)+DK31-DD31-DL31*12,0),"")</f>
        <v/>
      </c>
      <c r="DN31" s="601" t="n"/>
      <c r="DO31" s="37" t="n"/>
      <c r="DP31" s="37" t="n"/>
      <c r="DQ31" s="37" t="n"/>
      <c r="DR31" s="37" t="n"/>
      <c r="DS31" s="37" t="n"/>
      <c r="DT31" s="37" t="n"/>
      <c r="DU31" s="37" t="n"/>
      <c r="DV31" s="37" t="n"/>
      <c r="DW31" s="37" t="n"/>
      <c r="DX31" s="599" t="n"/>
      <c r="DY31" s="131" t="n"/>
      <c r="DZ31" s="601" t="n"/>
      <c r="EA31" s="37" t="n"/>
      <c r="EB31" s="37" t="n"/>
      <c r="EC31" s="37" t="n"/>
      <c r="ED31" s="599" t="n"/>
      <c r="EE31" s="595" t="n"/>
      <c r="EF31" s="25" t="n"/>
    </row>
    <row r="32">
      <c r="A32" s="47" t="n"/>
      <c r="C32" s="596">
        <f>C31+D32-D31</f>
        <v/>
      </c>
      <c r="D32" s="160">
        <f>AU32</f>
        <v/>
      </c>
      <c r="E32" s="87">
        <f>IF(DoC=V32,"Calc Date",IF(V32&lt;DoC,"PL","FL"))</f>
        <v/>
      </c>
      <c r="F32" s="310">
        <f>F31+1</f>
        <v/>
      </c>
      <c r="G32" s="31">
        <f>VLOOKUP(F32,C$10:D$148,2)</f>
        <v/>
      </c>
      <c r="H32" s="313">
        <f>H31</f>
        <v/>
      </c>
      <c r="I32" s="281">
        <f>I31</f>
        <v/>
      </c>
      <c r="J32" s="589">
        <f>I32*index/VLOOKUP($H32,CPI!A:E,4,FALSE)</f>
        <v/>
      </c>
      <c r="K32" s="589">
        <f>IF(L32="Linear",(J32-J31)/(G32-G31),0)</f>
        <v/>
      </c>
      <c r="L32" s="311" t="inlineStr">
        <is>
          <t>Flat</t>
        </is>
      </c>
      <c r="M32" s="137" t="n"/>
      <c r="N32" s="310">
        <f>N31+1</f>
        <v/>
      </c>
      <c r="O32" s="31">
        <f>O31+N32-N31</f>
        <v/>
      </c>
      <c r="P32" s="313">
        <f>P31</f>
        <v/>
      </c>
      <c r="Q32" s="281">
        <f>Q31</f>
        <v/>
      </c>
      <c r="R32" s="589">
        <f>Q32*index/VLOOKUP($P32,CPI!A:E,4,FALSE)</f>
        <v/>
      </c>
      <c r="S32" s="589">
        <f>IF(T32="Linear",(R32-R31)/(O32-O31),0)</f>
        <v/>
      </c>
      <c r="T32" s="311" t="inlineStr">
        <is>
          <t>Flat</t>
        </is>
      </c>
      <c r="U32" s="144" t="n"/>
      <c r="V32" s="6">
        <f>IF(AND($V31=DoA,MONTH(V31)&lt;3),DATE(YEAR(DoA),3,1),IF(AND(IFERROR(DATEDIF(V31,DoC,"M"),12)&lt;12,IFERROR(DATEDIF(V31,DoC,"M"),12)&gt;0),DoC,DATE(YEAR(V31)+(1-AND(YEAR(DoC)=Current,V31=DoC)-AND(V31=DoA,MONTH(V31)&lt;3)),3,1)))</f>
        <v/>
      </c>
      <c r="W32" s="31">
        <f>IF(V32=DoR_Pre,IF(MONTH(DoR_Pre)&gt;3,YEAR(DoR_Pre)+1,YEAR(DoR_Pre)),IF(MONTH(V32)&gt;3,Current,YEAR(V32)))</f>
        <v/>
      </c>
      <c r="X32" s="597">
        <f>IF(W32=Current,ROUND((V32-V31)/365.25,5),_xlfn.IFNA(INDEX(Summary!$A$5:$A$22,MATCH('LOE Sc1'!W32,Summary!$C$5:$C$22,0)),IF(W32=Ret_Yr_pre,ROUND((DoR_Pre-V31)/365.25,5),ROUND((V32-V31)/365.25,2))))</f>
        <v/>
      </c>
      <c r="Y32" s="55">
        <f>IF(AND(V32=DoC,MONTH(DoC)&lt;&gt;3),ROUNDDOWN(DATEDIF(DoB,V33,"M")/12,),ROUNDDOWN(DATEDIF(DoB,V32,"M")/12,))</f>
        <v/>
      </c>
      <c r="Z32" s="590" t="n"/>
      <c r="AA32" s="25">
        <f>MAX(RetAge_Pre-Y32,0)</f>
        <v/>
      </c>
      <c r="AB32" s="26">
        <f t="array" ref="AB32">IF(W32&gt;Ret_Yr_pre,0,_xlfn.IFNA(VLOOKUP(Y32,F$11:J$1000,5,),IF(AND(W32=Current,V32&gt;DoC,MONTH(DoC)&lt;&gt;3),AB31,AB31+INDEX(K$11:K$1000,MATCH(Y32,F$11:F$1000,1)+1))))</f>
        <v/>
      </c>
      <c r="AC32" s="590">
        <f>IF(V32&lt;DoC,AB32*VLOOKUP(YEAR(V32),CPI!A:E,4,FALSE)/index,AB32*real_i^INT(BP32))</f>
        <v/>
      </c>
      <c r="AD32" s="590">
        <f>$AC32/12*Bonus</f>
        <v/>
      </c>
      <c r="AE32" s="590">
        <f>IF($E32="FL",MedSub*m^INT(BP32),MedSub)*IF(Summary!$C$31="Y",1,0)*(W32&lt;=Ret_Yr_pre)*(Summary!C$31="Y")</f>
        <v/>
      </c>
      <c r="AF32" s="590">
        <f>IF(Summary!$C$30="Y",IF(E32&lt;&gt;"PL",VLOOKUP(Current,'Housing Allowance'!$A:$B,2,),VLOOKUP(YEAR($V32),'Housing Allowance'!$A:$B,2,)),0)*(W32&lt;=Ret_Yr_pre)</f>
        <v/>
      </c>
      <c r="AG32" s="590">
        <f>AC32*overtime</f>
        <v/>
      </c>
      <c r="AH32" s="590">
        <f>AC32*allow_1</f>
        <v/>
      </c>
      <c r="AI32" s="590">
        <f>(AB32&lt;&gt;0)*12*allow_2</f>
        <v/>
      </c>
      <c r="AJ32" s="590" t="n"/>
      <c r="AK32" s="581">
        <f>IF(YEAR(W32)&lt;=Ret_Yr_pre,SUM(AC32:AJ32),0)*IF($W32=Ret_Yr_pre,X32,1)</f>
        <v/>
      </c>
      <c r="AL32" s="581">
        <f>IF($W32&gt;=Ret_Yr_pre,pens_Pre*(GEPF_pre="Y"),0)*IF($W32=Ret_Yr_pre,1-$X32,1)*IF(Ret_Yr_pre&lt;Current,(_xlfn.IFNA(VLOOKUP($D32,CPI!$A:$E,2,FALSE),VLOOKUP(Current,CPI!$A:$E,2,FALSE))/VLOOKUP(Ret_Yr_pre,CPI!$A:$E,2,FALSE)),1)</f>
        <v/>
      </c>
      <c r="AM32" s="590">
        <f>$AC32*ee*IF($W32=Ret_Yr_pre,$X32,1)</f>
        <v/>
      </c>
      <c r="AN32" s="590">
        <f>$AC32*er*IF($W32=Ret_Yr_pre,$X32,1)</f>
        <v/>
      </c>
      <c r="AO32" s="590">
        <f>IF('LOE Sc1'!$W32=Ret_Yr_pre,Gratuity_Pre*(GEPF_pre="Y"),0)</f>
        <v/>
      </c>
      <c r="AP32" s="581">
        <f>AK32+AL32-$AM32-AN32*(GEPF_pre="Y")</f>
        <v/>
      </c>
      <c r="AQ32" s="590">
        <f>IF(DF32&lt;0,0,DF32)</f>
        <v/>
      </c>
      <c r="AR32" s="581">
        <f>(AP32-AQ32+AM32*(AM$7="Y")+AN32*(AN$7="Y"))*IF(W32&lt;Ret_Yr_pre,X32,1)+AO32</f>
        <v/>
      </c>
      <c r="AS32" s="595" t="n"/>
      <c r="AT32" s="6">
        <f>V32</f>
        <v/>
      </c>
      <c r="AU32" s="31">
        <f>W32</f>
        <v/>
      </c>
      <c r="AV32" s="598">
        <f>IF(AU32=Current,ROUND((AT32-AT31)/365.25,5),_xlfn.IFNA(INDEX(Summary!$A$55:$A$72,MATCH('LOE Sc1'!AU32,Summary!$C$55:$C$72,0)),IF(AU32=Ret_Yr_post,ROUND((DoR_Post-AT31)/365.25,5),ROUND((AT32-AT31)/365.25,2))))</f>
        <v/>
      </c>
      <c r="AW32" s="55">
        <f>Y32</f>
        <v/>
      </c>
      <c r="AX32" s="26">
        <f t="array" ref="AX32">IF(AU32&gt;Ret_Yr_post,0,_xlfn.IFNA(VLOOKUP(AW32,N$11:S$1000,5,),IF(AND(AU32=Current,AT32&gt;DoC,MONTH(DoC)&lt;&gt;3),AX31,AX31+INDEX(S$11:S$1000,MATCH(AW32,N$11:N$1000,1)+1))))</f>
        <v/>
      </c>
      <c r="AY32" s="590">
        <f>IF($V32&lt;DoC,AX32*VLOOKUP(YEAR($V32),CPI_Table,4,FALSE)/index,AX32*real_i^INT(BP32))</f>
        <v/>
      </c>
      <c r="AZ32" s="590">
        <f>$AY32/12*Bonus_Post*($AW32&lt;=RetAge_Post)</f>
        <v/>
      </c>
      <c r="BA32" s="590">
        <f>IF($E32="FL",MedSub*m^INT(BP32),MedSub)*IF(Summary!$C$81="Y",1,0)*($AU32&lt;=Ret_Yr_post)*(Summary!$C$81="Y")</f>
        <v/>
      </c>
      <c r="BB32" s="590">
        <f>IF(Summary!$C$80="Y",IF($E32&lt;&gt;"PL",VLOOKUP(Current,'Housing Allowance'!$A:$B,2,),VLOOKUP(YEAR($AT32),'Housing Allowance'!$A:$B,2,)),0)*($AU32&lt;=Ret_Yr_post)</f>
        <v/>
      </c>
      <c r="BC32" s="590">
        <f>AY32*overtime_post</f>
        <v/>
      </c>
      <c r="BD32" s="590">
        <f>$AY32*allow_1_post</f>
        <v/>
      </c>
      <c r="BE32" s="590">
        <f>($AY32&lt;&gt;0)*allow_2_post*12</f>
        <v/>
      </c>
      <c r="BF32" s="590" t="n"/>
      <c r="BG32" s="581">
        <f>IF(YEAR($V32)&lt;=Ret_Yr_post,SUM(AY32:BF32),0)*IF($W32=Ret_Yr_post,AV32,1)</f>
        <v/>
      </c>
      <c r="BH32" s="581">
        <f>IF($W32&gt;=Ret_Yr_post,pens_Post*(GEPF_pre="Y"),0)*IF($W32=Ret_Yr_post,1-$AV32,1)*IF(Ret_Yr_post&lt;Current,(_xlfn.IFNA(VLOOKUP($D32,CPI!$A:$E,2,FALSE),VLOOKUP(Current,CPI!$A:$E,2,FALSE))/VLOOKUP(Ret_Yr_post,CPI!$A:$E,2,FALSE)),1)</f>
        <v/>
      </c>
      <c r="BI32" s="590">
        <f>$AY32*ee_post*IF($W32=Ret_Yr_post,$AV32,1)</f>
        <v/>
      </c>
      <c r="BJ32" s="590">
        <f>$AY32*er_post*IF($W32=Ret_Yr_post,$AV32,1)</f>
        <v/>
      </c>
      <c r="BK32" s="590">
        <f>IF('LOE Sc1'!$W32=Ret_Yr_post,Gratuity_Post*(GEPF_post="Y"),0)</f>
        <v/>
      </c>
      <c r="BL32" s="581">
        <f>BG32+BH32-BI32-BJ32*(GEPF_post="Y")</f>
        <v/>
      </c>
      <c r="BM32" s="590">
        <f>IF(DM32&lt;0,0,DM32)</f>
        <v/>
      </c>
      <c r="BN32" s="581">
        <f>(BL32-BM32+BI32*(BI$7="Y")+BJ32*(BJ$7="Y"))*IF($W32&lt;Ret_Yr_post,AV32,1)+BK32</f>
        <v/>
      </c>
      <c r="BO32" s="591" t="n"/>
      <c r="BP32" s="592">
        <f>IF($E32="FL",IF($X32&lt;=DoC,DATEDIF(DoC,$V32,"M")/12,0),0)</f>
        <v/>
      </c>
      <c r="BQ32" s="592">
        <f>IF($E32="FL",(1+CPI)^INT(BP32),0)</f>
        <v/>
      </c>
      <c r="BR32" s="592">
        <f>IF($E32="FL",IF(($BP32-0.5)&gt;=0,1/(1+d)^($BP32-0.5),1/(1+d)^($BP32)),0)</f>
        <v/>
      </c>
      <c r="BS32" s="592" t="n"/>
      <c r="BT32" s="25">
        <f>IF(gender="M",VLOOKUP($Y32+pre_mort+IF(MONTH(DoC)&lt;MONTH(DoB),IF(MONTH(DoC)&lt;3,0,-1),IF(MONTH(DoB)&lt;3,-1,0)),'SALT LIFE TABLES'!$A$7:$E$106,2),VLOOKUP($Y32+pre_mort+IF(MONTH(DoC)&lt;MONTH(DoB),IF(MONTH(DoC)&lt;3,0,-1),IF(MONTH(DoB)&lt;3,-1,0)),'SALT LIFE TABLES'!$A$7:$E$106,4))</f>
        <v/>
      </c>
      <c r="BU32" s="592">
        <f>IF($E32="PL",1,BT32/BU$7)</f>
        <v/>
      </c>
      <c r="BV32" s="593" t="n"/>
      <c r="BW32" s="25">
        <f>IF(gender="M",VLOOKUP($Y32+post_mort+IF(MONTH(DoC)&lt;MONTH(DoB),IF(MONTH(DoC)&lt;3,0,-1),IF(MONTH(DoB)&lt;3,-1,0)),'SALT LIFE TABLES'!$A$7:$E$106,2),VLOOKUP($Y32+post_mort+IF(MONTH(DoC)&lt;MONTH(DoB),IF(MONTH(DoC)&lt;3,0,-1),IF(MONTH(DoB)&lt;3,-1,0)),'SALT LIFE TABLES'!$A$7:$E$106,4))</f>
        <v/>
      </c>
      <c r="BX32" s="592">
        <f>IF($E32="PL",1,BW32/BX$7)</f>
        <v/>
      </c>
      <c r="BY32" s="594" t="n"/>
      <c r="BZ32" s="592" t="n"/>
      <c r="CA32" s="592">
        <f>IF($E32="FL",$AR32*$BQ32*$BR32*$BU32,$AR32)</f>
        <v/>
      </c>
      <c r="CB32" s="592">
        <f>IF($E32="FL",$BN32*$BQ32*$BR32*$BX32,$BN32)</f>
        <v/>
      </c>
      <c r="CC32" s="592" t="n"/>
      <c r="CD32" s="592">
        <f>IF($E32="FL",$CA32*(1-pre_FL),$CA32*(1-pre_PL))</f>
        <v/>
      </c>
      <c r="CE32" s="592">
        <f>IF($E32="FL",$CB32*(1-post_FL),$CB32*(1-post_PL))</f>
        <v/>
      </c>
      <c r="CF32" s="592" t="n"/>
      <c r="CG32" s="599">
        <f>CD32-CE32</f>
        <v/>
      </c>
      <c r="CH32" s="599">
        <f>MIN(CG32,IF(W32=Ret_Yr_pre,1,$X32)*Cap)</f>
        <v/>
      </c>
      <c r="CI32" s="128" t="n"/>
      <c r="CJ32" s="37">
        <f>IF(D32&gt;Current,Current,D32)</f>
        <v/>
      </c>
      <c r="CK32" s="37">
        <f>MATCH($CJ32,Tax_Tables[Tax Year],0)</f>
        <v/>
      </c>
      <c r="CL32" s="600" t="n">
        <v>0</v>
      </c>
      <c r="CM32" s="600">
        <f t="array" ref="CM32">INDEX(Tax_Tables[[Limits]:[Limits]],$CK32+CM$8)</f>
        <v/>
      </c>
      <c r="CN32" s="600">
        <f t="array" ref="CN32">INDEX(Tax_Tables[[Limits]:[Limits]],$CK32+CN$8)</f>
        <v/>
      </c>
      <c r="CO32" s="600">
        <f t="array" ref="CO32">INDEX(Tax_Tables[[Limits]:[Limits]],$CK32+CO$8)</f>
        <v/>
      </c>
      <c r="CP32" s="600">
        <f t="array" ref="CP32">INDEX(Tax_Tables[[Limits]:[Limits]],$CK32+CP$8)</f>
        <v/>
      </c>
      <c r="CQ32" s="600">
        <f t="array" ref="CQ32">INDEX(Tax_Tables[[Limits]:[Limits]],$CK32+CQ$8)</f>
        <v/>
      </c>
      <c r="CR32" s="600">
        <f t="array" ref="CR32">INDEX(Tax_Tables[[Limits]:[Limits]],$CK32+CR$8)</f>
        <v/>
      </c>
      <c r="CS32" s="37">
        <f>INDEX(Rebate[&lt;65],MATCH($CJ32,Rebate[[Tax Year]:[Tax Year]],0))</f>
        <v/>
      </c>
      <c r="CT32" s="37">
        <f>INDEX(Rebate[&lt;75],MATCH($CJ32,Rebate[[Tax Year]:[Tax Year]],0))</f>
        <v/>
      </c>
      <c r="CU32" s="37">
        <f>INDEX(Rebate[&gt;75],MATCH($CJ32,Rebate[[Tax Year]:[Tax Year]],0))</f>
        <v/>
      </c>
      <c r="CV32" s="37">
        <f>INDEX(Tax_Credit[Principal],MATCH($CJ32,Tax_Credit[[Tax Year]:[Tax Year]],0))</f>
        <v/>
      </c>
      <c r="CW32" s="37">
        <f>INDEX(Tax_Credit[First Dependant],MATCH($CJ32,Tax_Credit[[Tax Year]:[Tax Year]],0))</f>
        <v/>
      </c>
      <c r="CX32" s="37">
        <f>INDEX(Tax_Credit[Each Additional],MATCH($CJ32,Tax_Credit[[Tax Year]:[Tax Year]],0))</f>
        <v/>
      </c>
      <c r="CY32" s="484">
        <f>Y32</f>
        <v/>
      </c>
      <c r="CZ32" s="601">
        <f>AP32</f>
        <v/>
      </c>
      <c r="DA32" s="37">
        <f t="array" ref="DA32">INDEX($CL32:$CR32,0,MATCH($CZ32,$CL32:$CR32,1))</f>
        <v/>
      </c>
      <c r="DB32" s="37">
        <f t="array" ref="DB32">IFERROR(INDEX(Tax_Tables[Percentages],$CK32+MATCH($DA32,$CL32:$CR32,0)-1),"")</f>
        <v/>
      </c>
      <c r="DC32" s="37">
        <f t="array" ref="DC32">IFERROR(INDEX(Tax_Tables[Tax],$CK32+MATCH($DA32,$CL32:$CR32,0)-1),"")</f>
        <v/>
      </c>
      <c r="DD32" s="37">
        <f>IF(CY32&lt;65,CS32,IF(CY32&lt;75,CT32,CU32))</f>
        <v/>
      </c>
      <c r="DE32" s="37">
        <f>CV32*(Summary!$C$31="Y")+(Summary!$C$31="Y")*(CW32*(Pre_MDep&gt;=1)+CX32*MAX(Pre_MDep-1,0))</f>
        <v/>
      </c>
      <c r="DF32" s="599">
        <f>IFERROR(MAX(DB32*(CZ32-DA32)+DC32-DD32-DE32*12,0),"")</f>
        <v/>
      </c>
      <c r="DG32" s="602" t="n"/>
      <c r="DH32" s="601">
        <f>BL32</f>
        <v/>
      </c>
      <c r="DI32" s="37">
        <f t="array" ref="DI32">INDEX($CL32:$CR32,0,MATCH($DH32,$CL32:$CR32,1))</f>
        <v/>
      </c>
      <c r="DJ32" s="37">
        <f t="array" ref="DJ32">IFERROR(INDEX(Tax_Tables[Percentages],$CK32+MATCH($DI32,$CL32:$CR32,0)-1),"")</f>
        <v/>
      </c>
      <c r="DK32" s="37">
        <f t="array" ref="DK32">IFERROR(INDEX(Tax_Tables[Tax],$CK32+MATCH($DI32,$CL32:$CR32,0)-1),"")</f>
        <v/>
      </c>
      <c r="DL32" s="37">
        <f>CV32*(Summary!$C$81="Y")+(Summary!$C$81="Y")*(CW32*(Post_MDep&gt;=1)+CX32*MAX(Post_MDep-1,0))</f>
        <v/>
      </c>
      <c r="DM32" s="599">
        <f>IFERROR(MAX(DJ32*(DH32-DI32)+DK32-DD32-DL32*12,0),"")</f>
        <v/>
      </c>
      <c r="DN32" s="601" t="n"/>
      <c r="DO32" s="37" t="n"/>
      <c r="DP32" s="37" t="n"/>
      <c r="DQ32" s="37" t="n"/>
      <c r="DR32" s="37" t="n"/>
      <c r="DS32" s="37" t="n"/>
      <c r="DT32" s="37" t="n"/>
      <c r="DU32" s="37" t="n"/>
      <c r="DV32" s="37" t="n"/>
      <c r="DW32" s="37" t="n"/>
      <c r="DX32" s="599" t="n"/>
      <c r="DY32" s="131" t="n"/>
      <c r="DZ32" s="601" t="n"/>
      <c r="EA32" s="37" t="n"/>
      <c r="EB32" s="37" t="n"/>
      <c r="EC32" s="37" t="n"/>
      <c r="ED32" s="599" t="n"/>
      <c r="EE32" s="595" t="n"/>
      <c r="EF32" s="25" t="n"/>
    </row>
    <row r="33">
      <c r="C33" s="596">
        <f>C32+D33-D32</f>
        <v/>
      </c>
      <c r="D33" s="160">
        <f>AU33</f>
        <v/>
      </c>
      <c r="E33" s="87">
        <f>IF(DoC=V33,"Calc Date",IF(V33&lt;DoC,"PL","FL"))</f>
        <v/>
      </c>
      <c r="F33" s="310">
        <f>F32+1</f>
        <v/>
      </c>
      <c r="G33" s="31">
        <f>VLOOKUP(F33,C$10:D$148,2)</f>
        <v/>
      </c>
      <c r="H33" s="313">
        <f>H32</f>
        <v/>
      </c>
      <c r="I33" s="281">
        <f>I32</f>
        <v/>
      </c>
      <c r="J33" s="589">
        <f>I33*index/VLOOKUP($H33,CPI!A:E,4,FALSE)</f>
        <v/>
      </c>
      <c r="K33" s="589">
        <f>IF(L33="Linear",(J33-J32)/(G33-G32),0)</f>
        <v/>
      </c>
      <c r="L33" s="311" t="inlineStr">
        <is>
          <t>Flat</t>
        </is>
      </c>
      <c r="M33" s="137" t="n"/>
      <c r="N33" s="310">
        <f>N32+1</f>
        <v/>
      </c>
      <c r="O33" s="31">
        <f>O32+N33-N32</f>
        <v/>
      </c>
      <c r="P33" s="313">
        <f>P32</f>
        <v/>
      </c>
      <c r="Q33" s="281">
        <f>Q32</f>
        <v/>
      </c>
      <c r="R33" s="589">
        <f>Q33*index/VLOOKUP($P33,CPI!A:E,4,FALSE)</f>
        <v/>
      </c>
      <c r="S33" s="589">
        <f>IF(T33="Linear",(R33-R32)/(O33-O32),0)</f>
        <v/>
      </c>
      <c r="T33" s="311" t="inlineStr">
        <is>
          <t>Flat</t>
        </is>
      </c>
      <c r="U33" s="144" t="n"/>
      <c r="V33" s="6">
        <f>IF(AND($V32=DoA,MONTH(V32)&lt;3),DATE(YEAR(DoA),3,1),IF(AND(IFERROR(DATEDIF(V32,DoC,"M"),12)&lt;12,IFERROR(DATEDIF(V32,DoC,"M"),12)&gt;0),DoC,DATE(YEAR(V32)+(1-AND(YEAR(DoC)=Current,V32=DoC)-AND(V32=DoA,MONTH(V32)&lt;3)),3,1)))</f>
        <v/>
      </c>
      <c r="W33" s="31">
        <f>IF(V33=DoR_Pre,IF(MONTH(DoR_Pre)&gt;3,YEAR(DoR_Pre)+1,YEAR(DoR_Pre)),IF(MONTH(V33)&gt;3,Current,YEAR(V33)))</f>
        <v/>
      </c>
      <c r="X33" s="597">
        <f>IF(W33=Current,ROUND((V33-V32)/365.25,5),_xlfn.IFNA(INDEX(Summary!$A$5:$A$22,MATCH('LOE Sc1'!W33,Summary!$C$5:$C$22,0)),IF(W33=Ret_Yr_pre,ROUND((DoR_Pre-V32)/365.25,5),ROUND((V33-V32)/365.25,2))))</f>
        <v/>
      </c>
      <c r="Y33" s="55">
        <f>IF(AND(V33=DoC,MONTH(DoC)&lt;&gt;3),ROUNDDOWN(DATEDIF(DoB,V34,"M")/12,),ROUNDDOWN(DATEDIF(DoB,V33,"M")/12,))</f>
        <v/>
      </c>
      <c r="Z33" s="590" t="n"/>
      <c r="AA33" s="25">
        <f>MAX(RetAge_Pre-Y33,0)</f>
        <v/>
      </c>
      <c r="AB33" s="26">
        <f t="array" ref="AB33">IF(W33&gt;Ret_Yr_pre,0,_xlfn.IFNA(VLOOKUP(Y33,F$11:J$1000,5,),IF(AND(W33=Current,V33&gt;DoC,MONTH(DoC)&lt;&gt;3),AB32,AB32+INDEX(K$11:K$1000,MATCH(Y33,F$11:F$1000,1)+1))))</f>
        <v/>
      </c>
      <c r="AC33" s="590">
        <f>IF(V33&lt;DoC,AB33*VLOOKUP(YEAR(V33),CPI!A:E,4,FALSE)/index,AB33*real_i^INT(BP33))</f>
        <v/>
      </c>
      <c r="AD33" s="590">
        <f>$AC33/12*Bonus</f>
        <v/>
      </c>
      <c r="AE33" s="590">
        <f>IF($E33="FL",MedSub*m^INT(BP33),MedSub)*IF(Summary!$C$31="Y",1,0)*(W33&lt;=Ret_Yr_pre)*(Summary!C$31="Y")</f>
        <v/>
      </c>
      <c r="AF33" s="590">
        <f>IF(Summary!$C$30="Y",IF(E33&lt;&gt;"PL",VLOOKUP(Current,'Housing Allowance'!$A:$B,2,),VLOOKUP(YEAR($V33),'Housing Allowance'!$A:$B,2,)),0)*(W33&lt;=Ret_Yr_pre)</f>
        <v/>
      </c>
      <c r="AG33" s="590">
        <f>AC33*overtime</f>
        <v/>
      </c>
      <c r="AH33" s="590">
        <f>AC33*allow_1</f>
        <v/>
      </c>
      <c r="AI33" s="590">
        <f>(AB33&lt;&gt;0)*12*allow_2</f>
        <v/>
      </c>
      <c r="AJ33" s="590" t="n"/>
      <c r="AK33" s="581">
        <f>IF(YEAR(W33)&lt;=Ret_Yr_pre,SUM(AC33:AJ33),0)*IF($W33=Ret_Yr_pre,X33,1)</f>
        <v/>
      </c>
      <c r="AL33" s="581">
        <f>IF($W33&gt;=Ret_Yr_pre,pens_Pre*(GEPF_pre="Y"),0)*IF($W33=Ret_Yr_pre,1-$X33,1)*IF(Ret_Yr_pre&lt;Current,(_xlfn.IFNA(VLOOKUP($D33,CPI!$A:$E,2,FALSE),VLOOKUP(Current,CPI!$A:$E,2,FALSE))/VLOOKUP(Ret_Yr_pre,CPI!$A:$E,2,FALSE)),1)</f>
        <v/>
      </c>
      <c r="AM33" s="590">
        <f>$AC33*ee*IF($W33=Ret_Yr_pre,$X33,1)</f>
        <v/>
      </c>
      <c r="AN33" s="590">
        <f>$AC33*er*IF($W33=Ret_Yr_pre,$X33,1)</f>
        <v/>
      </c>
      <c r="AO33" s="590">
        <f>IF('LOE Sc1'!$W33=Ret_Yr_pre,Gratuity_Pre*(GEPF_pre="Y"),0)</f>
        <v/>
      </c>
      <c r="AP33" s="581">
        <f>AK33+AL33-$AM33-AN33*(GEPF_pre="Y")</f>
        <v/>
      </c>
      <c r="AQ33" s="590">
        <f>IF(DF33&lt;0,0,DF33)</f>
        <v/>
      </c>
      <c r="AR33" s="581">
        <f>(AP33-AQ33+AM33*(AM$7="Y")+AN33*(AN$7="Y"))*IF(W33&lt;Ret_Yr_pre,X33,1)+AO33</f>
        <v/>
      </c>
      <c r="AS33" s="595" t="n"/>
      <c r="AT33" s="6">
        <f>V33</f>
        <v/>
      </c>
      <c r="AU33" s="31">
        <f>W33</f>
        <v/>
      </c>
      <c r="AV33" s="598">
        <f>IF(AU33=Current,ROUND((AT33-AT32)/365.25,5),_xlfn.IFNA(INDEX(Summary!$A$55:$A$72,MATCH('LOE Sc1'!AU33,Summary!$C$55:$C$72,0)),IF(AU33=Ret_Yr_post,ROUND((DoR_Post-AT32)/365.25,5),ROUND((AT33-AT32)/365.25,2))))</f>
        <v/>
      </c>
      <c r="AW33" s="55">
        <f>Y33</f>
        <v/>
      </c>
      <c r="AX33" s="26">
        <f t="array" ref="AX33">IF(AU33&gt;Ret_Yr_post,0,_xlfn.IFNA(VLOOKUP(AW33,N$11:S$1000,5,),IF(AND(AU33=Current,AT33&gt;DoC,MONTH(DoC)&lt;&gt;3),AX32,AX32+INDEX(S$11:S$1000,MATCH(AW33,N$11:N$1000,1)+1))))</f>
        <v/>
      </c>
      <c r="AY33" s="590">
        <f>IF($V33&lt;DoC,AX33*VLOOKUP(YEAR($V33),CPI_Table,4,FALSE)/index,AX33*real_i^INT(BP33))</f>
        <v/>
      </c>
      <c r="AZ33" s="590">
        <f>$AY33/12*Bonus_Post*($AW33&lt;=RetAge_Post)</f>
        <v/>
      </c>
      <c r="BA33" s="590">
        <f>IF($E33="FL",MedSub*m^INT(BP33),MedSub)*IF(Summary!$C$81="Y",1,0)*($AU33&lt;=Ret_Yr_post)*(Summary!$C$81="Y")</f>
        <v/>
      </c>
      <c r="BB33" s="590">
        <f>IF(Summary!$C$80="Y",IF($E33&lt;&gt;"PL",VLOOKUP(Current,'Housing Allowance'!$A:$B,2,),VLOOKUP(YEAR($AT33),'Housing Allowance'!$A:$B,2,)),0)*($AU33&lt;=Ret_Yr_post)</f>
        <v/>
      </c>
      <c r="BC33" s="590">
        <f>AY33*overtime_post</f>
        <v/>
      </c>
      <c r="BD33" s="590">
        <f>$AY33*allow_1_post</f>
        <v/>
      </c>
      <c r="BE33" s="590">
        <f>($AY33&lt;&gt;0)*allow_2_post*12</f>
        <v/>
      </c>
      <c r="BF33" s="590" t="n"/>
      <c r="BG33" s="581">
        <f>IF(YEAR($V33)&lt;=Ret_Yr_post,SUM(AY33:BF33),0)*IF($W33=Ret_Yr_post,AV33,1)</f>
        <v/>
      </c>
      <c r="BH33" s="581">
        <f>IF($W33&gt;=Ret_Yr_post,pens_Post*(GEPF_pre="Y"),0)*IF($W33=Ret_Yr_post,1-$AV33,1)*IF(Ret_Yr_post&lt;Current,(_xlfn.IFNA(VLOOKUP($D33,CPI!$A:$E,2,FALSE),VLOOKUP(Current,CPI!$A:$E,2,FALSE))/VLOOKUP(Ret_Yr_post,CPI!$A:$E,2,FALSE)),1)</f>
        <v/>
      </c>
      <c r="BI33" s="590">
        <f>$AY33*ee_post*IF($W33=Ret_Yr_post,$AV33,1)</f>
        <v/>
      </c>
      <c r="BJ33" s="590">
        <f>$AY33*er_post*IF($W33=Ret_Yr_post,$AV33,1)</f>
        <v/>
      </c>
      <c r="BK33" s="590">
        <f>IF('LOE Sc1'!$W33=Ret_Yr_post,Gratuity_Post*(GEPF_post="Y"),0)</f>
        <v/>
      </c>
      <c r="BL33" s="581">
        <f>BG33+BH33-BI33-BJ33*(GEPF_post="Y")</f>
        <v/>
      </c>
      <c r="BM33" s="590">
        <f>IF(DM33&lt;0,0,DM33)</f>
        <v/>
      </c>
      <c r="BN33" s="581">
        <f>(BL33-BM33+BI33*(BI$7="Y")+BJ33*(BJ$7="Y"))*IF($W33&lt;Ret_Yr_post,AV33,1)+BK33</f>
        <v/>
      </c>
      <c r="BO33" s="591" t="n"/>
      <c r="BP33" s="592">
        <f>IF($E33="FL",IF($X33&lt;=DoC,DATEDIF(DoC,$V33,"M")/12,0),0)</f>
        <v/>
      </c>
      <c r="BQ33" s="592">
        <f>IF($E33="FL",(1+CPI)^INT(BP33),0)</f>
        <v/>
      </c>
      <c r="BR33" s="592">
        <f>IF($E33="FL",IF(($BP33-0.5)&gt;=0,1/(1+d)^($BP33-0.5),1/(1+d)^($BP33)),0)</f>
        <v/>
      </c>
      <c r="BS33" s="592" t="n"/>
      <c r="BT33" s="25">
        <f>IF(gender="M",VLOOKUP($Y33+pre_mort+IF(MONTH(DoC)&lt;MONTH(DoB),IF(MONTH(DoC)&lt;3,0,-1),IF(MONTH(DoB)&lt;3,-1,0)),'SALT LIFE TABLES'!$A$7:$E$106,2),VLOOKUP($Y33+pre_mort+IF(MONTH(DoC)&lt;MONTH(DoB),IF(MONTH(DoC)&lt;3,0,-1),IF(MONTH(DoB)&lt;3,-1,0)),'SALT LIFE TABLES'!$A$7:$E$106,4))</f>
        <v/>
      </c>
      <c r="BU33" s="592">
        <f>IF($E33="PL",1,BT33/BU$7)</f>
        <v/>
      </c>
      <c r="BV33" s="593" t="n"/>
      <c r="BW33" s="25">
        <f>IF(gender="M",VLOOKUP($Y33+post_mort+IF(MONTH(DoC)&lt;MONTH(DoB),IF(MONTH(DoC)&lt;3,0,-1),IF(MONTH(DoB)&lt;3,-1,0)),'SALT LIFE TABLES'!$A$7:$E$106,2),VLOOKUP($Y33+post_mort+IF(MONTH(DoC)&lt;MONTH(DoB),IF(MONTH(DoC)&lt;3,0,-1),IF(MONTH(DoB)&lt;3,-1,0)),'SALT LIFE TABLES'!$A$7:$E$106,4))</f>
        <v/>
      </c>
      <c r="BX33" s="592">
        <f>IF($E33="PL",1,BW33/BX$7)</f>
        <v/>
      </c>
      <c r="BY33" s="594" t="n"/>
      <c r="BZ33" s="592" t="n"/>
      <c r="CA33" s="592">
        <f>IF($E33="FL",$AR33*$BQ33*$BR33*$BU33,$AR33)</f>
        <v/>
      </c>
      <c r="CB33" s="592">
        <f>IF($E33="FL",$BN33*$BQ33*$BR33*$BX33,$BN33)</f>
        <v/>
      </c>
      <c r="CC33" s="592" t="n"/>
      <c r="CD33" s="592">
        <f>IF($E33="FL",$CA33*(1-pre_FL),$CA33*(1-pre_PL))</f>
        <v/>
      </c>
      <c r="CE33" s="592">
        <f>IF($E33="FL",$CB33*(1-post_FL),$CB33*(1-post_PL))</f>
        <v/>
      </c>
      <c r="CF33" s="592" t="n"/>
      <c r="CG33" s="599">
        <f>CD33-CE33</f>
        <v/>
      </c>
      <c r="CH33" s="599">
        <f>MIN(CG33,IF(W33=Ret_Yr_pre,1,$X33)*Cap)</f>
        <v/>
      </c>
      <c r="CI33" s="128" t="n"/>
      <c r="CJ33" s="37">
        <f>IF(D33&gt;Current,Current,D33)</f>
        <v/>
      </c>
      <c r="CK33" s="37">
        <f>MATCH($CJ33,Tax_Tables[Tax Year],0)</f>
        <v/>
      </c>
      <c r="CL33" s="600" t="n">
        <v>0</v>
      </c>
      <c r="CM33" s="600">
        <f t="array" ref="CM33">INDEX(Tax_Tables[[Limits]:[Limits]],$CK33+CM$8)</f>
        <v/>
      </c>
      <c r="CN33" s="600">
        <f t="array" ref="CN33">INDEX(Tax_Tables[[Limits]:[Limits]],$CK33+CN$8)</f>
        <v/>
      </c>
      <c r="CO33" s="600">
        <f t="array" ref="CO33">INDEX(Tax_Tables[[Limits]:[Limits]],$CK33+CO$8)</f>
        <v/>
      </c>
      <c r="CP33" s="600">
        <f t="array" ref="CP33">INDEX(Tax_Tables[[Limits]:[Limits]],$CK33+CP$8)</f>
        <v/>
      </c>
      <c r="CQ33" s="600">
        <f t="array" ref="CQ33">INDEX(Tax_Tables[[Limits]:[Limits]],$CK33+CQ$8)</f>
        <v/>
      </c>
      <c r="CR33" s="600">
        <f t="array" ref="CR33">INDEX(Tax_Tables[[Limits]:[Limits]],$CK33+CR$8)</f>
        <v/>
      </c>
      <c r="CS33" s="37">
        <f>INDEX(Rebate[&lt;65],MATCH($CJ33,Rebate[[Tax Year]:[Tax Year]],0))</f>
        <v/>
      </c>
      <c r="CT33" s="37">
        <f>INDEX(Rebate[&lt;75],MATCH($CJ33,Rebate[[Tax Year]:[Tax Year]],0))</f>
        <v/>
      </c>
      <c r="CU33" s="37">
        <f>INDEX(Rebate[&gt;75],MATCH($CJ33,Rebate[[Tax Year]:[Tax Year]],0))</f>
        <v/>
      </c>
      <c r="CV33" s="37">
        <f>INDEX(Tax_Credit[Principal],MATCH($CJ33,Tax_Credit[[Tax Year]:[Tax Year]],0))</f>
        <v/>
      </c>
      <c r="CW33" s="37">
        <f>INDEX(Tax_Credit[First Dependant],MATCH($CJ33,Tax_Credit[[Tax Year]:[Tax Year]],0))</f>
        <v/>
      </c>
      <c r="CX33" s="37">
        <f>INDEX(Tax_Credit[Each Additional],MATCH($CJ33,Tax_Credit[[Tax Year]:[Tax Year]],0))</f>
        <v/>
      </c>
      <c r="CY33" s="484">
        <f>Y33</f>
        <v/>
      </c>
      <c r="CZ33" s="601">
        <f>AP33</f>
        <v/>
      </c>
      <c r="DA33" s="37">
        <f t="array" ref="DA33">INDEX($CL33:$CR33,0,MATCH($CZ33,$CL33:$CR33,1))</f>
        <v/>
      </c>
      <c r="DB33" s="37">
        <f t="array" ref="DB33">IFERROR(INDEX(Tax_Tables[Percentages],$CK33+MATCH($DA33,$CL33:$CR33,0)-1),"")</f>
        <v/>
      </c>
      <c r="DC33" s="37">
        <f t="array" ref="DC33">IFERROR(INDEX(Tax_Tables[Tax],$CK33+MATCH($DA33,$CL33:$CR33,0)-1),"")</f>
        <v/>
      </c>
      <c r="DD33" s="37">
        <f>IF(CY33&lt;65,CS33,IF(CY33&lt;75,CT33,CU33))</f>
        <v/>
      </c>
      <c r="DE33" s="37">
        <f>CV33*(Summary!$C$31="Y")+(Summary!$C$31="Y")*(CW33*(Pre_MDep&gt;=1)+CX33*MAX(Pre_MDep-1,0))</f>
        <v/>
      </c>
      <c r="DF33" s="599">
        <f>IFERROR(MAX(DB33*(CZ33-DA33)+DC33-DD33-DE33*12,0),"")</f>
        <v/>
      </c>
      <c r="DG33" s="602" t="n"/>
      <c r="DH33" s="601">
        <f>BL33</f>
        <v/>
      </c>
      <c r="DI33" s="37">
        <f t="array" ref="DI33">INDEX($CL33:$CR33,0,MATCH($DH33,$CL33:$CR33,1))</f>
        <v/>
      </c>
      <c r="DJ33" s="37">
        <f t="array" ref="DJ33">IFERROR(INDEX(Tax_Tables[Percentages],$CK33+MATCH($DI33,$CL33:$CR33,0)-1),"")</f>
        <v/>
      </c>
      <c r="DK33" s="37">
        <f t="array" ref="DK33">IFERROR(INDEX(Tax_Tables[Tax],$CK33+MATCH($DI33,$CL33:$CR33,0)-1),"")</f>
        <v/>
      </c>
      <c r="DL33" s="37">
        <f>CV33*(Summary!$C$81="Y")+(Summary!$C$81="Y")*(CW33*(Post_MDep&gt;=1)+CX33*MAX(Post_MDep-1,0))</f>
        <v/>
      </c>
      <c r="DM33" s="599">
        <f>IFERROR(MAX(DJ33*(DH33-DI33)+DK33-DD33-DL33*12,0),"")</f>
        <v/>
      </c>
      <c r="DN33" s="601" t="n"/>
      <c r="DO33" s="37" t="n"/>
      <c r="DP33" s="37" t="n"/>
      <c r="DQ33" s="37" t="n"/>
      <c r="DR33" s="37" t="n"/>
      <c r="DS33" s="37" t="n"/>
      <c r="DT33" s="37" t="n"/>
      <c r="DU33" s="37" t="n"/>
      <c r="DV33" s="37" t="n"/>
      <c r="DW33" s="37" t="n"/>
      <c r="DX33" s="599" t="n"/>
      <c r="DY33" s="131" t="n"/>
      <c r="DZ33" s="601" t="n"/>
      <c r="EA33" s="37" t="n"/>
      <c r="EB33" s="37" t="n"/>
      <c r="EC33" s="37" t="n"/>
      <c r="ED33" s="599" t="n"/>
      <c r="EE33" s="595" t="n"/>
      <c r="EF33" s="25" t="n"/>
    </row>
    <row r="34">
      <c r="C34" s="596">
        <f>C33+D34-D33</f>
        <v/>
      </c>
      <c r="D34" s="160">
        <f>AU34</f>
        <v/>
      </c>
      <c r="E34" s="87">
        <f>IF(DoC=V34,"Calc Date",IF(V34&lt;DoC,"PL","FL"))</f>
        <v/>
      </c>
      <c r="F34" s="310">
        <f>F33+1</f>
        <v/>
      </c>
      <c r="G34" s="31">
        <f>VLOOKUP(F34,C$10:D$148,2)</f>
        <v/>
      </c>
      <c r="H34" s="313">
        <f>H33</f>
        <v/>
      </c>
      <c r="I34" s="281">
        <f>I33</f>
        <v/>
      </c>
      <c r="J34" s="589">
        <f>I34*index/VLOOKUP($H34,CPI!A:E,4,FALSE)</f>
        <v/>
      </c>
      <c r="K34" s="589">
        <f>IF(L34="Linear",(J34-J33)/(G34-G33),0)</f>
        <v/>
      </c>
      <c r="L34" s="311" t="inlineStr">
        <is>
          <t>Flat</t>
        </is>
      </c>
      <c r="M34" s="137" t="n"/>
      <c r="N34" s="310">
        <f>N33+1</f>
        <v/>
      </c>
      <c r="O34" s="31">
        <f>O33+N34-N33</f>
        <v/>
      </c>
      <c r="P34" s="313">
        <f>P33</f>
        <v/>
      </c>
      <c r="Q34" s="281">
        <f>Q33</f>
        <v/>
      </c>
      <c r="R34" s="589">
        <f>Q34*index/VLOOKUP($P34,CPI!A:E,4,FALSE)</f>
        <v/>
      </c>
      <c r="S34" s="589">
        <f>IF(T34="Linear",(R34-R33)/(O34-O33),0)</f>
        <v/>
      </c>
      <c r="T34" s="311" t="inlineStr">
        <is>
          <t>Flat</t>
        </is>
      </c>
      <c r="U34" s="144" t="n"/>
      <c r="V34" s="6">
        <f>IF(AND($V33=DoA,MONTH(V33)&lt;3),DATE(YEAR(DoA),3,1),IF(AND(IFERROR(DATEDIF(V33,DoC,"M"),12)&lt;12,IFERROR(DATEDIF(V33,DoC,"M"),12)&gt;0),DoC,DATE(YEAR(V33)+(1-AND(YEAR(DoC)=Current,V33=DoC)-AND(V33=DoA,MONTH(V33)&lt;3)),3,1)))</f>
        <v/>
      </c>
      <c r="W34" s="31">
        <f>IF(V34=DoR_Pre,IF(MONTH(DoR_Pre)&gt;3,YEAR(DoR_Pre)+1,YEAR(DoR_Pre)),IF(MONTH(V34)&gt;3,Current,YEAR(V34)))</f>
        <v/>
      </c>
      <c r="X34" s="597">
        <f>IF(W34=Current,ROUND((V34-V33)/365.25,5),_xlfn.IFNA(INDEX(Summary!$A$5:$A$22,MATCH('LOE Sc1'!W34,Summary!$C$5:$C$22,0)),IF(W34=Ret_Yr_pre,ROUND((DoR_Pre-V33)/365.25,5),ROUND((V34-V33)/365.25,2))))</f>
        <v/>
      </c>
      <c r="Y34" s="55">
        <f>IF(AND(V34=DoC,MONTH(DoC)&lt;&gt;3),ROUNDDOWN(DATEDIF(DoB,V35,"M")/12,),ROUNDDOWN(DATEDIF(DoB,V34,"M")/12,))</f>
        <v/>
      </c>
      <c r="Z34" s="590" t="n"/>
      <c r="AA34" s="25">
        <f>MAX(RetAge_Pre-Y34,0)</f>
        <v/>
      </c>
      <c r="AB34" s="26">
        <f t="array" ref="AB34">IF(W34&gt;Ret_Yr_pre,0,_xlfn.IFNA(VLOOKUP(Y34,F$11:J$1000,5,),IF(AND(W34=Current,V34&gt;DoC,MONTH(DoC)&lt;&gt;3),AB33,AB33+INDEX(K$11:K$1000,MATCH(Y34,F$11:F$1000,1)+1))))</f>
        <v/>
      </c>
      <c r="AC34" s="590">
        <f>IF(V34&lt;DoC,AB34*VLOOKUP(YEAR(V34),CPI!A:E,4,FALSE)/index,AB34*real_i^INT(BP34))</f>
        <v/>
      </c>
      <c r="AD34" s="590">
        <f>$AC34/12*Bonus</f>
        <v/>
      </c>
      <c r="AE34" s="590">
        <f>IF($E34="FL",MedSub*m^INT(BP34),MedSub)*IF(Summary!$C$31="Y",1,0)*(W34&lt;=Ret_Yr_pre)*(Summary!C$31="Y")</f>
        <v/>
      </c>
      <c r="AF34" s="590">
        <f>IF(Summary!$C$30="Y",IF(E34&lt;&gt;"PL",VLOOKUP(Current,'Housing Allowance'!$A:$B,2,),VLOOKUP(YEAR($V34),'Housing Allowance'!$A:$B,2,)),0)*(W34&lt;=Ret_Yr_pre)</f>
        <v/>
      </c>
      <c r="AG34" s="590">
        <f>AC34*overtime</f>
        <v/>
      </c>
      <c r="AH34" s="590">
        <f>AC34*allow_1</f>
        <v/>
      </c>
      <c r="AI34" s="590">
        <f>(AB34&lt;&gt;0)*12*allow_2</f>
        <v/>
      </c>
      <c r="AJ34" s="590" t="n"/>
      <c r="AK34" s="581">
        <f>IF(YEAR(W34)&lt;=Ret_Yr_pre,SUM(AC34:AJ34),0)*IF($W34=Ret_Yr_pre,X34,1)</f>
        <v/>
      </c>
      <c r="AL34" s="581">
        <f>IF($W34&gt;=Ret_Yr_pre,pens_Pre*(GEPF_pre="Y"),0)*IF($W34=Ret_Yr_pre,1-$X34,1)*IF(Ret_Yr_pre&lt;Current,(_xlfn.IFNA(VLOOKUP($D34,CPI!$A:$E,2,FALSE),VLOOKUP(Current,CPI!$A:$E,2,FALSE))/VLOOKUP(Ret_Yr_pre,CPI!$A:$E,2,FALSE)),1)</f>
        <v/>
      </c>
      <c r="AM34" s="590">
        <f>$AC34*ee*IF($W34=Ret_Yr_pre,$X34,1)</f>
        <v/>
      </c>
      <c r="AN34" s="590">
        <f>$AC34*er*IF($W34=Ret_Yr_pre,$X34,1)</f>
        <v/>
      </c>
      <c r="AO34" s="590">
        <f>IF('LOE Sc1'!$W34=Ret_Yr_pre,Gratuity_Pre*(GEPF_pre="Y"),0)</f>
        <v/>
      </c>
      <c r="AP34" s="581">
        <f>AK34+AL34-$AM34-AN34*(GEPF_pre="Y")</f>
        <v/>
      </c>
      <c r="AQ34" s="590">
        <f>IF(DF34&lt;0,0,DF34)</f>
        <v/>
      </c>
      <c r="AR34" s="581">
        <f>(AP34-AQ34+AM34*(AM$7="Y")+AN34*(AN$7="Y"))*IF(W34&lt;Ret_Yr_pre,X34,1)+AO34</f>
        <v/>
      </c>
      <c r="AS34" s="595" t="n"/>
      <c r="AT34" s="6">
        <f>V34</f>
        <v/>
      </c>
      <c r="AU34" s="31">
        <f>W34</f>
        <v/>
      </c>
      <c r="AV34" s="598">
        <f>IF(AU34=Current,ROUND((AT34-AT33)/365.25,5),_xlfn.IFNA(INDEX(Summary!$A$55:$A$72,MATCH('LOE Sc1'!AU34,Summary!$C$55:$C$72,0)),IF(AU34=Ret_Yr_post,ROUND((DoR_Post-AT33)/365.25,5),ROUND((AT34-AT33)/365.25,2))))</f>
        <v/>
      </c>
      <c r="AW34" s="55">
        <f>Y34</f>
        <v/>
      </c>
      <c r="AX34" s="26">
        <f t="array" ref="AX34">IF(AU34&gt;Ret_Yr_post,0,_xlfn.IFNA(VLOOKUP(AW34,N$11:S$1000,5,),IF(AND(AU34=Current,AT34&gt;DoC,MONTH(DoC)&lt;&gt;3),AX33,AX33+INDEX(S$11:S$1000,MATCH(AW34,N$11:N$1000,1)+1))))</f>
        <v/>
      </c>
      <c r="AY34" s="590">
        <f>IF($V34&lt;DoC,AX34*VLOOKUP(YEAR($V34),CPI_Table,4,FALSE)/index,AX34*real_i^INT(BP34))</f>
        <v/>
      </c>
      <c r="AZ34" s="590">
        <f>$AY34/12*Bonus_Post*($AW34&lt;=RetAge_Post)</f>
        <v/>
      </c>
      <c r="BA34" s="590">
        <f>IF($E34="FL",MedSub*m^INT(BP34),MedSub)*IF(Summary!$C$81="Y",1,0)*($AU34&lt;=Ret_Yr_post)*(Summary!$C$81="Y")</f>
        <v/>
      </c>
      <c r="BB34" s="590">
        <f>IF(Summary!$C$80="Y",IF($E34&lt;&gt;"PL",VLOOKUP(Current,'Housing Allowance'!$A:$B,2,),VLOOKUP(YEAR($AT34),'Housing Allowance'!$A:$B,2,)),0)*($AU34&lt;=Ret_Yr_post)</f>
        <v/>
      </c>
      <c r="BC34" s="590">
        <f>AY34*overtime_post</f>
        <v/>
      </c>
      <c r="BD34" s="590">
        <f>$AY34*allow_1_post</f>
        <v/>
      </c>
      <c r="BE34" s="590">
        <f>($AY34&lt;&gt;0)*allow_2_post*12</f>
        <v/>
      </c>
      <c r="BF34" s="590" t="n"/>
      <c r="BG34" s="581">
        <f>IF(YEAR($V34)&lt;=Ret_Yr_post,SUM(AY34:BF34),0)*IF($W34=Ret_Yr_post,AV34,1)</f>
        <v/>
      </c>
      <c r="BH34" s="581">
        <f>IF($W34&gt;=Ret_Yr_post,pens_Post*(GEPF_pre="Y"),0)*IF($W34=Ret_Yr_post,1-$AV34,1)*IF(Ret_Yr_post&lt;Current,(_xlfn.IFNA(VLOOKUP($D34,CPI!$A:$E,2,FALSE),VLOOKUP(Current,CPI!$A:$E,2,FALSE))/VLOOKUP(Ret_Yr_post,CPI!$A:$E,2,FALSE)),1)</f>
        <v/>
      </c>
      <c r="BI34" s="590">
        <f>$AY34*ee_post*IF($W34=Ret_Yr_post,$AV34,1)</f>
        <v/>
      </c>
      <c r="BJ34" s="590">
        <f>$AY34*er_post*IF($W34=Ret_Yr_post,$AV34,1)</f>
        <v/>
      </c>
      <c r="BK34" s="590">
        <f>IF('LOE Sc1'!$W34=Ret_Yr_post,Gratuity_Post*(GEPF_post="Y"),0)</f>
        <v/>
      </c>
      <c r="BL34" s="581">
        <f>BG34+BH34-BI34-BJ34*(GEPF_post="Y")</f>
        <v/>
      </c>
      <c r="BM34" s="590">
        <f>IF(DM34&lt;0,0,DM34)</f>
        <v/>
      </c>
      <c r="BN34" s="581">
        <f>(BL34-BM34+BI34*(BI$7="Y")+BJ34*(BJ$7="Y"))*IF($W34&lt;Ret_Yr_post,AV34,1)+BK34</f>
        <v/>
      </c>
      <c r="BO34" s="591" t="n"/>
      <c r="BP34" s="592">
        <f>IF($E34="FL",IF($X34&lt;=DoC,DATEDIF(DoC,$V34,"M")/12,0),0)</f>
        <v/>
      </c>
      <c r="BQ34" s="592">
        <f>IF($E34="FL",(1+CPI)^INT(BP34),0)</f>
        <v/>
      </c>
      <c r="BR34" s="592">
        <f>IF($E34="FL",IF(($BP34-0.5)&gt;=0,1/(1+d)^($BP34-0.5),1/(1+d)^($BP34)),0)</f>
        <v/>
      </c>
      <c r="BS34" s="592" t="n"/>
      <c r="BT34" s="25">
        <f>IF(gender="M",VLOOKUP($Y34+pre_mort+IF(MONTH(DoC)&lt;MONTH(DoB),IF(MONTH(DoC)&lt;3,0,-1),IF(MONTH(DoB)&lt;3,-1,0)),'SALT LIFE TABLES'!$A$7:$E$106,2),VLOOKUP($Y34+pre_mort+IF(MONTH(DoC)&lt;MONTH(DoB),IF(MONTH(DoC)&lt;3,0,-1),IF(MONTH(DoB)&lt;3,-1,0)),'SALT LIFE TABLES'!$A$7:$E$106,4))</f>
        <v/>
      </c>
      <c r="BU34" s="592">
        <f>IF($E34="PL",1,BT34/BU$7)</f>
        <v/>
      </c>
      <c r="BV34" s="593" t="n"/>
      <c r="BW34" s="25">
        <f>IF(gender="M",VLOOKUP($Y34+post_mort+IF(MONTH(DoC)&lt;MONTH(DoB),IF(MONTH(DoC)&lt;3,0,-1),IF(MONTH(DoB)&lt;3,-1,0)),'SALT LIFE TABLES'!$A$7:$E$106,2),VLOOKUP($Y34+post_mort+IF(MONTH(DoC)&lt;MONTH(DoB),IF(MONTH(DoC)&lt;3,0,-1),IF(MONTH(DoB)&lt;3,-1,0)),'SALT LIFE TABLES'!$A$7:$E$106,4))</f>
        <v/>
      </c>
      <c r="BX34" s="592">
        <f>IF($E34="PL",1,BW34/BX$7)</f>
        <v/>
      </c>
      <c r="BY34" s="594" t="n"/>
      <c r="BZ34" s="592" t="n"/>
      <c r="CA34" s="592">
        <f>IF($E34="FL",$AR34*$BQ34*$BR34*$BU34,$AR34)</f>
        <v/>
      </c>
      <c r="CB34" s="592">
        <f>IF($E34="FL",$BN34*$BQ34*$BR34*$BX34,$BN34)</f>
        <v/>
      </c>
      <c r="CC34" s="592" t="n"/>
      <c r="CD34" s="592">
        <f>IF($E34="FL",$CA34*(1-pre_FL),$CA34*(1-pre_PL))</f>
        <v/>
      </c>
      <c r="CE34" s="592">
        <f>IF($E34="FL",$CB34*(1-post_FL),$CB34*(1-post_PL))</f>
        <v/>
      </c>
      <c r="CF34" s="592" t="n"/>
      <c r="CG34" s="599">
        <f>CD34-CE34</f>
        <v/>
      </c>
      <c r="CH34" s="599">
        <f>MIN(CG34,IF(W34=Ret_Yr_pre,1,$X34)*Cap)</f>
        <v/>
      </c>
      <c r="CI34" s="128" t="n"/>
      <c r="CJ34" s="37">
        <f>IF(D34&gt;Current,Current,D34)</f>
        <v/>
      </c>
      <c r="CK34" s="37">
        <f>MATCH($CJ34,Tax_Tables[Tax Year],0)</f>
        <v/>
      </c>
      <c r="CL34" s="600" t="n">
        <v>0</v>
      </c>
      <c r="CM34" s="600">
        <f t="array" ref="CM34">INDEX(Tax_Tables[[Limits]:[Limits]],$CK34+CM$8)</f>
        <v/>
      </c>
      <c r="CN34" s="600">
        <f t="array" ref="CN34">INDEX(Tax_Tables[[Limits]:[Limits]],$CK34+CN$8)</f>
        <v/>
      </c>
      <c r="CO34" s="600">
        <f t="array" ref="CO34">INDEX(Tax_Tables[[Limits]:[Limits]],$CK34+CO$8)</f>
        <v/>
      </c>
      <c r="CP34" s="600">
        <f t="array" ref="CP34">INDEX(Tax_Tables[[Limits]:[Limits]],$CK34+CP$8)</f>
        <v/>
      </c>
      <c r="CQ34" s="600">
        <f t="array" ref="CQ34">INDEX(Tax_Tables[[Limits]:[Limits]],$CK34+CQ$8)</f>
        <v/>
      </c>
      <c r="CR34" s="600">
        <f t="array" ref="CR34">INDEX(Tax_Tables[[Limits]:[Limits]],$CK34+CR$8)</f>
        <v/>
      </c>
      <c r="CS34" s="37">
        <f>INDEX(Rebate[&lt;65],MATCH($CJ34,Rebate[[Tax Year]:[Tax Year]],0))</f>
        <v/>
      </c>
      <c r="CT34" s="37">
        <f>INDEX(Rebate[&lt;75],MATCH($CJ34,Rebate[[Tax Year]:[Tax Year]],0))</f>
        <v/>
      </c>
      <c r="CU34" s="37">
        <f>INDEX(Rebate[&gt;75],MATCH($CJ34,Rebate[[Tax Year]:[Tax Year]],0))</f>
        <v/>
      </c>
      <c r="CV34" s="37">
        <f>INDEX(Tax_Credit[Principal],MATCH($CJ34,Tax_Credit[[Tax Year]:[Tax Year]],0))</f>
        <v/>
      </c>
      <c r="CW34" s="37">
        <f>INDEX(Tax_Credit[First Dependant],MATCH($CJ34,Tax_Credit[[Tax Year]:[Tax Year]],0))</f>
        <v/>
      </c>
      <c r="CX34" s="37">
        <f>INDEX(Tax_Credit[Each Additional],MATCH($CJ34,Tax_Credit[[Tax Year]:[Tax Year]],0))</f>
        <v/>
      </c>
      <c r="CY34" s="484">
        <f>Y34</f>
        <v/>
      </c>
      <c r="CZ34" s="601">
        <f>AP34</f>
        <v/>
      </c>
      <c r="DA34" s="37">
        <f t="array" ref="DA34">INDEX($CL34:$CR34,0,MATCH($CZ34,$CL34:$CR34,1))</f>
        <v/>
      </c>
      <c r="DB34" s="37">
        <f t="array" ref="DB34">IFERROR(INDEX(Tax_Tables[Percentages],$CK34+MATCH($DA34,$CL34:$CR34,0)-1),"")</f>
        <v/>
      </c>
      <c r="DC34" s="37">
        <f t="array" ref="DC34">IFERROR(INDEX(Tax_Tables[Tax],$CK34+MATCH($DA34,$CL34:$CR34,0)-1),"")</f>
        <v/>
      </c>
      <c r="DD34" s="37">
        <f>IF(CY34&lt;65,CS34,IF(CY34&lt;75,CT34,CU34))</f>
        <v/>
      </c>
      <c r="DE34" s="37">
        <f>CV34*(Summary!$C$31="Y")+(Summary!$C$31="Y")*(CW34*(Pre_MDep&gt;=1)+CX34*MAX(Pre_MDep-1,0))</f>
        <v/>
      </c>
      <c r="DF34" s="599">
        <f>IFERROR(MAX(DB34*(CZ34-DA34)+DC34-DD34-DE34*12,0),"")</f>
        <v/>
      </c>
      <c r="DG34" s="602" t="n"/>
      <c r="DH34" s="601">
        <f>BL34</f>
        <v/>
      </c>
      <c r="DI34" s="37">
        <f t="array" ref="DI34">INDEX($CL34:$CR34,0,MATCH($DH34,$CL34:$CR34,1))</f>
        <v/>
      </c>
      <c r="DJ34" s="37">
        <f t="array" ref="DJ34">IFERROR(INDEX(Tax_Tables[Percentages],$CK34+MATCH($DI34,$CL34:$CR34,0)-1),"")</f>
        <v/>
      </c>
      <c r="DK34" s="37">
        <f t="array" ref="DK34">IFERROR(INDEX(Tax_Tables[Tax],$CK34+MATCH($DI34,$CL34:$CR34,0)-1),"")</f>
        <v/>
      </c>
      <c r="DL34" s="37">
        <f>CV34*(Summary!$C$81="Y")+(Summary!$C$81="Y")*(CW34*(Post_MDep&gt;=1)+CX34*MAX(Post_MDep-1,0))</f>
        <v/>
      </c>
      <c r="DM34" s="599">
        <f>IFERROR(MAX(DJ34*(DH34-DI34)+DK34-DD34-DL34*12,0),"")</f>
        <v/>
      </c>
      <c r="DN34" s="601" t="n"/>
      <c r="DO34" s="37" t="n"/>
      <c r="DP34" s="37" t="n"/>
      <c r="DQ34" s="37" t="n"/>
      <c r="DR34" s="37" t="n"/>
      <c r="DS34" s="37" t="n"/>
      <c r="DT34" s="37" t="n"/>
      <c r="DU34" s="37" t="n"/>
      <c r="DV34" s="37" t="n"/>
      <c r="DW34" s="37" t="n"/>
      <c r="DX34" s="599" t="n"/>
      <c r="DY34" s="131" t="n"/>
      <c r="DZ34" s="601" t="n"/>
      <c r="EA34" s="37" t="n"/>
      <c r="EB34" s="37" t="n"/>
      <c r="EC34" s="37" t="n"/>
      <c r="ED34" s="599" t="n"/>
      <c r="EE34" s="595" t="n"/>
      <c r="EF34" s="25" t="n"/>
    </row>
    <row r="35">
      <c r="C35" s="596">
        <f>C34+D35-D34</f>
        <v/>
      </c>
      <c r="D35" s="160">
        <f>AU35</f>
        <v/>
      </c>
      <c r="E35" s="87">
        <f>IF(DoC=V35,"Calc Date",IF(V35&lt;DoC,"PL","FL"))</f>
        <v/>
      </c>
      <c r="F35" s="310">
        <f>F34+1</f>
        <v/>
      </c>
      <c r="G35" s="31">
        <f>VLOOKUP(F35,C$10:D$148,2)</f>
        <v/>
      </c>
      <c r="H35" s="313">
        <f>H34</f>
        <v/>
      </c>
      <c r="I35" s="281">
        <f>I34</f>
        <v/>
      </c>
      <c r="J35" s="589">
        <f>I35*index/VLOOKUP($H35,CPI!A:E,4,FALSE)</f>
        <v/>
      </c>
      <c r="K35" s="589">
        <f>IF(L35="Linear",(J35-J34)/(G35-G34),0)</f>
        <v/>
      </c>
      <c r="L35" s="311" t="inlineStr">
        <is>
          <t>Flat</t>
        </is>
      </c>
      <c r="M35" s="137" t="n"/>
      <c r="N35" s="310">
        <f>N34+1</f>
        <v/>
      </c>
      <c r="O35" s="31">
        <f>O34+N35-N34</f>
        <v/>
      </c>
      <c r="P35" s="313">
        <f>P34</f>
        <v/>
      </c>
      <c r="Q35" s="281">
        <f>Q34</f>
        <v/>
      </c>
      <c r="R35" s="589">
        <f>Q35*index/VLOOKUP($P35,CPI!A:E,4,FALSE)</f>
        <v/>
      </c>
      <c r="S35" s="589">
        <f>IF(T35="Linear",(R35-R34)/(O35-O34),0)</f>
        <v/>
      </c>
      <c r="T35" s="311" t="inlineStr">
        <is>
          <t>Flat</t>
        </is>
      </c>
      <c r="U35" s="144" t="n"/>
      <c r="V35" s="6">
        <f>IF(AND($V34=DoA,MONTH(V34)&lt;3),DATE(YEAR(DoA),3,1),IF(AND(IFERROR(DATEDIF(V34,DoC,"M"),12)&lt;12,IFERROR(DATEDIF(V34,DoC,"M"),12)&gt;0),DoC,DATE(YEAR(V34)+(1-AND(YEAR(DoC)=Current,V34=DoC)-AND(V34=DoA,MONTH(V34)&lt;3)),3,1)))</f>
        <v/>
      </c>
      <c r="W35" s="31">
        <f>IF(V35=DoR_Pre,IF(MONTH(DoR_Pre)&gt;3,YEAR(DoR_Pre)+1,YEAR(DoR_Pre)),IF(MONTH(V35)&gt;3,Current,YEAR(V35)))</f>
        <v/>
      </c>
      <c r="X35" s="597">
        <f>IF(W35=Current,ROUND((V35-V34)/365.25,5),_xlfn.IFNA(INDEX(Summary!$A$5:$A$22,MATCH('LOE Sc1'!W35,Summary!$C$5:$C$22,0)),IF(W35=Ret_Yr_pre,ROUND((DoR_Pre-V34)/365.25,5),ROUND((V35-V34)/365.25,2))))</f>
        <v/>
      </c>
      <c r="Y35" s="55">
        <f>IF(AND(V35=DoC,MONTH(DoC)&lt;&gt;3),ROUNDDOWN(DATEDIF(DoB,V36,"M")/12,),ROUNDDOWN(DATEDIF(DoB,V35,"M")/12,))</f>
        <v/>
      </c>
      <c r="Z35" s="590" t="n"/>
      <c r="AA35" s="25">
        <f>MAX(RetAge_Pre-Y35,0)</f>
        <v/>
      </c>
      <c r="AB35" s="26">
        <f t="array" ref="AB35">IF(W35&gt;Ret_Yr_pre,0,_xlfn.IFNA(VLOOKUP(Y35,F$11:J$1000,5,),IF(AND(W35=Current,V35&gt;DoC,MONTH(DoC)&lt;&gt;3),AB34,AB34+INDEX(K$11:K$1000,MATCH(Y35,F$11:F$1000,1)+1))))</f>
        <v/>
      </c>
      <c r="AC35" s="590">
        <f>IF(V35&lt;DoC,AB35*VLOOKUP(YEAR(V35),CPI!A:E,4,FALSE)/index,AB35*real_i^INT(BP35))</f>
        <v/>
      </c>
      <c r="AD35" s="590">
        <f>$AC35/12*Bonus</f>
        <v/>
      </c>
      <c r="AE35" s="590">
        <f>IF($E35="FL",MedSub*m^INT(BP35),MedSub)*IF(Summary!$C$31="Y",1,0)*(W35&lt;=Ret_Yr_pre)*(Summary!C$31="Y")</f>
        <v/>
      </c>
      <c r="AF35" s="590">
        <f>IF(Summary!$C$30="Y",IF(E35&lt;&gt;"PL",VLOOKUP(Current,'Housing Allowance'!$A:$B,2,),VLOOKUP(YEAR($V35),'Housing Allowance'!$A:$B,2,)),0)*(W35&lt;=Ret_Yr_pre)</f>
        <v/>
      </c>
      <c r="AG35" s="590">
        <f>AC35*overtime</f>
        <v/>
      </c>
      <c r="AH35" s="590">
        <f>AC35*allow_1</f>
        <v/>
      </c>
      <c r="AI35" s="590">
        <f>(AB35&lt;&gt;0)*12*allow_2</f>
        <v/>
      </c>
      <c r="AJ35" s="590" t="n"/>
      <c r="AK35" s="581">
        <f>IF(YEAR(W35)&lt;=Ret_Yr_pre,SUM(AC35:AJ35),0)*IF($W35=Ret_Yr_pre,X35,1)</f>
        <v/>
      </c>
      <c r="AL35" s="581">
        <f>IF($W35&gt;=Ret_Yr_pre,pens_Pre*(GEPF_pre="Y"),0)*IF($W35=Ret_Yr_pre,1-$X35,1)*IF(Ret_Yr_pre&lt;Current,(_xlfn.IFNA(VLOOKUP($D35,CPI!$A:$E,2,FALSE),VLOOKUP(Current,CPI!$A:$E,2,FALSE))/VLOOKUP(Ret_Yr_pre,CPI!$A:$E,2,FALSE)),1)</f>
        <v/>
      </c>
      <c r="AM35" s="590">
        <f>$AC35*ee*IF($W35=Ret_Yr_pre,$X35,1)</f>
        <v/>
      </c>
      <c r="AN35" s="590">
        <f>$AC35*er*IF($W35=Ret_Yr_pre,$X35,1)</f>
        <v/>
      </c>
      <c r="AO35" s="590">
        <f>IF('LOE Sc1'!$W35=Ret_Yr_pre,Gratuity_Pre*(GEPF_pre="Y"),0)</f>
        <v/>
      </c>
      <c r="AP35" s="581">
        <f>AK35+AL35-$AM35-AN35*(GEPF_pre="Y")</f>
        <v/>
      </c>
      <c r="AQ35" s="590">
        <f>IF(DF35&lt;0,0,DF35)</f>
        <v/>
      </c>
      <c r="AR35" s="581">
        <f>(AP35-AQ35+AM35*(AM$7="Y")+AN35*(AN$7="Y"))*IF(W35&lt;Ret_Yr_pre,X35,1)+AO35</f>
        <v/>
      </c>
      <c r="AS35" s="595" t="n"/>
      <c r="AT35" s="6">
        <f>V35</f>
        <v/>
      </c>
      <c r="AU35" s="31">
        <f>W35</f>
        <v/>
      </c>
      <c r="AV35" s="598">
        <f>IF(AU35=Current,ROUND((AT35-AT34)/365.25,5),_xlfn.IFNA(INDEX(Summary!$A$55:$A$72,MATCH('LOE Sc1'!AU35,Summary!$C$55:$C$72,0)),IF(AU35=Ret_Yr_post,ROUND((DoR_Post-AT34)/365.25,5),ROUND((AT35-AT34)/365.25,2))))</f>
        <v/>
      </c>
      <c r="AW35" s="55">
        <f>Y35</f>
        <v/>
      </c>
      <c r="AX35" s="26">
        <f t="array" ref="AX35">IF(AU35&gt;Ret_Yr_post,0,_xlfn.IFNA(VLOOKUP(AW35,N$11:S$1000,5,),IF(AND(AU35=Current,AT35&gt;DoC,MONTH(DoC)&lt;&gt;3),AX34,AX34+INDEX(S$11:S$1000,MATCH(AW35,N$11:N$1000,1)+1))))</f>
        <v/>
      </c>
      <c r="AY35" s="590">
        <f>IF($V35&lt;DoC,AX35*VLOOKUP(YEAR($V35),CPI_Table,4,FALSE)/index,AX35*real_i^INT(BP35))</f>
        <v/>
      </c>
      <c r="AZ35" s="590">
        <f>$AY35/12*Bonus_Post*($AW35&lt;=RetAge_Post)</f>
        <v/>
      </c>
      <c r="BA35" s="590">
        <f>IF($E35="FL",MedSub*m^INT(BP35),MedSub)*IF(Summary!$C$81="Y",1,0)*($AU35&lt;=Ret_Yr_post)*(Summary!$C$81="Y")</f>
        <v/>
      </c>
      <c r="BB35" s="590">
        <f>IF(Summary!$C$80="Y",IF($E35&lt;&gt;"PL",VLOOKUP(Current,'Housing Allowance'!$A:$B,2,),VLOOKUP(YEAR($AT35),'Housing Allowance'!$A:$B,2,)),0)*($AU35&lt;=Ret_Yr_post)</f>
        <v/>
      </c>
      <c r="BC35" s="590">
        <f>AY35*overtime_post</f>
        <v/>
      </c>
      <c r="BD35" s="590">
        <f>$AY35*allow_1_post</f>
        <v/>
      </c>
      <c r="BE35" s="590">
        <f>($AY35&lt;&gt;0)*allow_2_post*12</f>
        <v/>
      </c>
      <c r="BF35" s="590" t="n"/>
      <c r="BG35" s="581">
        <f>IF(YEAR($V35)&lt;=Ret_Yr_post,SUM(AY35:BF35),0)*IF($W35=Ret_Yr_post,AV35,1)</f>
        <v/>
      </c>
      <c r="BH35" s="581">
        <f>IF($W35&gt;=Ret_Yr_post,pens_Post*(GEPF_pre="Y"),0)*IF($W35=Ret_Yr_post,1-$AV35,1)*IF(Ret_Yr_post&lt;Current,(_xlfn.IFNA(VLOOKUP($D35,CPI!$A:$E,2,FALSE),VLOOKUP(Current,CPI!$A:$E,2,FALSE))/VLOOKUP(Ret_Yr_post,CPI!$A:$E,2,FALSE)),1)</f>
        <v/>
      </c>
      <c r="BI35" s="590">
        <f>$AY35*ee_post*IF($W35=Ret_Yr_post,$AV35,1)</f>
        <v/>
      </c>
      <c r="BJ35" s="590">
        <f>$AY35*er_post*IF($W35=Ret_Yr_post,$AV35,1)</f>
        <v/>
      </c>
      <c r="BK35" s="590">
        <f>IF('LOE Sc1'!$W35=Ret_Yr_post,Gratuity_Post*(GEPF_post="Y"),0)</f>
        <v/>
      </c>
      <c r="BL35" s="581">
        <f>BG35+BH35-BI35-BJ35*(GEPF_post="Y")</f>
        <v/>
      </c>
      <c r="BM35" s="590">
        <f>IF(DM35&lt;0,0,DM35)</f>
        <v/>
      </c>
      <c r="BN35" s="581">
        <f>(BL35-BM35+BI35*(BI$7="Y")+BJ35*(BJ$7="Y"))*IF($W35&lt;Ret_Yr_post,AV35,1)+BK35</f>
        <v/>
      </c>
      <c r="BO35" s="591" t="n"/>
      <c r="BP35" s="592">
        <f>IF($E35="FL",IF($X35&lt;=DoC,DATEDIF(DoC,$V35,"M")/12,0),0)</f>
        <v/>
      </c>
      <c r="BQ35" s="592">
        <f>IF($E35="FL",(1+CPI)^INT(BP35),0)</f>
        <v/>
      </c>
      <c r="BR35" s="592">
        <f>IF($E35="FL",IF(($BP35-0.5)&gt;=0,1/(1+d)^($BP35-0.5),1/(1+d)^($BP35)),0)</f>
        <v/>
      </c>
      <c r="BS35" s="592" t="n"/>
      <c r="BT35" s="25">
        <f>IF(gender="M",VLOOKUP($Y35+pre_mort+IF(MONTH(DoC)&lt;MONTH(DoB),IF(MONTH(DoC)&lt;3,0,-1),IF(MONTH(DoB)&lt;3,-1,0)),'SALT LIFE TABLES'!$A$7:$E$106,2),VLOOKUP($Y35+pre_mort+IF(MONTH(DoC)&lt;MONTH(DoB),IF(MONTH(DoC)&lt;3,0,-1),IF(MONTH(DoB)&lt;3,-1,0)),'SALT LIFE TABLES'!$A$7:$E$106,4))</f>
        <v/>
      </c>
      <c r="BU35" s="592">
        <f>IF($E35="PL",1,BT35/BU$7)</f>
        <v/>
      </c>
      <c r="BV35" s="593" t="n"/>
      <c r="BW35" s="25">
        <f>IF(gender="M",VLOOKUP($Y35+post_mort+IF(MONTH(DoC)&lt;MONTH(DoB),IF(MONTH(DoC)&lt;3,0,-1),IF(MONTH(DoB)&lt;3,-1,0)),'SALT LIFE TABLES'!$A$7:$E$106,2),VLOOKUP($Y35+post_mort+IF(MONTH(DoC)&lt;MONTH(DoB),IF(MONTH(DoC)&lt;3,0,-1),IF(MONTH(DoB)&lt;3,-1,0)),'SALT LIFE TABLES'!$A$7:$E$106,4))</f>
        <v/>
      </c>
      <c r="BX35" s="592">
        <f>IF($E35="PL",1,BW35/BX$7)</f>
        <v/>
      </c>
      <c r="BY35" s="594" t="n"/>
      <c r="BZ35" s="592" t="n"/>
      <c r="CA35" s="592">
        <f>IF($E35="FL",$AR35*$BQ35*$BR35*$BU35,$AR35)</f>
        <v/>
      </c>
      <c r="CB35" s="592">
        <f>IF($E35="FL",$BN35*$BQ35*$BR35*$BX35,$BN35)</f>
        <v/>
      </c>
      <c r="CC35" s="592" t="n"/>
      <c r="CD35" s="592">
        <f>IF($E35="FL",$CA35*(1-pre_FL),$CA35*(1-pre_PL))</f>
        <v/>
      </c>
      <c r="CE35" s="592">
        <f>IF($E35="FL",$CB35*(1-post_FL),$CB35*(1-post_PL))</f>
        <v/>
      </c>
      <c r="CF35" s="592" t="n"/>
      <c r="CG35" s="599">
        <f>CD35-CE35</f>
        <v/>
      </c>
      <c r="CH35" s="599">
        <f>MIN(CG35,IF(W35=Ret_Yr_pre,1,$X35)*Cap)</f>
        <v/>
      </c>
      <c r="CI35" s="128" t="n"/>
      <c r="CJ35" s="37">
        <f>IF(D35&gt;Current,Current,D35)</f>
        <v/>
      </c>
      <c r="CK35" s="37">
        <f>MATCH($CJ35,Tax_Tables[Tax Year],0)</f>
        <v/>
      </c>
      <c r="CL35" s="600" t="n">
        <v>0</v>
      </c>
      <c r="CM35" s="600">
        <f t="array" ref="CM35">INDEX(Tax_Tables[[Limits]:[Limits]],$CK35+CM$8)</f>
        <v/>
      </c>
      <c r="CN35" s="600">
        <f t="array" ref="CN35">INDEX(Tax_Tables[[Limits]:[Limits]],$CK35+CN$8)</f>
        <v/>
      </c>
      <c r="CO35" s="600">
        <f t="array" ref="CO35">INDEX(Tax_Tables[[Limits]:[Limits]],$CK35+CO$8)</f>
        <v/>
      </c>
      <c r="CP35" s="600">
        <f t="array" ref="CP35">INDEX(Tax_Tables[[Limits]:[Limits]],$CK35+CP$8)</f>
        <v/>
      </c>
      <c r="CQ35" s="600">
        <f t="array" ref="CQ35">INDEX(Tax_Tables[[Limits]:[Limits]],$CK35+CQ$8)</f>
        <v/>
      </c>
      <c r="CR35" s="600">
        <f t="array" ref="CR35">INDEX(Tax_Tables[[Limits]:[Limits]],$CK35+CR$8)</f>
        <v/>
      </c>
      <c r="CS35" s="37">
        <f>INDEX(Rebate[&lt;65],MATCH($CJ35,Rebate[[Tax Year]:[Tax Year]],0))</f>
        <v/>
      </c>
      <c r="CT35" s="37">
        <f>INDEX(Rebate[&lt;75],MATCH($CJ35,Rebate[[Tax Year]:[Tax Year]],0))</f>
        <v/>
      </c>
      <c r="CU35" s="37">
        <f>INDEX(Rebate[&gt;75],MATCH($CJ35,Rebate[[Tax Year]:[Tax Year]],0))</f>
        <v/>
      </c>
      <c r="CV35" s="37">
        <f>INDEX(Tax_Credit[Principal],MATCH($CJ35,Tax_Credit[[Tax Year]:[Tax Year]],0))</f>
        <v/>
      </c>
      <c r="CW35" s="37">
        <f>INDEX(Tax_Credit[First Dependant],MATCH($CJ35,Tax_Credit[[Tax Year]:[Tax Year]],0))</f>
        <v/>
      </c>
      <c r="CX35" s="37">
        <f>INDEX(Tax_Credit[Each Additional],MATCH($CJ35,Tax_Credit[[Tax Year]:[Tax Year]],0))</f>
        <v/>
      </c>
      <c r="CY35" s="484">
        <f>Y35</f>
        <v/>
      </c>
      <c r="CZ35" s="601">
        <f>AP35</f>
        <v/>
      </c>
      <c r="DA35" s="37">
        <f t="array" ref="DA35">INDEX($CL35:$CR35,0,MATCH($CZ35,$CL35:$CR35,1))</f>
        <v/>
      </c>
      <c r="DB35" s="37">
        <f t="array" ref="DB35">IFERROR(INDEX(Tax_Tables[Percentages],$CK35+MATCH($DA35,$CL35:$CR35,0)-1),"")</f>
        <v/>
      </c>
      <c r="DC35" s="37">
        <f t="array" ref="DC35">IFERROR(INDEX(Tax_Tables[Tax],$CK35+MATCH($DA35,$CL35:$CR35,0)-1),"")</f>
        <v/>
      </c>
      <c r="DD35" s="37">
        <f>IF(CY35&lt;65,CS35,IF(CY35&lt;75,CT35,CU35))</f>
        <v/>
      </c>
      <c r="DE35" s="37">
        <f>CV35*(Summary!$C$31="Y")+(Summary!$C$31="Y")*(CW35*(Pre_MDep&gt;=1)+CX35*MAX(Pre_MDep-1,0))</f>
        <v/>
      </c>
      <c r="DF35" s="599">
        <f>IFERROR(MAX(DB35*(CZ35-DA35)+DC35-DD35-DE35*12,0),"")</f>
        <v/>
      </c>
      <c r="DG35" s="602" t="n"/>
      <c r="DH35" s="601">
        <f>BL35</f>
        <v/>
      </c>
      <c r="DI35" s="37">
        <f t="array" ref="DI35">INDEX($CL35:$CR35,0,MATCH($DH35,$CL35:$CR35,1))</f>
        <v/>
      </c>
      <c r="DJ35" s="37">
        <f t="array" ref="DJ35">IFERROR(INDEX(Tax_Tables[Percentages],$CK35+MATCH($DI35,$CL35:$CR35,0)-1),"")</f>
        <v/>
      </c>
      <c r="DK35" s="37">
        <f t="array" ref="DK35">IFERROR(INDEX(Tax_Tables[Tax],$CK35+MATCH($DI35,$CL35:$CR35,0)-1),"")</f>
        <v/>
      </c>
      <c r="DL35" s="37">
        <f>CV35*(Summary!$C$81="Y")+(Summary!$C$81="Y")*(CW35*(Post_MDep&gt;=1)+CX35*MAX(Post_MDep-1,0))</f>
        <v/>
      </c>
      <c r="DM35" s="599">
        <f>IFERROR(MAX(DJ35*(DH35-DI35)+DK35-DD35-DL35*12,0),"")</f>
        <v/>
      </c>
      <c r="DN35" s="601" t="n"/>
      <c r="DO35" s="37" t="n"/>
      <c r="DP35" s="37" t="n"/>
      <c r="DQ35" s="37" t="n"/>
      <c r="DR35" s="37" t="n"/>
      <c r="DS35" s="37" t="n"/>
      <c r="DT35" s="37" t="n"/>
      <c r="DU35" s="37" t="n"/>
      <c r="DV35" s="37" t="n"/>
      <c r="DW35" s="37" t="n"/>
      <c r="DX35" s="599" t="n"/>
      <c r="DY35" s="131" t="n"/>
      <c r="DZ35" s="601" t="n"/>
      <c r="EA35" s="37" t="n"/>
      <c r="EB35" s="37" t="n"/>
      <c r="EC35" s="37" t="n"/>
      <c r="ED35" s="599" t="n"/>
      <c r="EE35" s="595" t="n"/>
      <c r="EF35" s="25" t="n"/>
    </row>
    <row r="36">
      <c r="C36" s="596">
        <f>C35+D36-D35</f>
        <v/>
      </c>
      <c r="D36" s="160">
        <f>AU36</f>
        <v/>
      </c>
      <c r="E36" s="87">
        <f>IF(DoC=V36,"Calc Date",IF(V36&lt;DoC,"PL","FL"))</f>
        <v/>
      </c>
      <c r="F36" s="310">
        <f>F35+1</f>
        <v/>
      </c>
      <c r="G36" s="31">
        <f>VLOOKUP(F36,C$10:D$148,2)</f>
        <v/>
      </c>
      <c r="H36" s="313">
        <f>H35</f>
        <v/>
      </c>
      <c r="I36" s="281">
        <f>I35</f>
        <v/>
      </c>
      <c r="J36" s="589">
        <f>I36*index/VLOOKUP($H36,CPI!A:E,4,FALSE)</f>
        <v/>
      </c>
      <c r="K36" s="589">
        <f>IF(L36="Linear",(J36-J35)/(G36-G35),0)</f>
        <v/>
      </c>
      <c r="L36" s="311" t="inlineStr">
        <is>
          <t>Flat</t>
        </is>
      </c>
      <c r="M36" s="137" t="n"/>
      <c r="N36" s="310">
        <f>N35+1</f>
        <v/>
      </c>
      <c r="O36" s="31">
        <f>O35+N36-N35</f>
        <v/>
      </c>
      <c r="P36" s="313">
        <f>P35</f>
        <v/>
      </c>
      <c r="Q36" s="281">
        <f>Q35</f>
        <v/>
      </c>
      <c r="R36" s="589">
        <f>Q36*index/VLOOKUP($P36,CPI!A:E,4,FALSE)</f>
        <v/>
      </c>
      <c r="S36" s="589">
        <f>IF(T36="Linear",(R36-R35)/(O36-O35),0)</f>
        <v/>
      </c>
      <c r="T36" s="311" t="inlineStr">
        <is>
          <t>Flat</t>
        </is>
      </c>
      <c r="U36" s="144" t="n"/>
      <c r="V36" s="6">
        <f>IF(AND($V35=DoA,MONTH(V35)&lt;3),DATE(YEAR(DoA),3,1),IF(AND(IFERROR(DATEDIF(V35,DoC,"M"),12)&lt;12,IFERROR(DATEDIF(V35,DoC,"M"),12)&gt;0),DoC,DATE(YEAR(V35)+(1-AND(YEAR(DoC)=Current,V35=DoC)-AND(V35=DoA,MONTH(V35)&lt;3)),3,1)))</f>
        <v/>
      </c>
      <c r="W36" s="31">
        <f>IF(V36=DoR_Pre,IF(MONTH(DoR_Pre)&gt;3,YEAR(DoR_Pre)+1,YEAR(DoR_Pre)),IF(MONTH(V36)&gt;3,Current,YEAR(V36)))</f>
        <v/>
      </c>
      <c r="X36" s="597">
        <f>IF(W36=Current,ROUND((V36-V35)/365.25,5),_xlfn.IFNA(INDEX(Summary!$A$5:$A$22,MATCH('LOE Sc1'!W36,Summary!$C$5:$C$22,0)),IF(W36=Ret_Yr_pre,ROUND((DoR_Pre-V35)/365.25,5),ROUND((V36-V35)/365.25,2))))</f>
        <v/>
      </c>
      <c r="Y36" s="55">
        <f>IF(AND(V36=DoC,MONTH(DoC)&lt;&gt;3),ROUNDDOWN(DATEDIF(DoB,V37,"M")/12,),ROUNDDOWN(DATEDIF(DoB,V36,"M")/12,))</f>
        <v/>
      </c>
      <c r="Z36" s="590" t="n"/>
      <c r="AA36" s="25">
        <f>MAX(RetAge_Pre-Y36,0)</f>
        <v/>
      </c>
      <c r="AB36" s="26">
        <f t="array" ref="AB36">IF(W36&gt;Ret_Yr_pre,0,_xlfn.IFNA(VLOOKUP(Y36,F$11:J$1000,5,),IF(AND(W36=Current,V36&gt;DoC,MONTH(DoC)&lt;&gt;3),AB35,AB35+INDEX(K$11:K$1000,MATCH(Y36,F$11:F$1000,1)+1))))</f>
        <v/>
      </c>
      <c r="AC36" s="590">
        <f>IF(V36&lt;DoC,AB36*VLOOKUP(YEAR(V36),CPI!A:E,4,FALSE)/index,AB36*real_i^INT(BP36))</f>
        <v/>
      </c>
      <c r="AD36" s="590">
        <f>$AC36/12*Bonus</f>
        <v/>
      </c>
      <c r="AE36" s="590">
        <f>IF($E36="FL",MedSub*m^INT(BP36),MedSub)*IF(Summary!$C$31="Y",1,0)*(W36&lt;=Ret_Yr_pre)*(Summary!C$31="Y")</f>
        <v/>
      </c>
      <c r="AF36" s="590">
        <f>IF(Summary!$C$30="Y",IF(E36&lt;&gt;"PL",VLOOKUP(Current,'Housing Allowance'!$A:$B,2,),VLOOKUP(YEAR($V36),'Housing Allowance'!$A:$B,2,)),0)*(W36&lt;=Ret_Yr_pre)</f>
        <v/>
      </c>
      <c r="AG36" s="590">
        <f>AC36*overtime</f>
        <v/>
      </c>
      <c r="AH36" s="590">
        <f>AC36*allow_1</f>
        <v/>
      </c>
      <c r="AI36" s="590">
        <f>(AB36&lt;&gt;0)*12*allow_2</f>
        <v/>
      </c>
      <c r="AJ36" s="590" t="n"/>
      <c r="AK36" s="581">
        <f>IF(YEAR(W36)&lt;=Ret_Yr_pre,SUM(AC36:AJ36),0)*IF($W36=Ret_Yr_pre,X36,1)</f>
        <v/>
      </c>
      <c r="AL36" s="581">
        <f>IF($W36&gt;=Ret_Yr_pre,pens_Pre*(GEPF_pre="Y"),0)*IF($W36=Ret_Yr_pre,1-$X36,1)*IF(Ret_Yr_pre&lt;Current,(_xlfn.IFNA(VLOOKUP($D36,CPI!$A:$E,2,FALSE),VLOOKUP(Current,CPI!$A:$E,2,FALSE))/VLOOKUP(Ret_Yr_pre,CPI!$A:$E,2,FALSE)),1)</f>
        <v/>
      </c>
      <c r="AM36" s="590">
        <f>$AC36*ee*IF($W36=Ret_Yr_pre,$X36,1)</f>
        <v/>
      </c>
      <c r="AN36" s="590">
        <f>$AC36*er*IF($W36=Ret_Yr_pre,$X36,1)</f>
        <v/>
      </c>
      <c r="AO36" s="590">
        <f>IF('LOE Sc1'!$W36=Ret_Yr_pre,Gratuity_Pre*(GEPF_pre="Y"),0)</f>
        <v/>
      </c>
      <c r="AP36" s="581">
        <f>AK36+AL36-$AM36-AN36*(GEPF_pre="Y")</f>
        <v/>
      </c>
      <c r="AQ36" s="590">
        <f>IF(DF36&lt;0,0,DF36)</f>
        <v/>
      </c>
      <c r="AR36" s="581">
        <f>(AP36-AQ36+AM36*(AM$7="Y")+AN36*(AN$7="Y"))*IF(W36&lt;Ret_Yr_pre,X36,1)+AO36</f>
        <v/>
      </c>
      <c r="AS36" s="595" t="n"/>
      <c r="AT36" s="6">
        <f>V36</f>
        <v/>
      </c>
      <c r="AU36" s="31">
        <f>W36</f>
        <v/>
      </c>
      <c r="AV36" s="598">
        <f>IF(AU36=Current,ROUND((AT36-AT35)/365.25,5),_xlfn.IFNA(INDEX(Summary!$A$55:$A$72,MATCH('LOE Sc1'!AU36,Summary!$C$55:$C$72,0)),IF(AU36=Ret_Yr_post,ROUND((DoR_Post-AT35)/365.25,5),ROUND((AT36-AT35)/365.25,2))))</f>
        <v/>
      </c>
      <c r="AW36" s="55">
        <f>Y36</f>
        <v/>
      </c>
      <c r="AX36" s="26">
        <f t="array" ref="AX36">IF(AU36&gt;Ret_Yr_post,0,_xlfn.IFNA(VLOOKUP(AW36,N$11:S$1000,5,),IF(AND(AU36=Current,AT36&gt;DoC,MONTH(DoC)&lt;&gt;3),AX35,AX35+INDEX(S$11:S$1000,MATCH(AW36,N$11:N$1000,1)+1))))</f>
        <v/>
      </c>
      <c r="AY36" s="590">
        <f>IF($V36&lt;DoC,AX36*VLOOKUP(YEAR($V36),CPI_Table,4,FALSE)/index,AX36*real_i^INT(BP36))</f>
        <v/>
      </c>
      <c r="AZ36" s="590">
        <f>$AY36/12*Bonus_Post*($AW36&lt;=RetAge_Post)</f>
        <v/>
      </c>
      <c r="BA36" s="590">
        <f>IF($E36="FL",MedSub*m^INT(BP36),MedSub)*IF(Summary!$C$81="Y",1,0)*($AU36&lt;=Ret_Yr_post)*(Summary!$C$81="Y")</f>
        <v/>
      </c>
      <c r="BB36" s="590">
        <f>IF(Summary!$C$80="Y",IF($E36&lt;&gt;"PL",VLOOKUP(Current,'Housing Allowance'!$A:$B,2,),VLOOKUP(YEAR($AT36),'Housing Allowance'!$A:$B,2,)),0)*($AU36&lt;=Ret_Yr_post)</f>
        <v/>
      </c>
      <c r="BC36" s="590">
        <f>AY36*overtime_post</f>
        <v/>
      </c>
      <c r="BD36" s="590">
        <f>$AY36*allow_1_post</f>
        <v/>
      </c>
      <c r="BE36" s="590">
        <f>($AY36&lt;&gt;0)*allow_2_post*12</f>
        <v/>
      </c>
      <c r="BF36" s="590" t="n"/>
      <c r="BG36" s="581">
        <f>IF(YEAR($V36)&lt;=Ret_Yr_post,SUM(AY36:BF36),0)*IF($W36=Ret_Yr_post,AV36,1)</f>
        <v/>
      </c>
      <c r="BH36" s="581">
        <f>IF($W36&gt;=Ret_Yr_post,pens_Post*(GEPF_pre="Y"),0)*IF($W36=Ret_Yr_post,1-$AV36,1)*IF(Ret_Yr_post&lt;Current,(_xlfn.IFNA(VLOOKUP($D36,CPI!$A:$E,2,FALSE),VLOOKUP(Current,CPI!$A:$E,2,FALSE))/VLOOKUP(Ret_Yr_post,CPI!$A:$E,2,FALSE)),1)</f>
        <v/>
      </c>
      <c r="BI36" s="590">
        <f>$AY36*ee_post*IF($W36=Ret_Yr_post,$AV36,1)</f>
        <v/>
      </c>
      <c r="BJ36" s="590">
        <f>$AY36*er_post*IF($W36=Ret_Yr_post,$AV36,1)</f>
        <v/>
      </c>
      <c r="BK36" s="590">
        <f>IF('LOE Sc1'!$W36=Ret_Yr_post,Gratuity_Post*(GEPF_post="Y"),0)</f>
        <v/>
      </c>
      <c r="BL36" s="581">
        <f>BG36+BH36-BI36-BJ36*(GEPF_post="Y")</f>
        <v/>
      </c>
      <c r="BM36" s="590">
        <f>IF(DM36&lt;0,0,DM36)</f>
        <v/>
      </c>
      <c r="BN36" s="581">
        <f>(BL36-BM36+BI36*(BI$7="Y")+BJ36*(BJ$7="Y"))*IF($W36&lt;Ret_Yr_post,AV36,1)+BK36</f>
        <v/>
      </c>
      <c r="BO36" s="591" t="n"/>
      <c r="BP36" s="592">
        <f>IF($E36="FL",IF($X36&lt;=DoC,DATEDIF(DoC,$V36,"M")/12,0),0)</f>
        <v/>
      </c>
      <c r="BQ36" s="592">
        <f>IF($E36="FL",(1+CPI)^INT(BP36),0)</f>
        <v/>
      </c>
      <c r="BR36" s="592">
        <f>IF($E36="FL",IF(($BP36-0.5)&gt;=0,1/(1+d)^($BP36-0.5),1/(1+d)^($BP36)),0)</f>
        <v/>
      </c>
      <c r="BS36" s="592" t="n"/>
      <c r="BT36" s="25">
        <f>IF(gender="M",VLOOKUP($Y36+pre_mort+IF(MONTH(DoC)&lt;MONTH(DoB),IF(MONTH(DoC)&lt;3,0,-1),IF(MONTH(DoB)&lt;3,-1,0)),'SALT LIFE TABLES'!$A$7:$E$106,2),VLOOKUP($Y36+pre_mort+IF(MONTH(DoC)&lt;MONTH(DoB),IF(MONTH(DoC)&lt;3,0,-1),IF(MONTH(DoB)&lt;3,-1,0)),'SALT LIFE TABLES'!$A$7:$E$106,4))</f>
        <v/>
      </c>
      <c r="BU36" s="592">
        <f>IF($E36="PL",1,BT36/BU$7)</f>
        <v/>
      </c>
      <c r="BV36" s="593" t="n"/>
      <c r="BW36" s="25">
        <f>IF(gender="M",VLOOKUP($Y36+post_mort+IF(MONTH(DoC)&lt;MONTH(DoB),IF(MONTH(DoC)&lt;3,0,-1),IF(MONTH(DoB)&lt;3,-1,0)),'SALT LIFE TABLES'!$A$7:$E$106,2),VLOOKUP($Y36+post_mort+IF(MONTH(DoC)&lt;MONTH(DoB),IF(MONTH(DoC)&lt;3,0,-1),IF(MONTH(DoB)&lt;3,-1,0)),'SALT LIFE TABLES'!$A$7:$E$106,4))</f>
        <v/>
      </c>
      <c r="BX36" s="592">
        <f>IF($E36="PL",1,BW36/BX$7)</f>
        <v/>
      </c>
      <c r="BY36" s="594" t="n"/>
      <c r="BZ36" s="592" t="n"/>
      <c r="CA36" s="592">
        <f>IF($E36="FL",$AR36*$BQ36*$BR36*$BU36,$AR36)</f>
        <v/>
      </c>
      <c r="CB36" s="592">
        <f>IF($E36="FL",$BN36*$BQ36*$BR36*$BX36,$BN36)</f>
        <v/>
      </c>
      <c r="CC36" s="592" t="n"/>
      <c r="CD36" s="592">
        <f>IF($E36="FL",$CA36*(1-pre_FL),$CA36*(1-pre_PL))</f>
        <v/>
      </c>
      <c r="CE36" s="592">
        <f>IF($E36="FL",$CB36*(1-post_FL),$CB36*(1-post_PL))</f>
        <v/>
      </c>
      <c r="CF36" s="592" t="n"/>
      <c r="CG36" s="599">
        <f>CD36-CE36</f>
        <v/>
      </c>
      <c r="CH36" s="599">
        <f>MIN(CG36,IF(W36=Ret_Yr_pre,1,$X36)*Cap)</f>
        <v/>
      </c>
      <c r="CI36" s="128" t="n"/>
      <c r="CJ36" s="37">
        <f>IF(D36&gt;Current,Current,D36)</f>
        <v/>
      </c>
      <c r="CK36" s="37">
        <f>MATCH($CJ36,Tax_Tables[Tax Year],0)</f>
        <v/>
      </c>
      <c r="CL36" s="600" t="n">
        <v>0</v>
      </c>
      <c r="CM36" s="600">
        <f t="array" ref="CM36">INDEX(Tax_Tables[[Limits]:[Limits]],$CK36+CM$8)</f>
        <v/>
      </c>
      <c r="CN36" s="600">
        <f t="array" ref="CN36">INDEX(Tax_Tables[[Limits]:[Limits]],$CK36+CN$8)</f>
        <v/>
      </c>
      <c r="CO36" s="600">
        <f t="array" ref="CO36">INDEX(Tax_Tables[[Limits]:[Limits]],$CK36+CO$8)</f>
        <v/>
      </c>
      <c r="CP36" s="600">
        <f t="array" ref="CP36">INDEX(Tax_Tables[[Limits]:[Limits]],$CK36+CP$8)</f>
        <v/>
      </c>
      <c r="CQ36" s="600">
        <f t="array" ref="CQ36">INDEX(Tax_Tables[[Limits]:[Limits]],$CK36+CQ$8)</f>
        <v/>
      </c>
      <c r="CR36" s="600">
        <f t="array" ref="CR36">INDEX(Tax_Tables[[Limits]:[Limits]],$CK36+CR$8)</f>
        <v/>
      </c>
      <c r="CS36" s="37">
        <f>INDEX(Rebate[&lt;65],MATCH($CJ36,Rebate[[Tax Year]:[Tax Year]],0))</f>
        <v/>
      </c>
      <c r="CT36" s="37">
        <f>INDEX(Rebate[&lt;75],MATCH($CJ36,Rebate[[Tax Year]:[Tax Year]],0))</f>
        <v/>
      </c>
      <c r="CU36" s="37">
        <f>INDEX(Rebate[&gt;75],MATCH($CJ36,Rebate[[Tax Year]:[Tax Year]],0))</f>
        <v/>
      </c>
      <c r="CV36" s="37">
        <f>INDEX(Tax_Credit[Principal],MATCH($CJ36,Tax_Credit[[Tax Year]:[Tax Year]],0))</f>
        <v/>
      </c>
      <c r="CW36" s="37">
        <f>INDEX(Tax_Credit[First Dependant],MATCH($CJ36,Tax_Credit[[Tax Year]:[Tax Year]],0))</f>
        <v/>
      </c>
      <c r="CX36" s="37">
        <f>INDEX(Tax_Credit[Each Additional],MATCH($CJ36,Tax_Credit[[Tax Year]:[Tax Year]],0))</f>
        <v/>
      </c>
      <c r="CY36" s="484">
        <f>Y36</f>
        <v/>
      </c>
      <c r="CZ36" s="601">
        <f>AP36</f>
        <v/>
      </c>
      <c r="DA36" s="37">
        <f t="array" ref="DA36">INDEX($CL36:$CR36,0,MATCH($CZ36,$CL36:$CR36,1))</f>
        <v/>
      </c>
      <c r="DB36" s="37">
        <f t="array" ref="DB36">IFERROR(INDEX(Tax_Tables[Percentages],$CK36+MATCH($DA36,$CL36:$CR36,0)-1),"")</f>
        <v/>
      </c>
      <c r="DC36" s="37">
        <f t="array" ref="DC36">IFERROR(INDEX(Tax_Tables[Tax],$CK36+MATCH($DA36,$CL36:$CR36,0)-1),"")</f>
        <v/>
      </c>
      <c r="DD36" s="37">
        <f>IF(CY36&lt;65,CS36,IF(CY36&lt;75,CT36,CU36))</f>
        <v/>
      </c>
      <c r="DE36" s="37">
        <f>CV36*(Summary!$C$31="Y")+(Summary!$C$31="Y")*(CW36*(Pre_MDep&gt;=1)+CX36*MAX(Pre_MDep-1,0))</f>
        <v/>
      </c>
      <c r="DF36" s="599">
        <f>IFERROR(MAX(DB36*(CZ36-DA36)+DC36-DD36-DE36*12,0),"")</f>
        <v/>
      </c>
      <c r="DG36" s="602" t="n"/>
      <c r="DH36" s="601">
        <f>BL36</f>
        <v/>
      </c>
      <c r="DI36" s="37">
        <f t="array" ref="DI36">INDEX($CL36:$CR36,0,MATCH($DH36,$CL36:$CR36,1))</f>
        <v/>
      </c>
      <c r="DJ36" s="37">
        <f t="array" ref="DJ36">IFERROR(INDEX(Tax_Tables[Percentages],$CK36+MATCH($DI36,$CL36:$CR36,0)-1),"")</f>
        <v/>
      </c>
      <c r="DK36" s="37">
        <f t="array" ref="DK36">IFERROR(INDEX(Tax_Tables[Tax],$CK36+MATCH($DI36,$CL36:$CR36,0)-1),"")</f>
        <v/>
      </c>
      <c r="DL36" s="37">
        <f>CV36*(Summary!$C$81="Y")+(Summary!$C$81="Y")*(CW36*(Post_MDep&gt;=1)+CX36*MAX(Post_MDep-1,0))</f>
        <v/>
      </c>
      <c r="DM36" s="599">
        <f>IFERROR(MAX(DJ36*(DH36-DI36)+DK36-DD36-DL36*12,0),"")</f>
        <v/>
      </c>
      <c r="DN36" s="601" t="n"/>
      <c r="DO36" s="37" t="n"/>
      <c r="DP36" s="37" t="n"/>
      <c r="DQ36" s="37" t="n"/>
      <c r="DR36" s="37" t="n"/>
      <c r="DS36" s="37" t="n"/>
      <c r="DT36" s="37" t="n"/>
      <c r="DU36" s="37" t="n"/>
      <c r="DV36" s="37" t="n"/>
      <c r="DW36" s="37" t="n"/>
      <c r="DX36" s="599" t="n"/>
      <c r="DY36" s="131" t="n"/>
      <c r="DZ36" s="601" t="n"/>
      <c r="EA36" s="37" t="n"/>
      <c r="EB36" s="37" t="n"/>
      <c r="EC36" s="37" t="n"/>
      <c r="ED36" s="599" t="n"/>
      <c r="EE36" s="595" t="n"/>
      <c r="EF36" s="25" t="n"/>
    </row>
    <row r="37">
      <c r="C37" s="596">
        <f>C36+D37-D36</f>
        <v/>
      </c>
      <c r="D37" s="160">
        <f>AU37</f>
        <v/>
      </c>
      <c r="E37" s="87">
        <f>IF(DoC=V37,"Calc Date",IF(V37&lt;DoC,"PL","FL"))</f>
        <v/>
      </c>
      <c r="F37" s="310">
        <f>F36+1</f>
        <v/>
      </c>
      <c r="G37" s="31">
        <f>VLOOKUP(F37,C$10:D$148,2)</f>
        <v/>
      </c>
      <c r="H37" s="313">
        <f>H36</f>
        <v/>
      </c>
      <c r="I37" s="281">
        <f>I36</f>
        <v/>
      </c>
      <c r="J37" s="589">
        <f>I37*index/VLOOKUP($H37,CPI!A:E,4,FALSE)</f>
        <v/>
      </c>
      <c r="K37" s="589">
        <f>IF(L37="Linear",(J37-J36)/(G37-G36),0)</f>
        <v/>
      </c>
      <c r="L37" s="311" t="inlineStr">
        <is>
          <t>Flat</t>
        </is>
      </c>
      <c r="M37" s="137" t="n"/>
      <c r="N37" s="310">
        <f>N36+1</f>
        <v/>
      </c>
      <c r="O37" s="31">
        <f>O36+N37-N36</f>
        <v/>
      </c>
      <c r="P37" s="313">
        <f>P36</f>
        <v/>
      </c>
      <c r="Q37" s="281">
        <f>Q36</f>
        <v/>
      </c>
      <c r="R37" s="589">
        <f>Q37*index/VLOOKUP($P37,CPI!A:E,4,FALSE)</f>
        <v/>
      </c>
      <c r="S37" s="589">
        <f>IF(T37="Linear",(R37-R36)/(O37-O36),0)</f>
        <v/>
      </c>
      <c r="T37" s="311" t="inlineStr">
        <is>
          <t>Flat</t>
        </is>
      </c>
      <c r="U37" s="144" t="n"/>
      <c r="V37" s="6">
        <f>IF(AND($V36=DoA,MONTH(V36)&lt;3),DATE(YEAR(DoA),3,1),IF(AND(IFERROR(DATEDIF(V36,DoC,"M"),12)&lt;12,IFERROR(DATEDIF(V36,DoC,"M"),12)&gt;0),DoC,DATE(YEAR(V36)+(1-AND(YEAR(DoC)=Current,V36=DoC)-AND(V36=DoA,MONTH(V36)&lt;3)),3,1)))</f>
        <v/>
      </c>
      <c r="W37" s="31">
        <f>IF(V37=DoR_Pre,IF(MONTH(DoR_Pre)&gt;3,YEAR(DoR_Pre)+1,YEAR(DoR_Pre)),IF(MONTH(V37)&gt;3,Current,YEAR(V37)))</f>
        <v/>
      </c>
      <c r="X37" s="597">
        <f>IF(W37=Current,ROUND((V37-V36)/365.25,5),_xlfn.IFNA(INDEX(Summary!$A$5:$A$22,MATCH('LOE Sc1'!W37,Summary!$C$5:$C$22,0)),IF(W37=Ret_Yr_pre,ROUND((DoR_Pre-V36)/365.25,5),ROUND((V37-V36)/365.25,2))))</f>
        <v/>
      </c>
      <c r="Y37" s="55">
        <f>IF(AND(V37=DoC,MONTH(DoC)&lt;&gt;3),ROUNDDOWN(DATEDIF(DoB,V38,"M")/12,),ROUNDDOWN(DATEDIF(DoB,V37,"M")/12,))</f>
        <v/>
      </c>
      <c r="Z37" s="590" t="n"/>
      <c r="AA37" s="25">
        <f>MAX(RetAge_Pre-Y37,0)</f>
        <v/>
      </c>
      <c r="AB37" s="26">
        <f t="array" ref="AB37">IF(W37&gt;Ret_Yr_pre,0,_xlfn.IFNA(VLOOKUP(Y37,F$11:J$1000,5,),IF(AND(W37=Current,V37&gt;DoC,MONTH(DoC)&lt;&gt;3),AB36,AB36+INDEX(K$11:K$1000,MATCH(Y37,F$11:F$1000,1)+1))))</f>
        <v/>
      </c>
      <c r="AC37" s="590">
        <f>IF(V37&lt;DoC,AB37*VLOOKUP(YEAR(V37),CPI!A:E,4,FALSE)/index,AB37*real_i^INT(BP37))</f>
        <v/>
      </c>
      <c r="AD37" s="590">
        <f>$AC37/12*Bonus</f>
        <v/>
      </c>
      <c r="AE37" s="590">
        <f>IF($E37="FL",MedSub*m^INT(BP37),MedSub)*IF(Summary!$C$31="Y",1,0)*(W37&lt;=Ret_Yr_pre)*(Summary!C$31="Y")</f>
        <v/>
      </c>
      <c r="AF37" s="590">
        <f>IF(Summary!$C$30="Y",IF(E37&lt;&gt;"PL",VLOOKUP(Current,'Housing Allowance'!$A:$B,2,),VLOOKUP(YEAR($V37),'Housing Allowance'!$A:$B,2,)),0)*(W37&lt;=Ret_Yr_pre)</f>
        <v/>
      </c>
      <c r="AG37" s="590">
        <f>AC37*overtime</f>
        <v/>
      </c>
      <c r="AH37" s="590">
        <f>AC37*allow_1</f>
        <v/>
      </c>
      <c r="AI37" s="590">
        <f>(AB37&lt;&gt;0)*12*allow_2</f>
        <v/>
      </c>
      <c r="AJ37" s="590" t="n"/>
      <c r="AK37" s="581">
        <f>IF(YEAR(W37)&lt;=Ret_Yr_pre,SUM(AC37:AJ37),0)*IF($W37=Ret_Yr_pre,X37,1)</f>
        <v/>
      </c>
      <c r="AL37" s="581">
        <f>IF($W37&gt;=Ret_Yr_pre,pens_Pre*(GEPF_pre="Y"),0)*IF($W37=Ret_Yr_pre,1-$X37,1)*IF(Ret_Yr_pre&lt;Current,(_xlfn.IFNA(VLOOKUP($D37,CPI!$A:$E,2,FALSE),VLOOKUP(Current,CPI!$A:$E,2,FALSE))/VLOOKUP(Ret_Yr_pre,CPI!$A:$E,2,FALSE)),1)</f>
        <v/>
      </c>
      <c r="AM37" s="590">
        <f>$AC37*ee*IF($W37=Ret_Yr_pre,$X37,1)</f>
        <v/>
      </c>
      <c r="AN37" s="590">
        <f>$AC37*er*IF($W37=Ret_Yr_pre,$X37,1)</f>
        <v/>
      </c>
      <c r="AO37" s="590">
        <f>IF('LOE Sc1'!$W37=Ret_Yr_pre,Gratuity_Pre*(GEPF_pre="Y"),0)</f>
        <v/>
      </c>
      <c r="AP37" s="581">
        <f>AK37+AL37-$AM37-AN37*(GEPF_pre="Y")</f>
        <v/>
      </c>
      <c r="AQ37" s="590">
        <f>IF(DF37&lt;0,0,DF37)</f>
        <v/>
      </c>
      <c r="AR37" s="581">
        <f>(AP37-AQ37+AM37*(AM$7="Y")+AN37*(AN$7="Y"))*IF(W37&lt;Ret_Yr_pre,X37,1)+AO37</f>
        <v/>
      </c>
      <c r="AS37" s="595" t="n"/>
      <c r="AT37" s="6">
        <f>V37</f>
        <v/>
      </c>
      <c r="AU37" s="31">
        <f>W37</f>
        <v/>
      </c>
      <c r="AV37" s="598">
        <f>IF(AU37=Current,ROUND((AT37-AT36)/365.25,5),_xlfn.IFNA(INDEX(Summary!$A$55:$A$72,MATCH('LOE Sc1'!AU37,Summary!$C$55:$C$72,0)),IF(AU37=Ret_Yr_post,ROUND((DoR_Post-AT36)/365.25,5),ROUND((AT37-AT36)/365.25,2))))</f>
        <v/>
      </c>
      <c r="AW37" s="55">
        <f>Y37</f>
        <v/>
      </c>
      <c r="AX37" s="26">
        <f t="array" ref="AX37">IF(AU37&gt;Ret_Yr_post,0,_xlfn.IFNA(VLOOKUP(AW37,N$11:S$1000,5,),IF(AND(AU37=Current,AT37&gt;DoC,MONTH(DoC)&lt;&gt;3),AX36,AX36+INDEX(S$11:S$1000,MATCH(AW37,N$11:N$1000,1)+1))))</f>
        <v/>
      </c>
      <c r="AY37" s="590">
        <f>IF($V37&lt;DoC,AX37*VLOOKUP(YEAR($V37),CPI_Table,4,FALSE)/index,AX37*real_i^INT(BP37))</f>
        <v/>
      </c>
      <c r="AZ37" s="590">
        <f>$AY37/12*Bonus_Post*($AW37&lt;=RetAge_Post)</f>
        <v/>
      </c>
      <c r="BA37" s="590">
        <f>IF($E37="FL",MedSub*m^INT(BP37),MedSub)*IF(Summary!$C$81="Y",1,0)*($AU37&lt;=Ret_Yr_post)*(Summary!$C$81="Y")</f>
        <v/>
      </c>
      <c r="BB37" s="590">
        <f>IF(Summary!$C$80="Y",IF($E37&lt;&gt;"PL",VLOOKUP(Current,'Housing Allowance'!$A:$B,2,),VLOOKUP(YEAR($AT37),'Housing Allowance'!$A:$B,2,)),0)*($AU37&lt;=Ret_Yr_post)</f>
        <v/>
      </c>
      <c r="BC37" s="590">
        <f>AY37*overtime_post</f>
        <v/>
      </c>
      <c r="BD37" s="590">
        <f>$AY37*allow_1_post</f>
        <v/>
      </c>
      <c r="BE37" s="590">
        <f>($AY37&lt;&gt;0)*allow_2_post*12</f>
        <v/>
      </c>
      <c r="BF37" s="590" t="n"/>
      <c r="BG37" s="581">
        <f>IF(YEAR($V37)&lt;=Ret_Yr_post,SUM(AY37:BF37),0)*IF($W37=Ret_Yr_post,AV37,1)</f>
        <v/>
      </c>
      <c r="BH37" s="581">
        <f>IF($W37&gt;=Ret_Yr_post,pens_Post*(GEPF_pre="Y"),0)*IF($W37=Ret_Yr_post,1-$AV37,1)*IF(Ret_Yr_post&lt;Current,(_xlfn.IFNA(VLOOKUP($D37,CPI!$A:$E,2,FALSE),VLOOKUP(Current,CPI!$A:$E,2,FALSE))/VLOOKUP(Ret_Yr_post,CPI!$A:$E,2,FALSE)),1)</f>
        <v/>
      </c>
      <c r="BI37" s="590">
        <f>$AY37*ee_post*IF($W37=Ret_Yr_post,$AV37,1)</f>
        <v/>
      </c>
      <c r="BJ37" s="590">
        <f>$AY37*er_post*IF($W37=Ret_Yr_post,$AV37,1)</f>
        <v/>
      </c>
      <c r="BK37" s="590">
        <f>IF('LOE Sc1'!$W37=Ret_Yr_post,Gratuity_Post*(GEPF_post="Y"),0)</f>
        <v/>
      </c>
      <c r="BL37" s="581">
        <f>BG37+BH37-BI37-BJ37*(GEPF_post="Y")</f>
        <v/>
      </c>
      <c r="BM37" s="590">
        <f>IF(DM37&lt;0,0,DM37)</f>
        <v/>
      </c>
      <c r="BN37" s="581">
        <f>(BL37-BM37+BI37*(BI$7="Y")+BJ37*(BJ$7="Y"))*IF($W37&lt;Ret_Yr_post,AV37,1)+BK37</f>
        <v/>
      </c>
      <c r="BO37" s="591" t="n"/>
      <c r="BP37" s="592">
        <f>IF($E37="FL",IF($X37&lt;=DoC,DATEDIF(DoC,$V37,"M")/12,0),0)</f>
        <v/>
      </c>
      <c r="BQ37" s="592">
        <f>IF($E37="FL",(1+CPI)^INT(BP37),0)</f>
        <v/>
      </c>
      <c r="BR37" s="592">
        <f>IF($E37="FL",IF(($BP37-0.5)&gt;=0,1/(1+d)^($BP37-0.5),1/(1+d)^($BP37)),0)</f>
        <v/>
      </c>
      <c r="BS37" s="592" t="n"/>
      <c r="BT37" s="25">
        <f>IF(gender="M",VLOOKUP($Y37+pre_mort+IF(MONTH(DoC)&lt;MONTH(DoB),IF(MONTH(DoC)&lt;3,0,-1),IF(MONTH(DoB)&lt;3,-1,0)),'SALT LIFE TABLES'!$A$7:$E$106,2),VLOOKUP($Y37+pre_mort+IF(MONTH(DoC)&lt;MONTH(DoB),IF(MONTH(DoC)&lt;3,0,-1),IF(MONTH(DoB)&lt;3,-1,0)),'SALT LIFE TABLES'!$A$7:$E$106,4))</f>
        <v/>
      </c>
      <c r="BU37" s="592">
        <f>IF($E37="PL",1,BT37/BU$7)</f>
        <v/>
      </c>
      <c r="BV37" s="593" t="n"/>
      <c r="BW37" s="25">
        <f>IF(gender="M",VLOOKUP($Y37+post_mort+IF(MONTH(DoC)&lt;MONTH(DoB),IF(MONTH(DoC)&lt;3,0,-1),IF(MONTH(DoB)&lt;3,-1,0)),'SALT LIFE TABLES'!$A$7:$E$106,2),VLOOKUP($Y37+post_mort+IF(MONTH(DoC)&lt;MONTH(DoB),IF(MONTH(DoC)&lt;3,0,-1),IF(MONTH(DoB)&lt;3,-1,0)),'SALT LIFE TABLES'!$A$7:$E$106,4))</f>
        <v/>
      </c>
      <c r="BX37" s="592">
        <f>IF($E37="PL",1,BW37/BX$7)</f>
        <v/>
      </c>
      <c r="BY37" s="594" t="n"/>
      <c r="BZ37" s="592" t="n"/>
      <c r="CA37" s="592">
        <f>IF($E37="FL",$AR37*$BQ37*$BR37*$BU37,$AR37)</f>
        <v/>
      </c>
      <c r="CB37" s="592">
        <f>IF($E37="FL",$BN37*$BQ37*$BR37*$BX37,$BN37)</f>
        <v/>
      </c>
      <c r="CC37" s="592" t="n"/>
      <c r="CD37" s="592">
        <f>IF($E37="FL",$CA37*(1-pre_FL),$CA37*(1-pre_PL))</f>
        <v/>
      </c>
      <c r="CE37" s="592">
        <f>IF($E37="FL",$CB37*(1-post_FL),$CB37*(1-post_PL))</f>
        <v/>
      </c>
      <c r="CF37" s="592" t="n"/>
      <c r="CG37" s="599">
        <f>CD37-CE37</f>
        <v/>
      </c>
      <c r="CH37" s="599">
        <f>MIN(CG37,IF(W37=Ret_Yr_pre,1,$X37)*Cap)</f>
        <v/>
      </c>
      <c r="CI37" s="128" t="n"/>
      <c r="CJ37" s="37">
        <f>IF(D37&gt;Current,Current,D37)</f>
        <v/>
      </c>
      <c r="CK37" s="37">
        <f>MATCH($CJ37,Tax_Tables[Tax Year],0)</f>
        <v/>
      </c>
      <c r="CL37" s="600" t="n">
        <v>0</v>
      </c>
      <c r="CM37" s="600">
        <f t="array" ref="CM37">INDEX(Tax_Tables[[Limits]:[Limits]],$CK37+CM$8)</f>
        <v/>
      </c>
      <c r="CN37" s="600">
        <f t="array" ref="CN37">INDEX(Tax_Tables[[Limits]:[Limits]],$CK37+CN$8)</f>
        <v/>
      </c>
      <c r="CO37" s="600">
        <f t="array" ref="CO37">INDEX(Tax_Tables[[Limits]:[Limits]],$CK37+CO$8)</f>
        <v/>
      </c>
      <c r="CP37" s="600">
        <f t="array" ref="CP37">INDEX(Tax_Tables[[Limits]:[Limits]],$CK37+CP$8)</f>
        <v/>
      </c>
      <c r="CQ37" s="600">
        <f t="array" ref="CQ37">INDEX(Tax_Tables[[Limits]:[Limits]],$CK37+CQ$8)</f>
        <v/>
      </c>
      <c r="CR37" s="600">
        <f t="array" ref="CR37">INDEX(Tax_Tables[[Limits]:[Limits]],$CK37+CR$8)</f>
        <v/>
      </c>
      <c r="CS37" s="37">
        <f>INDEX(Rebate[&lt;65],MATCH($CJ37,Rebate[[Tax Year]:[Tax Year]],0))</f>
        <v/>
      </c>
      <c r="CT37" s="37">
        <f>INDEX(Rebate[&lt;75],MATCH($CJ37,Rebate[[Tax Year]:[Tax Year]],0))</f>
        <v/>
      </c>
      <c r="CU37" s="37">
        <f>INDEX(Rebate[&gt;75],MATCH($CJ37,Rebate[[Tax Year]:[Tax Year]],0))</f>
        <v/>
      </c>
      <c r="CV37" s="37">
        <f>INDEX(Tax_Credit[Principal],MATCH($CJ37,Tax_Credit[[Tax Year]:[Tax Year]],0))</f>
        <v/>
      </c>
      <c r="CW37" s="37">
        <f>INDEX(Tax_Credit[First Dependant],MATCH($CJ37,Tax_Credit[[Tax Year]:[Tax Year]],0))</f>
        <v/>
      </c>
      <c r="CX37" s="37">
        <f>INDEX(Tax_Credit[Each Additional],MATCH($CJ37,Tax_Credit[[Tax Year]:[Tax Year]],0))</f>
        <v/>
      </c>
      <c r="CY37" s="484">
        <f>Y37</f>
        <v/>
      </c>
      <c r="CZ37" s="601">
        <f>AP37</f>
        <v/>
      </c>
      <c r="DA37" s="37">
        <f t="array" ref="DA37">INDEX($CL37:$CR37,0,MATCH($CZ37,$CL37:$CR37,1))</f>
        <v/>
      </c>
      <c r="DB37" s="37">
        <f t="array" ref="DB37">IFERROR(INDEX(Tax_Tables[Percentages],$CK37+MATCH($DA37,$CL37:$CR37,0)-1),"")</f>
        <v/>
      </c>
      <c r="DC37" s="37">
        <f t="array" ref="DC37">IFERROR(INDEX(Tax_Tables[Tax],$CK37+MATCH($DA37,$CL37:$CR37,0)-1),"")</f>
        <v/>
      </c>
      <c r="DD37" s="37">
        <f>IF(CY37&lt;65,CS37,IF(CY37&lt;75,CT37,CU37))</f>
        <v/>
      </c>
      <c r="DE37" s="37">
        <f>CV37*(Summary!$C$31="Y")+(Summary!$C$31="Y")*(CW37*(Pre_MDep&gt;=1)+CX37*MAX(Pre_MDep-1,0))</f>
        <v/>
      </c>
      <c r="DF37" s="599">
        <f>IFERROR(MAX(DB37*(CZ37-DA37)+DC37-DD37-DE37*12,0),"")</f>
        <v/>
      </c>
      <c r="DG37" s="602" t="n"/>
      <c r="DH37" s="601">
        <f>BL37</f>
        <v/>
      </c>
      <c r="DI37" s="37">
        <f t="array" ref="DI37">INDEX($CL37:$CR37,0,MATCH($DH37,$CL37:$CR37,1))</f>
        <v/>
      </c>
      <c r="DJ37" s="37">
        <f t="array" ref="DJ37">IFERROR(INDEX(Tax_Tables[Percentages],$CK37+MATCH($DI37,$CL37:$CR37,0)-1),"")</f>
        <v/>
      </c>
      <c r="DK37" s="37">
        <f t="array" ref="DK37">IFERROR(INDEX(Tax_Tables[Tax],$CK37+MATCH($DI37,$CL37:$CR37,0)-1),"")</f>
        <v/>
      </c>
      <c r="DL37" s="37">
        <f>CV37*(Summary!$C$81="Y")+(Summary!$C$81="Y")*(CW37*(Post_MDep&gt;=1)+CX37*MAX(Post_MDep-1,0))</f>
        <v/>
      </c>
      <c r="DM37" s="599">
        <f>IFERROR(MAX(DJ37*(DH37-DI37)+DK37-DD37-DL37*12,0),"")</f>
        <v/>
      </c>
      <c r="DN37" s="601" t="n"/>
      <c r="DO37" s="37" t="n"/>
      <c r="DP37" s="37" t="n"/>
      <c r="DQ37" s="37" t="n"/>
      <c r="DR37" s="37" t="n"/>
      <c r="DS37" s="37" t="n"/>
      <c r="DT37" s="37" t="n"/>
      <c r="DU37" s="37" t="n"/>
      <c r="DV37" s="37" t="n"/>
      <c r="DW37" s="37" t="n"/>
      <c r="DX37" s="599" t="n"/>
      <c r="DY37" s="131" t="n"/>
      <c r="DZ37" s="601" t="n"/>
      <c r="EA37" s="37" t="n"/>
      <c r="EB37" s="37" t="n"/>
      <c r="EC37" s="37" t="n"/>
      <c r="ED37" s="599" t="n"/>
      <c r="EE37" s="595" t="n"/>
      <c r="EF37" s="25" t="n"/>
    </row>
    <row r="38">
      <c r="C38" s="596">
        <f>C37+D38-D37</f>
        <v/>
      </c>
      <c r="D38" s="160">
        <f>AU38</f>
        <v/>
      </c>
      <c r="E38" s="87">
        <f>IF(DoC=V38,"Calc Date",IF(V38&lt;DoC,"PL","FL"))</f>
        <v/>
      </c>
      <c r="F38" s="310">
        <f>F37+1</f>
        <v/>
      </c>
      <c r="G38" s="31">
        <f>VLOOKUP(F38,C$10:D$148,2)</f>
        <v/>
      </c>
      <c r="H38" s="313">
        <f>H37</f>
        <v/>
      </c>
      <c r="I38" s="281">
        <f>I37</f>
        <v/>
      </c>
      <c r="J38" s="589">
        <f>I38*index/VLOOKUP($H38,CPI!A:E,4,FALSE)</f>
        <v/>
      </c>
      <c r="K38" s="589">
        <f>IF(L38="Linear",(J38-J37)/(G38-G37),0)</f>
        <v/>
      </c>
      <c r="L38" s="311" t="inlineStr">
        <is>
          <t>Flat</t>
        </is>
      </c>
      <c r="M38" s="137" t="n"/>
      <c r="N38" s="310">
        <f>N37+1</f>
        <v/>
      </c>
      <c r="O38" s="31">
        <f>O37+N38-N37</f>
        <v/>
      </c>
      <c r="P38" s="313">
        <f>P37</f>
        <v/>
      </c>
      <c r="Q38" s="281">
        <f>Q37</f>
        <v/>
      </c>
      <c r="R38" s="589">
        <f>Q38*index/VLOOKUP($P38,CPI!A:E,4,FALSE)</f>
        <v/>
      </c>
      <c r="S38" s="589">
        <f>IF(T38="Linear",(R38-R37)/(O38-O37),0)</f>
        <v/>
      </c>
      <c r="T38" s="311" t="inlineStr">
        <is>
          <t>Flat</t>
        </is>
      </c>
      <c r="U38" s="144" t="n"/>
      <c r="V38" s="6">
        <f>IF(AND($V37=DoA,MONTH(V37)&lt;3),DATE(YEAR(DoA),3,1),IF(AND(IFERROR(DATEDIF(V37,DoC,"M"),12)&lt;12,IFERROR(DATEDIF(V37,DoC,"M"),12)&gt;0),DoC,DATE(YEAR(V37)+(1-AND(YEAR(DoC)=Current,V37=DoC)-AND(V37=DoA,MONTH(V37)&lt;3)),3,1)))</f>
        <v/>
      </c>
      <c r="W38" s="31">
        <f>IF(V38=DoR_Pre,IF(MONTH(DoR_Pre)&gt;3,YEAR(DoR_Pre)+1,YEAR(DoR_Pre)),IF(MONTH(V38)&gt;3,Current,YEAR(V38)))</f>
        <v/>
      </c>
      <c r="X38" s="597">
        <f>IF(W38=Current,ROUND((V38-V37)/365.25,5),_xlfn.IFNA(INDEX(Summary!$A$5:$A$22,MATCH('LOE Sc1'!W38,Summary!$C$5:$C$22,0)),IF(W38=Ret_Yr_pre,ROUND((DoR_Pre-V37)/365.25,5),ROUND((V38-V37)/365.25,2))))</f>
        <v/>
      </c>
      <c r="Y38" s="55">
        <f>IF(AND(V38=DoC,MONTH(DoC)&lt;&gt;3),ROUNDDOWN(DATEDIF(DoB,V39,"M")/12,),ROUNDDOWN(DATEDIF(DoB,V38,"M")/12,))</f>
        <v/>
      </c>
      <c r="Z38" s="590" t="n"/>
      <c r="AA38" s="25">
        <f>MAX(RetAge_Pre-Y38,0)</f>
        <v/>
      </c>
      <c r="AB38" s="26">
        <f t="array" ref="AB38">IF(W38&gt;Ret_Yr_pre,0,_xlfn.IFNA(VLOOKUP(Y38,F$11:J$1000,5,),IF(AND(W38=Current,V38&gt;DoC,MONTH(DoC)&lt;&gt;3),AB37,AB37+INDEX(K$11:K$1000,MATCH(Y38,F$11:F$1000,1)+1))))</f>
        <v/>
      </c>
      <c r="AC38" s="590">
        <f>IF(V38&lt;DoC,AB38*VLOOKUP(YEAR(V38),CPI!A:E,4,FALSE)/index,AB38*real_i^INT(BP38))</f>
        <v/>
      </c>
      <c r="AD38" s="590">
        <f>$AC38/12*Bonus</f>
        <v/>
      </c>
      <c r="AE38" s="590">
        <f>IF($E38="FL",MedSub*m^INT(BP38),MedSub)*IF(Summary!$C$31="Y",1,0)*(W38&lt;=Ret_Yr_pre)*(Summary!C$31="Y")</f>
        <v/>
      </c>
      <c r="AF38" s="590">
        <f>IF(Summary!$C$30="Y",IF(E38&lt;&gt;"PL",VLOOKUP(Current,'Housing Allowance'!$A:$B,2,),VLOOKUP(YEAR($V38),'Housing Allowance'!$A:$B,2,)),0)*(W38&lt;=Ret_Yr_pre)</f>
        <v/>
      </c>
      <c r="AG38" s="590">
        <f>AC38*overtime</f>
        <v/>
      </c>
      <c r="AH38" s="590">
        <f>AC38*allow_1</f>
        <v/>
      </c>
      <c r="AI38" s="590">
        <f>(AB38&lt;&gt;0)*12*allow_2</f>
        <v/>
      </c>
      <c r="AJ38" s="590" t="n"/>
      <c r="AK38" s="581">
        <f>IF(YEAR(W38)&lt;=Ret_Yr_pre,SUM(AC38:AJ38),0)*IF($W38=Ret_Yr_pre,X38,1)</f>
        <v/>
      </c>
      <c r="AL38" s="581">
        <f>IF($W38&gt;=Ret_Yr_pre,pens_Pre*(GEPF_pre="Y"),0)*IF($W38=Ret_Yr_pre,1-$X38,1)*IF(Ret_Yr_pre&lt;Current,(_xlfn.IFNA(VLOOKUP($D38,CPI!$A:$E,2,FALSE),VLOOKUP(Current,CPI!$A:$E,2,FALSE))/VLOOKUP(Ret_Yr_pre,CPI!$A:$E,2,FALSE)),1)</f>
        <v/>
      </c>
      <c r="AM38" s="590">
        <f>$AC38*ee*IF($W38=Ret_Yr_pre,$X38,1)</f>
        <v/>
      </c>
      <c r="AN38" s="590">
        <f>$AC38*er*IF($W38=Ret_Yr_pre,$X38,1)</f>
        <v/>
      </c>
      <c r="AO38" s="590">
        <f>IF('LOE Sc1'!$W38=Ret_Yr_pre,Gratuity_Pre*(GEPF_pre="Y"),0)</f>
        <v/>
      </c>
      <c r="AP38" s="581">
        <f>AK38+AL38-$AM38-AN38*(GEPF_pre="Y")</f>
        <v/>
      </c>
      <c r="AQ38" s="590">
        <f>IF(DF38&lt;0,0,DF38)</f>
        <v/>
      </c>
      <c r="AR38" s="581">
        <f>(AP38-AQ38+AM38*(AM$7="Y")+AN38*(AN$7="Y"))*IF(W38&lt;Ret_Yr_pre,X38,1)+AO38</f>
        <v/>
      </c>
      <c r="AS38" s="595" t="n"/>
      <c r="AT38" s="6">
        <f>V38</f>
        <v/>
      </c>
      <c r="AU38" s="31">
        <f>W38</f>
        <v/>
      </c>
      <c r="AV38" s="598">
        <f>IF(AU38=Current,ROUND((AT38-AT37)/365.25,5),_xlfn.IFNA(INDEX(Summary!$A$55:$A$72,MATCH('LOE Sc1'!AU38,Summary!$C$55:$C$72,0)),IF(AU38=Ret_Yr_post,ROUND((DoR_Post-AT37)/365.25,5),ROUND((AT38-AT37)/365.25,2))))</f>
        <v/>
      </c>
      <c r="AW38" s="55">
        <f>Y38</f>
        <v/>
      </c>
      <c r="AX38" s="26">
        <f t="array" ref="AX38">IF(AU38&gt;Ret_Yr_post,0,_xlfn.IFNA(VLOOKUP(AW38,N$11:S$1000,5,),IF(AND(AU38=Current,AT38&gt;DoC,MONTH(DoC)&lt;&gt;3),AX37,AX37+INDEX(S$11:S$1000,MATCH(AW38,N$11:N$1000,1)+1))))</f>
        <v/>
      </c>
      <c r="AY38" s="590">
        <f>IF($V38&lt;DoC,AX38*VLOOKUP(YEAR($V38),CPI_Table,4,FALSE)/index,AX38*real_i^INT(BP38))</f>
        <v/>
      </c>
      <c r="AZ38" s="590">
        <f>$AY38/12*Bonus_Post*($AW38&lt;=RetAge_Post)</f>
        <v/>
      </c>
      <c r="BA38" s="590">
        <f>IF($E38="FL",MedSub*m^INT(BP38),MedSub)*IF(Summary!$C$81="Y",1,0)*($AU38&lt;=Ret_Yr_post)*(Summary!$C$81="Y")</f>
        <v/>
      </c>
      <c r="BB38" s="590">
        <f>IF(Summary!$C$80="Y",IF($E38&lt;&gt;"PL",VLOOKUP(Current,'Housing Allowance'!$A:$B,2,),VLOOKUP(YEAR($AT38),'Housing Allowance'!$A:$B,2,)),0)*($AU38&lt;=Ret_Yr_post)</f>
        <v/>
      </c>
      <c r="BC38" s="590">
        <f>AY38*overtime_post</f>
        <v/>
      </c>
      <c r="BD38" s="590">
        <f>$AY38*allow_1_post</f>
        <v/>
      </c>
      <c r="BE38" s="590">
        <f>($AY38&lt;&gt;0)*allow_2_post*12</f>
        <v/>
      </c>
      <c r="BF38" s="590" t="n"/>
      <c r="BG38" s="581">
        <f>IF(YEAR($V38)&lt;=Ret_Yr_post,SUM(AY38:BF38),0)*IF($W38=Ret_Yr_post,AV38,1)</f>
        <v/>
      </c>
      <c r="BH38" s="581">
        <f>IF($W38&gt;=Ret_Yr_post,pens_Post*(GEPF_pre="Y"),0)*IF($W38=Ret_Yr_post,1-$AV38,1)*IF(Ret_Yr_post&lt;Current,(_xlfn.IFNA(VLOOKUP($D38,CPI!$A:$E,2,FALSE),VLOOKUP(Current,CPI!$A:$E,2,FALSE))/VLOOKUP(Ret_Yr_post,CPI!$A:$E,2,FALSE)),1)</f>
        <v/>
      </c>
      <c r="BI38" s="590">
        <f>$AY38*ee_post*IF($W38=Ret_Yr_post,$AV38,1)</f>
        <v/>
      </c>
      <c r="BJ38" s="590">
        <f>$AY38*er_post*IF($W38=Ret_Yr_post,$AV38,1)</f>
        <v/>
      </c>
      <c r="BK38" s="590">
        <f>IF('LOE Sc1'!$W38=Ret_Yr_post,Gratuity_Post*(GEPF_post="Y"),0)</f>
        <v/>
      </c>
      <c r="BL38" s="581">
        <f>BG38+BH38-BI38-BJ38*(GEPF_post="Y")</f>
        <v/>
      </c>
      <c r="BM38" s="590">
        <f>IF(DM38&lt;0,0,DM38)</f>
        <v/>
      </c>
      <c r="BN38" s="581">
        <f>(BL38-BM38+BI38*(BI$7="Y")+BJ38*(BJ$7="Y"))*IF($W38&lt;Ret_Yr_post,AV38,1)+BK38</f>
        <v/>
      </c>
      <c r="BO38" s="591" t="n"/>
      <c r="BP38" s="592">
        <f>IF($E38="FL",IF($X38&lt;=DoC,DATEDIF(DoC,$V38,"M")/12,0),0)</f>
        <v/>
      </c>
      <c r="BQ38" s="592">
        <f>IF($E38="FL",(1+CPI)^INT(BP38),0)</f>
        <v/>
      </c>
      <c r="BR38" s="592">
        <f>IF($E38="FL",IF(($BP38-0.5)&gt;=0,1/(1+d)^($BP38-0.5),1/(1+d)^($BP38)),0)</f>
        <v/>
      </c>
      <c r="BS38" s="592" t="n"/>
      <c r="BT38" s="25">
        <f>IF(gender="M",VLOOKUP($Y38+pre_mort+IF(MONTH(DoC)&lt;MONTH(DoB),IF(MONTH(DoC)&lt;3,0,-1),IF(MONTH(DoB)&lt;3,-1,0)),'SALT LIFE TABLES'!$A$7:$E$106,2),VLOOKUP($Y38+pre_mort+IF(MONTH(DoC)&lt;MONTH(DoB),IF(MONTH(DoC)&lt;3,0,-1),IF(MONTH(DoB)&lt;3,-1,0)),'SALT LIFE TABLES'!$A$7:$E$106,4))</f>
        <v/>
      </c>
      <c r="BU38" s="592">
        <f>IF($E38="PL",1,BT38/BU$7)</f>
        <v/>
      </c>
      <c r="BV38" s="593" t="n"/>
      <c r="BW38" s="25">
        <f>IF(gender="M",VLOOKUP($Y38+post_mort+IF(MONTH(DoC)&lt;MONTH(DoB),IF(MONTH(DoC)&lt;3,0,-1),IF(MONTH(DoB)&lt;3,-1,0)),'SALT LIFE TABLES'!$A$7:$E$106,2),VLOOKUP($Y38+post_mort+IF(MONTH(DoC)&lt;MONTH(DoB),IF(MONTH(DoC)&lt;3,0,-1),IF(MONTH(DoB)&lt;3,-1,0)),'SALT LIFE TABLES'!$A$7:$E$106,4))</f>
        <v/>
      </c>
      <c r="BX38" s="592">
        <f>IF($E38="PL",1,BW38/BX$7)</f>
        <v/>
      </c>
      <c r="BY38" s="594" t="n"/>
      <c r="BZ38" s="592" t="n"/>
      <c r="CA38" s="592">
        <f>IF($E38="FL",$AR38*$BQ38*$BR38*$BU38,$AR38)</f>
        <v/>
      </c>
      <c r="CB38" s="592">
        <f>IF($E38="FL",$BN38*$BQ38*$BR38*$BX38,$BN38)</f>
        <v/>
      </c>
      <c r="CC38" s="592" t="n"/>
      <c r="CD38" s="592">
        <f>IF($E38="FL",$CA38*(1-pre_FL),$CA38*(1-pre_PL))</f>
        <v/>
      </c>
      <c r="CE38" s="592">
        <f>IF($E38="FL",$CB38*(1-post_FL),$CB38*(1-post_PL))</f>
        <v/>
      </c>
      <c r="CF38" s="592" t="n"/>
      <c r="CG38" s="599">
        <f>CD38-CE38</f>
        <v/>
      </c>
      <c r="CH38" s="599">
        <f>MIN(CG38,IF(W38=Ret_Yr_pre,1,$X38)*Cap)</f>
        <v/>
      </c>
      <c r="CI38" s="128" t="n"/>
      <c r="CJ38" s="37">
        <f>IF(D38&gt;Current,Current,D38)</f>
        <v/>
      </c>
      <c r="CK38" s="37">
        <f>MATCH($CJ38,Tax_Tables[Tax Year],0)</f>
        <v/>
      </c>
      <c r="CL38" s="600" t="n">
        <v>0</v>
      </c>
      <c r="CM38" s="600">
        <f t="array" ref="CM38">INDEX(Tax_Tables[[Limits]:[Limits]],$CK38+CM$8)</f>
        <v/>
      </c>
      <c r="CN38" s="600">
        <f t="array" ref="CN38">INDEX(Tax_Tables[[Limits]:[Limits]],$CK38+CN$8)</f>
        <v/>
      </c>
      <c r="CO38" s="600">
        <f t="array" ref="CO38">INDEX(Tax_Tables[[Limits]:[Limits]],$CK38+CO$8)</f>
        <v/>
      </c>
      <c r="CP38" s="600">
        <f t="array" ref="CP38">INDEX(Tax_Tables[[Limits]:[Limits]],$CK38+CP$8)</f>
        <v/>
      </c>
      <c r="CQ38" s="600">
        <f t="array" ref="CQ38">INDEX(Tax_Tables[[Limits]:[Limits]],$CK38+CQ$8)</f>
        <v/>
      </c>
      <c r="CR38" s="600">
        <f t="array" ref="CR38">INDEX(Tax_Tables[[Limits]:[Limits]],$CK38+CR$8)</f>
        <v/>
      </c>
      <c r="CS38" s="37">
        <f>INDEX(Rebate[&lt;65],MATCH($CJ38,Rebate[[Tax Year]:[Tax Year]],0))</f>
        <v/>
      </c>
      <c r="CT38" s="37">
        <f>INDEX(Rebate[&lt;75],MATCH($CJ38,Rebate[[Tax Year]:[Tax Year]],0))</f>
        <v/>
      </c>
      <c r="CU38" s="37">
        <f>INDEX(Rebate[&gt;75],MATCH($CJ38,Rebate[[Tax Year]:[Tax Year]],0))</f>
        <v/>
      </c>
      <c r="CV38" s="37">
        <f>INDEX(Tax_Credit[Principal],MATCH($CJ38,Tax_Credit[[Tax Year]:[Tax Year]],0))</f>
        <v/>
      </c>
      <c r="CW38" s="37">
        <f>INDEX(Tax_Credit[First Dependant],MATCH($CJ38,Tax_Credit[[Tax Year]:[Tax Year]],0))</f>
        <v/>
      </c>
      <c r="CX38" s="37">
        <f>INDEX(Tax_Credit[Each Additional],MATCH($CJ38,Tax_Credit[[Tax Year]:[Tax Year]],0))</f>
        <v/>
      </c>
      <c r="CY38" s="484">
        <f>Y38</f>
        <v/>
      </c>
      <c r="CZ38" s="601">
        <f>AP38</f>
        <v/>
      </c>
      <c r="DA38" s="37">
        <f t="array" ref="DA38">INDEX($CL38:$CR38,0,MATCH($CZ38,$CL38:$CR38,1))</f>
        <v/>
      </c>
      <c r="DB38" s="37">
        <f t="array" ref="DB38">IFERROR(INDEX(Tax_Tables[Percentages],$CK38+MATCH($DA38,$CL38:$CR38,0)-1),"")</f>
        <v/>
      </c>
      <c r="DC38" s="37">
        <f t="array" ref="DC38">IFERROR(INDEX(Tax_Tables[Tax],$CK38+MATCH($DA38,$CL38:$CR38,0)-1),"")</f>
        <v/>
      </c>
      <c r="DD38" s="37">
        <f>IF(CY38&lt;65,CS38,IF(CY38&lt;75,CT38,CU38))</f>
        <v/>
      </c>
      <c r="DE38" s="37">
        <f>CV38*(Summary!$C$31="Y")+(Summary!$C$31="Y")*(CW38*(Pre_MDep&gt;=1)+CX38*MAX(Pre_MDep-1,0))</f>
        <v/>
      </c>
      <c r="DF38" s="599">
        <f>IFERROR(MAX(DB38*(CZ38-DA38)+DC38-DD38-DE38*12,0),"")</f>
        <v/>
      </c>
      <c r="DG38" s="602" t="n"/>
      <c r="DH38" s="601">
        <f>BL38</f>
        <v/>
      </c>
      <c r="DI38" s="37">
        <f t="array" ref="DI38">INDEX($CL38:$CR38,0,MATCH($DH38,$CL38:$CR38,1))</f>
        <v/>
      </c>
      <c r="DJ38" s="37">
        <f t="array" ref="DJ38">IFERROR(INDEX(Tax_Tables[Percentages],$CK38+MATCH($DI38,$CL38:$CR38,0)-1),"")</f>
        <v/>
      </c>
      <c r="DK38" s="37">
        <f t="array" ref="DK38">IFERROR(INDEX(Tax_Tables[Tax],$CK38+MATCH($DI38,$CL38:$CR38,0)-1),"")</f>
        <v/>
      </c>
      <c r="DL38" s="37">
        <f>CV38*(Summary!$C$81="Y")+(Summary!$C$81="Y")*(CW38*(Post_MDep&gt;=1)+CX38*MAX(Post_MDep-1,0))</f>
        <v/>
      </c>
      <c r="DM38" s="599">
        <f>IFERROR(MAX(DJ38*(DH38-DI38)+DK38-DD38-DL38*12,0),"")</f>
        <v/>
      </c>
      <c r="DN38" s="601" t="n"/>
      <c r="DO38" s="37" t="n"/>
      <c r="DP38" s="37" t="n"/>
      <c r="DQ38" s="37" t="n"/>
      <c r="DR38" s="37" t="n"/>
      <c r="DS38" s="37" t="n"/>
      <c r="DT38" s="37" t="n"/>
      <c r="DU38" s="37" t="n"/>
      <c r="DV38" s="37" t="n"/>
      <c r="DW38" s="37" t="n"/>
      <c r="DX38" s="599" t="n"/>
      <c r="DY38" s="131" t="n"/>
      <c r="DZ38" s="601" t="n"/>
      <c r="EA38" s="37" t="n"/>
      <c r="EB38" s="37" t="n"/>
      <c r="EC38" s="37" t="n"/>
      <c r="ED38" s="599" t="n"/>
      <c r="EE38" s="595" t="n"/>
      <c r="EF38" s="25" t="n"/>
    </row>
    <row r="39">
      <c r="C39" s="596">
        <f>C38+D39-D38</f>
        <v/>
      </c>
      <c r="D39" s="160">
        <f>AU39</f>
        <v/>
      </c>
      <c r="E39" s="87">
        <f>IF(DoC=V39,"Calc Date",IF(V39&lt;DoC,"PL","FL"))</f>
        <v/>
      </c>
      <c r="F39" s="310">
        <f>F38+1</f>
        <v/>
      </c>
      <c r="G39" s="31">
        <f>VLOOKUP(F39,C$10:D$148,2)</f>
        <v/>
      </c>
      <c r="H39" s="313">
        <f>H38</f>
        <v/>
      </c>
      <c r="I39" s="281">
        <f>I38</f>
        <v/>
      </c>
      <c r="J39" s="589">
        <f>I39*index/VLOOKUP($H39,CPI!A:E,4,FALSE)</f>
        <v/>
      </c>
      <c r="K39" s="589">
        <f>IF(L39="Linear",(J39-J38)/(G39-G38),0)</f>
        <v/>
      </c>
      <c r="L39" s="311" t="inlineStr">
        <is>
          <t>Flat</t>
        </is>
      </c>
      <c r="M39" s="137" t="n"/>
      <c r="N39" s="310">
        <f>N38+1</f>
        <v/>
      </c>
      <c r="O39" s="31">
        <f>O38+N39-N38</f>
        <v/>
      </c>
      <c r="P39" s="313">
        <f>P38</f>
        <v/>
      </c>
      <c r="Q39" s="281">
        <f>Q38</f>
        <v/>
      </c>
      <c r="R39" s="589">
        <f>Q39*index/VLOOKUP($P39,CPI!A:E,4,FALSE)</f>
        <v/>
      </c>
      <c r="S39" s="589">
        <f>IF(T39="Linear",(R39-R38)/(O39-O38),0)</f>
        <v/>
      </c>
      <c r="T39" s="311" t="inlineStr">
        <is>
          <t>Flat</t>
        </is>
      </c>
      <c r="U39" s="144" t="n"/>
      <c r="V39" s="6">
        <f>IF(AND($V38=DoA,MONTH(V38)&lt;3),DATE(YEAR(DoA),3,1),IF(AND(IFERROR(DATEDIF(V38,DoC,"M"),12)&lt;12,IFERROR(DATEDIF(V38,DoC,"M"),12)&gt;0),DoC,DATE(YEAR(V38)+(1-AND(YEAR(DoC)=Current,V38=DoC)-AND(V38=DoA,MONTH(V38)&lt;3)),3,1)))</f>
        <v/>
      </c>
      <c r="W39" s="31">
        <f>IF(V39=DoR_Pre,IF(MONTH(DoR_Pre)&gt;3,YEAR(DoR_Pre)+1,YEAR(DoR_Pre)),IF(MONTH(V39)&gt;3,Current,YEAR(V39)))</f>
        <v/>
      </c>
      <c r="X39" s="597">
        <f>IF(W39=Current,ROUND((V39-V38)/365.25,5),_xlfn.IFNA(INDEX(Summary!$A$5:$A$22,MATCH('LOE Sc1'!W39,Summary!$C$5:$C$22,0)),IF(W39=Ret_Yr_pre,ROUND((DoR_Pre-V38)/365.25,5),ROUND((V39-V38)/365.25,2))))</f>
        <v/>
      </c>
      <c r="Y39" s="55">
        <f>IF(AND(V39=DoC,MONTH(DoC)&lt;&gt;3),ROUNDDOWN(DATEDIF(DoB,V40,"M")/12,),ROUNDDOWN(DATEDIF(DoB,V39,"M")/12,))</f>
        <v/>
      </c>
      <c r="Z39" s="590" t="n"/>
      <c r="AA39" s="25">
        <f>MAX(RetAge_Pre-Y39,0)</f>
        <v/>
      </c>
      <c r="AB39" s="26">
        <f t="array" ref="AB39">IF(W39&gt;Ret_Yr_pre,0,_xlfn.IFNA(VLOOKUP(Y39,F$11:J$1000,5,),IF(AND(W39=Current,V39&gt;DoC,MONTH(DoC)&lt;&gt;3),AB38,AB38+INDEX(K$11:K$1000,MATCH(Y39,F$11:F$1000,1)+1))))</f>
        <v/>
      </c>
      <c r="AC39" s="590">
        <f>IF(V39&lt;DoC,AB39*VLOOKUP(YEAR(V39),CPI!A:E,4,FALSE)/index,AB39*real_i^INT(BP39))</f>
        <v/>
      </c>
      <c r="AD39" s="590">
        <f>$AC39/12*Bonus</f>
        <v/>
      </c>
      <c r="AE39" s="590">
        <f>IF($E39="FL",MedSub*m^INT(BP39),MedSub)*IF(Summary!$C$31="Y",1,0)*(W39&lt;=Ret_Yr_pre)*(Summary!C$31="Y")</f>
        <v/>
      </c>
      <c r="AF39" s="590">
        <f>IF(Summary!$C$30="Y",IF(E39&lt;&gt;"PL",VLOOKUP(Current,'Housing Allowance'!$A:$B,2,),VLOOKUP(YEAR($V39),'Housing Allowance'!$A:$B,2,)),0)*(W39&lt;=Ret_Yr_pre)</f>
        <v/>
      </c>
      <c r="AG39" s="590">
        <f>AC39*overtime</f>
        <v/>
      </c>
      <c r="AH39" s="590">
        <f>AC39*allow_1</f>
        <v/>
      </c>
      <c r="AI39" s="590">
        <f>(AB39&lt;&gt;0)*12*allow_2</f>
        <v/>
      </c>
      <c r="AJ39" s="590" t="n"/>
      <c r="AK39" s="581">
        <f>IF(YEAR(W39)&lt;=Ret_Yr_pre,SUM(AC39:AJ39),0)*IF($W39=Ret_Yr_pre,X39,1)</f>
        <v/>
      </c>
      <c r="AL39" s="581">
        <f>IF($W39&gt;=Ret_Yr_pre,pens_Pre*(GEPF_pre="Y"),0)*IF($W39=Ret_Yr_pre,1-$X39,1)*IF(Ret_Yr_pre&lt;Current,(_xlfn.IFNA(VLOOKUP($D39,CPI!$A:$E,2,FALSE),VLOOKUP(Current,CPI!$A:$E,2,FALSE))/VLOOKUP(Ret_Yr_pre,CPI!$A:$E,2,FALSE)),1)</f>
        <v/>
      </c>
      <c r="AM39" s="590">
        <f>$AC39*ee*IF($W39=Ret_Yr_pre,$X39,1)</f>
        <v/>
      </c>
      <c r="AN39" s="590">
        <f>$AC39*er*IF($W39=Ret_Yr_pre,$X39,1)</f>
        <v/>
      </c>
      <c r="AO39" s="590">
        <f>IF('LOE Sc1'!$W39=Ret_Yr_pre,Gratuity_Pre*(GEPF_pre="Y"),0)</f>
        <v/>
      </c>
      <c r="AP39" s="581">
        <f>AK39+AL39-$AM39-AN39*(GEPF_pre="Y")</f>
        <v/>
      </c>
      <c r="AQ39" s="590">
        <f>IF(DF39&lt;0,0,DF39)</f>
        <v/>
      </c>
      <c r="AR39" s="581">
        <f>(AP39-AQ39+AM39*(AM$7="Y")+AN39*(AN$7="Y"))*IF(W39&lt;Ret_Yr_pre,X39,1)+AO39</f>
        <v/>
      </c>
      <c r="AS39" s="595" t="n"/>
      <c r="AT39" s="6">
        <f>V39</f>
        <v/>
      </c>
      <c r="AU39" s="31">
        <f>W39</f>
        <v/>
      </c>
      <c r="AV39" s="598">
        <f>IF(AU39=Current,ROUND((AT39-AT38)/365.25,5),_xlfn.IFNA(INDEX(Summary!$A$55:$A$72,MATCH('LOE Sc1'!AU39,Summary!$C$55:$C$72,0)),IF(AU39=Ret_Yr_post,ROUND((DoR_Post-AT38)/365.25,5),ROUND((AT39-AT38)/365.25,2))))</f>
        <v/>
      </c>
      <c r="AW39" s="55">
        <f>Y39</f>
        <v/>
      </c>
      <c r="AX39" s="26">
        <f t="array" ref="AX39">IF(AU39&gt;Ret_Yr_post,0,_xlfn.IFNA(VLOOKUP(AW39,N$11:S$1000,5,),IF(AND(AU39=Current,AT39&gt;DoC,MONTH(DoC)&lt;&gt;3),AX38,AX38+INDEX(S$11:S$1000,MATCH(AW39,N$11:N$1000,1)+1))))</f>
        <v/>
      </c>
      <c r="AY39" s="590">
        <f>IF($V39&lt;DoC,AX39*VLOOKUP(YEAR($V39),CPI_Table,4,FALSE)/index,AX39*real_i^INT(BP39))</f>
        <v/>
      </c>
      <c r="AZ39" s="590">
        <f>$AY39/12*Bonus_Post*($AW39&lt;=RetAge_Post)</f>
        <v/>
      </c>
      <c r="BA39" s="590">
        <f>IF($E39="FL",MedSub*m^INT(BP39),MedSub)*IF(Summary!$C$81="Y",1,0)*($AU39&lt;=Ret_Yr_post)*(Summary!$C$81="Y")</f>
        <v/>
      </c>
      <c r="BB39" s="590">
        <f>IF(Summary!$C$80="Y",IF($E39&lt;&gt;"PL",VLOOKUP(Current,'Housing Allowance'!$A:$B,2,),VLOOKUP(YEAR($AT39),'Housing Allowance'!$A:$B,2,)),0)*($AU39&lt;=Ret_Yr_post)</f>
        <v/>
      </c>
      <c r="BC39" s="590">
        <f>AY39*overtime_post</f>
        <v/>
      </c>
      <c r="BD39" s="590">
        <f>$AY39*allow_1_post</f>
        <v/>
      </c>
      <c r="BE39" s="590">
        <f>($AY39&lt;&gt;0)*allow_2_post*12</f>
        <v/>
      </c>
      <c r="BF39" s="590" t="n"/>
      <c r="BG39" s="581">
        <f>IF(YEAR($V39)&lt;=Ret_Yr_post,SUM(AY39:BF39),0)*IF($W39=Ret_Yr_post,AV39,1)</f>
        <v/>
      </c>
      <c r="BH39" s="581">
        <f>IF($W39&gt;=Ret_Yr_post,pens_Post*(GEPF_pre="Y"),0)*IF($W39=Ret_Yr_post,1-$AV39,1)*IF(Ret_Yr_post&lt;Current,(_xlfn.IFNA(VLOOKUP($D39,CPI!$A:$E,2,FALSE),VLOOKUP(Current,CPI!$A:$E,2,FALSE))/VLOOKUP(Ret_Yr_post,CPI!$A:$E,2,FALSE)),1)</f>
        <v/>
      </c>
      <c r="BI39" s="590">
        <f>$AY39*ee_post*IF($W39=Ret_Yr_post,$AV39,1)</f>
        <v/>
      </c>
      <c r="BJ39" s="590">
        <f>$AY39*er_post*IF($W39=Ret_Yr_post,$AV39,1)</f>
        <v/>
      </c>
      <c r="BK39" s="590">
        <f>IF('LOE Sc1'!$W39=Ret_Yr_post,Gratuity_Post*(GEPF_post="Y"),0)</f>
        <v/>
      </c>
      <c r="BL39" s="581">
        <f>BG39+BH39-BI39-BJ39*(GEPF_post="Y")</f>
        <v/>
      </c>
      <c r="BM39" s="590">
        <f>IF(DM39&lt;0,0,DM39)</f>
        <v/>
      </c>
      <c r="BN39" s="581">
        <f>(BL39-BM39+BI39*(BI$7="Y")+BJ39*(BJ$7="Y"))*IF($W39&lt;Ret_Yr_post,AV39,1)+BK39</f>
        <v/>
      </c>
      <c r="BO39" s="591" t="n"/>
      <c r="BP39" s="592">
        <f>IF($E39="FL",IF($X39&lt;=DoC,DATEDIF(DoC,$V39,"M")/12,0),0)</f>
        <v/>
      </c>
      <c r="BQ39" s="592">
        <f>IF($E39="FL",(1+CPI)^INT(BP39),0)</f>
        <v/>
      </c>
      <c r="BR39" s="592">
        <f>IF($E39="FL",IF(($BP39-0.5)&gt;=0,1/(1+d)^($BP39-0.5),1/(1+d)^($BP39)),0)</f>
        <v/>
      </c>
      <c r="BS39" s="592" t="n"/>
      <c r="BT39" s="25">
        <f>IF(gender="M",VLOOKUP($Y39+pre_mort+IF(MONTH(DoC)&lt;MONTH(DoB),IF(MONTH(DoC)&lt;3,0,-1),IF(MONTH(DoB)&lt;3,-1,0)),'SALT LIFE TABLES'!$A$7:$E$106,2),VLOOKUP($Y39+pre_mort+IF(MONTH(DoC)&lt;MONTH(DoB),IF(MONTH(DoC)&lt;3,0,-1),IF(MONTH(DoB)&lt;3,-1,0)),'SALT LIFE TABLES'!$A$7:$E$106,4))</f>
        <v/>
      </c>
      <c r="BU39" s="592">
        <f>IF($E39="PL",1,BT39/BU$7)</f>
        <v/>
      </c>
      <c r="BV39" s="593" t="n"/>
      <c r="BW39" s="25">
        <f>IF(gender="M",VLOOKUP($Y39+post_mort+IF(MONTH(DoC)&lt;MONTH(DoB),IF(MONTH(DoC)&lt;3,0,-1),IF(MONTH(DoB)&lt;3,-1,0)),'SALT LIFE TABLES'!$A$7:$E$106,2),VLOOKUP($Y39+post_mort+IF(MONTH(DoC)&lt;MONTH(DoB),IF(MONTH(DoC)&lt;3,0,-1),IF(MONTH(DoB)&lt;3,-1,0)),'SALT LIFE TABLES'!$A$7:$E$106,4))</f>
        <v/>
      </c>
      <c r="BX39" s="592">
        <f>IF($E39="PL",1,BW39/BX$7)</f>
        <v/>
      </c>
      <c r="BY39" s="594" t="n"/>
      <c r="BZ39" s="592" t="n"/>
      <c r="CA39" s="592">
        <f>IF($E39="FL",$AR39*$BQ39*$BR39*$BU39,$AR39)</f>
        <v/>
      </c>
      <c r="CB39" s="592">
        <f>IF($E39="FL",$BN39*$BQ39*$BR39*$BX39,$BN39)</f>
        <v/>
      </c>
      <c r="CC39" s="592" t="n"/>
      <c r="CD39" s="592">
        <f>IF($E39="FL",$CA39*(1-pre_FL),$CA39*(1-pre_PL))</f>
        <v/>
      </c>
      <c r="CE39" s="592">
        <f>IF($E39="FL",$CB39*(1-post_FL),$CB39*(1-post_PL))</f>
        <v/>
      </c>
      <c r="CF39" s="592" t="n"/>
      <c r="CG39" s="599">
        <f>CD39-CE39</f>
        <v/>
      </c>
      <c r="CH39" s="599">
        <f>MIN(CG39,IF(W39=Ret_Yr_pre,1,$X39)*Cap)</f>
        <v/>
      </c>
      <c r="CI39" s="128" t="n"/>
      <c r="CJ39" s="37">
        <f>IF(D39&gt;Current,Current,D39)</f>
        <v/>
      </c>
      <c r="CK39" s="37">
        <f>MATCH($CJ39,Tax_Tables[Tax Year],0)</f>
        <v/>
      </c>
      <c r="CL39" s="600" t="n">
        <v>0</v>
      </c>
      <c r="CM39" s="600">
        <f t="array" ref="CM39">INDEX(Tax_Tables[[Limits]:[Limits]],$CK39+CM$8)</f>
        <v/>
      </c>
      <c r="CN39" s="600">
        <f t="array" ref="CN39">INDEX(Tax_Tables[[Limits]:[Limits]],$CK39+CN$8)</f>
        <v/>
      </c>
      <c r="CO39" s="600">
        <f t="array" ref="CO39">INDEX(Tax_Tables[[Limits]:[Limits]],$CK39+CO$8)</f>
        <v/>
      </c>
      <c r="CP39" s="600">
        <f t="array" ref="CP39">INDEX(Tax_Tables[[Limits]:[Limits]],$CK39+CP$8)</f>
        <v/>
      </c>
      <c r="CQ39" s="600">
        <f t="array" ref="CQ39">INDEX(Tax_Tables[[Limits]:[Limits]],$CK39+CQ$8)</f>
        <v/>
      </c>
      <c r="CR39" s="600">
        <f t="array" ref="CR39">INDEX(Tax_Tables[[Limits]:[Limits]],$CK39+CR$8)</f>
        <v/>
      </c>
      <c r="CS39" s="37">
        <f>INDEX(Rebate[&lt;65],MATCH($CJ39,Rebate[[Tax Year]:[Tax Year]],0))</f>
        <v/>
      </c>
      <c r="CT39" s="37">
        <f>INDEX(Rebate[&lt;75],MATCH($CJ39,Rebate[[Tax Year]:[Tax Year]],0))</f>
        <v/>
      </c>
      <c r="CU39" s="37">
        <f>INDEX(Rebate[&gt;75],MATCH($CJ39,Rebate[[Tax Year]:[Tax Year]],0))</f>
        <v/>
      </c>
      <c r="CV39" s="37">
        <f>INDEX(Tax_Credit[Principal],MATCH($CJ39,Tax_Credit[[Tax Year]:[Tax Year]],0))</f>
        <v/>
      </c>
      <c r="CW39" s="37">
        <f>INDEX(Tax_Credit[First Dependant],MATCH($CJ39,Tax_Credit[[Tax Year]:[Tax Year]],0))</f>
        <v/>
      </c>
      <c r="CX39" s="37">
        <f>INDEX(Tax_Credit[Each Additional],MATCH($CJ39,Tax_Credit[[Tax Year]:[Tax Year]],0))</f>
        <v/>
      </c>
      <c r="CY39" s="484">
        <f>Y39</f>
        <v/>
      </c>
      <c r="CZ39" s="601">
        <f>AP39</f>
        <v/>
      </c>
      <c r="DA39" s="37">
        <f t="array" ref="DA39">INDEX($CL39:$CR39,0,MATCH($CZ39,$CL39:$CR39,1))</f>
        <v/>
      </c>
      <c r="DB39" s="37">
        <f t="array" ref="DB39">IFERROR(INDEX(Tax_Tables[Percentages],$CK39+MATCH($DA39,$CL39:$CR39,0)-1),"")</f>
        <v/>
      </c>
      <c r="DC39" s="37">
        <f t="array" ref="DC39">IFERROR(INDEX(Tax_Tables[Tax],$CK39+MATCH($DA39,$CL39:$CR39,0)-1),"")</f>
        <v/>
      </c>
      <c r="DD39" s="37">
        <f>IF(CY39&lt;65,CS39,IF(CY39&lt;75,CT39,CU39))</f>
        <v/>
      </c>
      <c r="DE39" s="37">
        <f>CV39*(Summary!$C$31="Y")+(Summary!$C$31="Y")*(CW39*(Pre_MDep&gt;=1)+CX39*MAX(Pre_MDep-1,0))</f>
        <v/>
      </c>
      <c r="DF39" s="599">
        <f>IFERROR(MAX(DB39*(CZ39-DA39)+DC39-DD39-DE39*12,0),"")</f>
        <v/>
      </c>
      <c r="DG39" s="602" t="n"/>
      <c r="DH39" s="601">
        <f>BL39</f>
        <v/>
      </c>
      <c r="DI39" s="37">
        <f t="array" ref="DI39">INDEX($CL39:$CR39,0,MATCH($DH39,$CL39:$CR39,1))</f>
        <v/>
      </c>
      <c r="DJ39" s="37">
        <f t="array" ref="DJ39">IFERROR(INDEX(Tax_Tables[Percentages],$CK39+MATCH($DI39,$CL39:$CR39,0)-1),"")</f>
        <v/>
      </c>
      <c r="DK39" s="37">
        <f t="array" ref="DK39">IFERROR(INDEX(Tax_Tables[Tax],$CK39+MATCH($DI39,$CL39:$CR39,0)-1),"")</f>
        <v/>
      </c>
      <c r="DL39" s="37">
        <f>CV39*(Summary!$C$81="Y")+(Summary!$C$81="Y")*(CW39*(Post_MDep&gt;=1)+CX39*MAX(Post_MDep-1,0))</f>
        <v/>
      </c>
      <c r="DM39" s="599">
        <f>IFERROR(MAX(DJ39*(DH39-DI39)+DK39-DD39-DL39*12,0),"")</f>
        <v/>
      </c>
      <c r="DN39" s="601" t="n"/>
      <c r="DO39" s="37" t="n"/>
      <c r="DP39" s="37" t="n"/>
      <c r="DQ39" s="37" t="n"/>
      <c r="DR39" s="37" t="n"/>
      <c r="DS39" s="37" t="n"/>
      <c r="DT39" s="37" t="n"/>
      <c r="DU39" s="37" t="n"/>
      <c r="DV39" s="37" t="n"/>
      <c r="DW39" s="37" t="n"/>
      <c r="DX39" s="599" t="n"/>
      <c r="DY39" s="131" t="n"/>
      <c r="DZ39" s="601" t="n"/>
      <c r="EA39" s="37" t="n"/>
      <c r="EB39" s="37" t="n"/>
      <c r="EC39" s="37" t="n"/>
      <c r="ED39" s="599" t="n"/>
      <c r="EE39" s="595" t="n"/>
      <c r="EF39" s="25" t="n"/>
    </row>
    <row r="40">
      <c r="C40" s="596">
        <f>C39+D40-D39</f>
        <v/>
      </c>
      <c r="D40" s="160">
        <f>AU40</f>
        <v/>
      </c>
      <c r="E40" s="87">
        <f>IF(DoC=V40,"Calc Date",IF(V40&lt;DoC,"PL","FL"))</f>
        <v/>
      </c>
      <c r="F40" s="310">
        <f>F39+1</f>
        <v/>
      </c>
      <c r="G40" s="31">
        <f>VLOOKUP(F40,C$10:D$148,2)</f>
        <v/>
      </c>
      <c r="H40" s="313">
        <f>H39</f>
        <v/>
      </c>
      <c r="I40" s="281">
        <f>I39</f>
        <v/>
      </c>
      <c r="J40" s="589">
        <f>I40*index/VLOOKUP($H40,CPI!A:E,4,FALSE)</f>
        <v/>
      </c>
      <c r="K40" s="589">
        <f>IF(L40="Linear",(J40-J39)/(G40-G39),0)</f>
        <v/>
      </c>
      <c r="L40" s="311" t="inlineStr">
        <is>
          <t>Flat</t>
        </is>
      </c>
      <c r="M40" s="137" t="n"/>
      <c r="N40" s="310">
        <f>N39+1</f>
        <v/>
      </c>
      <c r="O40" s="31">
        <f>O39+N40-N39</f>
        <v/>
      </c>
      <c r="P40" s="313">
        <f>P39</f>
        <v/>
      </c>
      <c r="Q40" s="281">
        <f>Q39</f>
        <v/>
      </c>
      <c r="R40" s="589">
        <f>Q40*index/VLOOKUP($P40,CPI!A:E,4,FALSE)</f>
        <v/>
      </c>
      <c r="S40" s="589">
        <f>IF(T40="Linear",(R40-R39)/(O40-O39),0)</f>
        <v/>
      </c>
      <c r="T40" s="311" t="inlineStr">
        <is>
          <t>Flat</t>
        </is>
      </c>
      <c r="U40" s="144" t="n"/>
      <c r="V40" s="6">
        <f>IF(AND($V39=DoA,MONTH(V39)&lt;3),DATE(YEAR(DoA),3,1),IF(AND(IFERROR(DATEDIF(V39,DoC,"M"),12)&lt;12,IFERROR(DATEDIF(V39,DoC,"M"),12)&gt;0),DoC,DATE(YEAR(V39)+(1-AND(YEAR(DoC)=Current,V39=DoC)-AND(V39=DoA,MONTH(V39)&lt;3)),3,1)))</f>
        <v/>
      </c>
      <c r="W40" s="31">
        <f>IF(V40=DoR_Pre,IF(MONTH(DoR_Pre)&gt;3,YEAR(DoR_Pre)+1,YEAR(DoR_Pre)),IF(MONTH(V40)&gt;3,Current,YEAR(V40)))</f>
        <v/>
      </c>
      <c r="X40" s="597">
        <f>IF(W40=Current,ROUND((V40-V39)/365.25,5),_xlfn.IFNA(INDEX(Summary!$A$5:$A$22,MATCH('LOE Sc1'!W40,Summary!$C$5:$C$22,0)),IF(W40=Ret_Yr_pre,ROUND((DoR_Pre-V39)/365.25,5),ROUND((V40-V39)/365.25,2))))</f>
        <v/>
      </c>
      <c r="Y40" s="55">
        <f>IF(AND(V40=DoC,MONTH(DoC)&lt;&gt;3),ROUNDDOWN(DATEDIF(DoB,V41,"M")/12,),ROUNDDOWN(DATEDIF(DoB,V40,"M")/12,))</f>
        <v/>
      </c>
      <c r="Z40" s="590" t="n"/>
      <c r="AA40" s="25">
        <f>MAX(RetAge_Pre-Y40,0)</f>
        <v/>
      </c>
      <c r="AB40" s="26">
        <f t="array" ref="AB40">IF(W40&gt;Ret_Yr_pre,0,_xlfn.IFNA(VLOOKUP(Y40,F$11:J$1000,5,),IF(AND(W40=Current,V40&gt;DoC,MONTH(DoC)&lt;&gt;3),AB39,AB39+INDEX(K$11:K$1000,MATCH(Y40,F$11:F$1000,1)+1))))</f>
        <v/>
      </c>
      <c r="AC40" s="590">
        <f>IF(V40&lt;DoC,AB40*VLOOKUP(YEAR(V40),CPI!A:E,4,FALSE)/index,AB40*real_i^INT(BP40))</f>
        <v/>
      </c>
      <c r="AD40" s="590">
        <f>$AC40/12*Bonus</f>
        <v/>
      </c>
      <c r="AE40" s="590">
        <f>IF($E40="FL",MedSub*m^INT(BP40),MedSub)*IF(Summary!$C$31="Y",1,0)*(W40&lt;=Ret_Yr_pre)*(Summary!C$31="Y")</f>
        <v/>
      </c>
      <c r="AF40" s="590">
        <f>IF(Summary!$C$30="Y",IF(E40&lt;&gt;"PL",VLOOKUP(Current,'Housing Allowance'!$A:$B,2,),VLOOKUP(YEAR($V40),'Housing Allowance'!$A:$B,2,)),0)*(W40&lt;=Ret_Yr_pre)</f>
        <v/>
      </c>
      <c r="AG40" s="590">
        <f>AC40*overtime</f>
        <v/>
      </c>
      <c r="AH40" s="590">
        <f>AC40*allow_1</f>
        <v/>
      </c>
      <c r="AI40" s="590">
        <f>(AB40&lt;&gt;0)*12*allow_2</f>
        <v/>
      </c>
      <c r="AJ40" s="590" t="n"/>
      <c r="AK40" s="581">
        <f>IF(YEAR(W40)&lt;=Ret_Yr_pre,SUM(AC40:AJ40),0)*IF($W40=Ret_Yr_pre,X40,1)</f>
        <v/>
      </c>
      <c r="AL40" s="581">
        <f>IF($W40&gt;=Ret_Yr_pre,pens_Pre*(GEPF_pre="Y"),0)*IF($W40=Ret_Yr_pre,1-$X40,1)*IF(Ret_Yr_pre&lt;Current,(_xlfn.IFNA(VLOOKUP($D40,CPI!$A:$E,2,FALSE),VLOOKUP(Current,CPI!$A:$E,2,FALSE))/VLOOKUP(Ret_Yr_pre,CPI!$A:$E,2,FALSE)),1)</f>
        <v/>
      </c>
      <c r="AM40" s="590">
        <f>$AC40*ee*IF($W40=Ret_Yr_pre,$X40,1)</f>
        <v/>
      </c>
      <c r="AN40" s="590">
        <f>$AC40*er*IF($W40=Ret_Yr_pre,$X40,1)</f>
        <v/>
      </c>
      <c r="AO40" s="590">
        <f>IF('LOE Sc1'!$W40=Ret_Yr_pre,Gratuity_Pre*(GEPF_pre="Y"),0)</f>
        <v/>
      </c>
      <c r="AP40" s="581">
        <f>AK40+AL40-$AM40-AN40*(GEPF_pre="Y")</f>
        <v/>
      </c>
      <c r="AQ40" s="590">
        <f>IF(DF40&lt;0,0,DF40)</f>
        <v/>
      </c>
      <c r="AR40" s="581">
        <f>(AP40-AQ40+AM40*(AM$7="Y")+AN40*(AN$7="Y"))*IF(W40&lt;Ret_Yr_pre,X40,1)+AO40</f>
        <v/>
      </c>
      <c r="AS40" s="595" t="n"/>
      <c r="AT40" s="6">
        <f>V40</f>
        <v/>
      </c>
      <c r="AU40" s="31">
        <f>W40</f>
        <v/>
      </c>
      <c r="AV40" s="598">
        <f>IF(AU40=Current,ROUND((AT40-AT39)/365.25,5),_xlfn.IFNA(INDEX(Summary!$A$55:$A$72,MATCH('LOE Sc1'!AU40,Summary!$C$55:$C$72,0)),IF(AU40=Ret_Yr_post,ROUND((DoR_Post-AT39)/365.25,5),ROUND((AT40-AT39)/365.25,2))))</f>
        <v/>
      </c>
      <c r="AW40" s="55">
        <f>Y40</f>
        <v/>
      </c>
      <c r="AX40" s="26">
        <f t="array" ref="AX40">IF(AU40&gt;Ret_Yr_post,0,_xlfn.IFNA(VLOOKUP(AW40,N$11:S$1000,5,),IF(AND(AU40=Current,AT40&gt;DoC,MONTH(DoC)&lt;&gt;3),AX39,AX39+INDEX(S$11:S$1000,MATCH(AW40,N$11:N$1000,1)+1))))</f>
        <v/>
      </c>
      <c r="AY40" s="590">
        <f>IF($V40&lt;DoC,AX40*VLOOKUP(YEAR($V40),CPI_Table,4,FALSE)/index,AX40*real_i^INT(BP40))</f>
        <v/>
      </c>
      <c r="AZ40" s="590">
        <f>$AY40/12*Bonus_Post*($AW40&lt;=RetAge_Post)</f>
        <v/>
      </c>
      <c r="BA40" s="590">
        <f>IF($E40="FL",MedSub*m^INT(BP40),MedSub)*IF(Summary!$C$81="Y",1,0)*($AU40&lt;=Ret_Yr_post)*(Summary!$C$81="Y")</f>
        <v/>
      </c>
      <c r="BB40" s="590">
        <f>IF(Summary!$C$80="Y",IF($E40&lt;&gt;"PL",VLOOKUP(Current,'Housing Allowance'!$A:$B,2,),VLOOKUP(YEAR($AT40),'Housing Allowance'!$A:$B,2,)),0)*($AU40&lt;=Ret_Yr_post)</f>
        <v/>
      </c>
      <c r="BC40" s="590">
        <f>AY40*overtime_post</f>
        <v/>
      </c>
      <c r="BD40" s="590">
        <f>$AY40*allow_1_post</f>
        <v/>
      </c>
      <c r="BE40" s="590">
        <f>($AY40&lt;&gt;0)*allow_2_post*12</f>
        <v/>
      </c>
      <c r="BF40" s="590" t="n"/>
      <c r="BG40" s="581">
        <f>IF(YEAR($V40)&lt;=Ret_Yr_post,SUM(AY40:BF40),0)*IF($W40=Ret_Yr_post,AV40,1)</f>
        <v/>
      </c>
      <c r="BH40" s="581">
        <f>IF($W40&gt;=Ret_Yr_post,pens_Post*(GEPF_pre="Y"),0)*IF($W40=Ret_Yr_post,1-$AV40,1)*IF(Ret_Yr_post&lt;Current,(_xlfn.IFNA(VLOOKUP($D40,CPI!$A:$E,2,FALSE),VLOOKUP(Current,CPI!$A:$E,2,FALSE))/VLOOKUP(Ret_Yr_post,CPI!$A:$E,2,FALSE)),1)</f>
        <v/>
      </c>
      <c r="BI40" s="590">
        <f>$AY40*ee_post*IF($W40=Ret_Yr_post,$AV40,1)</f>
        <v/>
      </c>
      <c r="BJ40" s="590">
        <f>$AY40*er_post*IF($W40=Ret_Yr_post,$AV40,1)</f>
        <v/>
      </c>
      <c r="BK40" s="590">
        <f>IF('LOE Sc1'!$W40=Ret_Yr_post,Gratuity_Post*(GEPF_post="Y"),0)</f>
        <v/>
      </c>
      <c r="BL40" s="581">
        <f>BG40+BH40-BI40-BJ40*(GEPF_post="Y")</f>
        <v/>
      </c>
      <c r="BM40" s="590">
        <f>IF(DM40&lt;0,0,DM40)</f>
        <v/>
      </c>
      <c r="BN40" s="581">
        <f>(BL40-BM40+BI40*(BI$7="Y")+BJ40*(BJ$7="Y"))*IF($W40&lt;Ret_Yr_post,AV40,1)+BK40</f>
        <v/>
      </c>
      <c r="BO40" s="591" t="n"/>
      <c r="BP40" s="592">
        <f>IF($E40="FL",IF($X40&lt;=DoC,DATEDIF(DoC,$V40,"M")/12,0),0)</f>
        <v/>
      </c>
      <c r="BQ40" s="592">
        <f>IF($E40="FL",(1+CPI)^INT(BP40),0)</f>
        <v/>
      </c>
      <c r="BR40" s="592">
        <f>IF($E40="FL",IF(($BP40-0.5)&gt;=0,1/(1+d)^($BP40-0.5),1/(1+d)^($BP40)),0)</f>
        <v/>
      </c>
      <c r="BS40" s="592" t="n"/>
      <c r="BT40" s="25">
        <f>IF(gender="M",VLOOKUP($Y40+pre_mort+IF(MONTH(DoC)&lt;MONTH(DoB),IF(MONTH(DoC)&lt;3,0,-1),IF(MONTH(DoB)&lt;3,-1,0)),'SALT LIFE TABLES'!$A$7:$E$106,2),VLOOKUP($Y40+pre_mort+IF(MONTH(DoC)&lt;MONTH(DoB),IF(MONTH(DoC)&lt;3,0,-1),IF(MONTH(DoB)&lt;3,-1,0)),'SALT LIFE TABLES'!$A$7:$E$106,4))</f>
        <v/>
      </c>
      <c r="BU40" s="592">
        <f>IF($E40="PL",1,BT40/BU$7)</f>
        <v/>
      </c>
      <c r="BV40" s="593" t="n"/>
      <c r="BW40" s="25">
        <f>IF(gender="M",VLOOKUP($Y40+post_mort+IF(MONTH(DoC)&lt;MONTH(DoB),IF(MONTH(DoC)&lt;3,0,-1),IF(MONTH(DoB)&lt;3,-1,0)),'SALT LIFE TABLES'!$A$7:$E$106,2),VLOOKUP($Y40+post_mort+IF(MONTH(DoC)&lt;MONTH(DoB),IF(MONTH(DoC)&lt;3,0,-1),IF(MONTH(DoB)&lt;3,-1,0)),'SALT LIFE TABLES'!$A$7:$E$106,4))</f>
        <v/>
      </c>
      <c r="BX40" s="592">
        <f>IF($E40="PL",1,BW40/BX$7)</f>
        <v/>
      </c>
      <c r="BY40" s="594" t="n"/>
      <c r="BZ40" s="592" t="n"/>
      <c r="CA40" s="592">
        <f>IF($E40="FL",$AR40*$BQ40*$BR40*$BU40,$AR40)</f>
        <v/>
      </c>
      <c r="CB40" s="592">
        <f>IF($E40="FL",$BN40*$BQ40*$BR40*$BX40,$BN40)</f>
        <v/>
      </c>
      <c r="CC40" s="592" t="n"/>
      <c r="CD40" s="592">
        <f>IF($E40="FL",$CA40*(1-pre_FL),$CA40*(1-pre_PL))</f>
        <v/>
      </c>
      <c r="CE40" s="592">
        <f>IF($E40="FL",$CB40*(1-post_FL),$CB40*(1-post_PL))</f>
        <v/>
      </c>
      <c r="CF40" s="592" t="n"/>
      <c r="CG40" s="599">
        <f>CD40-CE40</f>
        <v/>
      </c>
      <c r="CH40" s="599">
        <f>MIN(CG40,IF(W40=Ret_Yr_pre,1,$X40)*Cap)</f>
        <v/>
      </c>
      <c r="CI40" s="128" t="n"/>
      <c r="CJ40" s="37">
        <f>IF(D40&gt;Current,Current,D40)</f>
        <v/>
      </c>
      <c r="CK40" s="37">
        <f>MATCH($CJ40,Tax_Tables[Tax Year],0)</f>
        <v/>
      </c>
      <c r="CL40" s="600" t="n">
        <v>0</v>
      </c>
      <c r="CM40" s="600">
        <f t="array" ref="CM40">INDEX(Tax_Tables[[Limits]:[Limits]],$CK40+CM$8)</f>
        <v/>
      </c>
      <c r="CN40" s="600">
        <f t="array" ref="CN40">INDEX(Tax_Tables[[Limits]:[Limits]],$CK40+CN$8)</f>
        <v/>
      </c>
      <c r="CO40" s="600">
        <f t="array" ref="CO40">INDEX(Tax_Tables[[Limits]:[Limits]],$CK40+CO$8)</f>
        <v/>
      </c>
      <c r="CP40" s="600">
        <f t="array" ref="CP40">INDEX(Tax_Tables[[Limits]:[Limits]],$CK40+CP$8)</f>
        <v/>
      </c>
      <c r="CQ40" s="600">
        <f t="array" ref="CQ40">INDEX(Tax_Tables[[Limits]:[Limits]],$CK40+CQ$8)</f>
        <v/>
      </c>
      <c r="CR40" s="600">
        <f t="array" ref="CR40">INDEX(Tax_Tables[[Limits]:[Limits]],$CK40+CR$8)</f>
        <v/>
      </c>
      <c r="CS40" s="37">
        <f>INDEX(Rebate[&lt;65],MATCH($CJ40,Rebate[[Tax Year]:[Tax Year]],0))</f>
        <v/>
      </c>
      <c r="CT40" s="37">
        <f>INDEX(Rebate[&lt;75],MATCH($CJ40,Rebate[[Tax Year]:[Tax Year]],0))</f>
        <v/>
      </c>
      <c r="CU40" s="37">
        <f>INDEX(Rebate[&gt;75],MATCH($CJ40,Rebate[[Tax Year]:[Tax Year]],0))</f>
        <v/>
      </c>
      <c r="CV40" s="37">
        <f>INDEX(Tax_Credit[Principal],MATCH($CJ40,Tax_Credit[[Tax Year]:[Tax Year]],0))</f>
        <v/>
      </c>
      <c r="CW40" s="37">
        <f>INDEX(Tax_Credit[First Dependant],MATCH($CJ40,Tax_Credit[[Tax Year]:[Tax Year]],0))</f>
        <v/>
      </c>
      <c r="CX40" s="37">
        <f>INDEX(Tax_Credit[Each Additional],MATCH($CJ40,Tax_Credit[[Tax Year]:[Tax Year]],0))</f>
        <v/>
      </c>
      <c r="CY40" s="484">
        <f>Y40</f>
        <v/>
      </c>
      <c r="CZ40" s="601">
        <f>AP40</f>
        <v/>
      </c>
      <c r="DA40" s="37">
        <f t="array" ref="DA40">INDEX($CL40:$CR40,0,MATCH($CZ40,$CL40:$CR40,1))</f>
        <v/>
      </c>
      <c r="DB40" s="37">
        <f t="array" ref="DB40">IFERROR(INDEX(Tax_Tables[Percentages],$CK40+MATCH($DA40,$CL40:$CR40,0)-1),"")</f>
        <v/>
      </c>
      <c r="DC40" s="37">
        <f t="array" ref="DC40">IFERROR(INDEX(Tax_Tables[Tax],$CK40+MATCH($DA40,$CL40:$CR40,0)-1),"")</f>
        <v/>
      </c>
      <c r="DD40" s="37">
        <f>IF(CY40&lt;65,CS40,IF(CY40&lt;75,CT40,CU40))</f>
        <v/>
      </c>
      <c r="DE40" s="37">
        <f>CV40*(Summary!$C$31="Y")+(Summary!$C$31="Y")*(CW40*(Pre_MDep&gt;=1)+CX40*MAX(Pre_MDep-1,0))</f>
        <v/>
      </c>
      <c r="DF40" s="599">
        <f>IFERROR(MAX(DB40*(CZ40-DA40)+DC40-DD40-DE40*12,0),"")</f>
        <v/>
      </c>
      <c r="DG40" s="602" t="n"/>
      <c r="DH40" s="601">
        <f>BL40</f>
        <v/>
      </c>
      <c r="DI40" s="37">
        <f t="array" ref="DI40">INDEX($CL40:$CR40,0,MATCH($DH40,$CL40:$CR40,1))</f>
        <v/>
      </c>
      <c r="DJ40" s="37">
        <f t="array" ref="DJ40">IFERROR(INDEX(Tax_Tables[Percentages],$CK40+MATCH($DI40,$CL40:$CR40,0)-1),"")</f>
        <v/>
      </c>
      <c r="DK40" s="37">
        <f t="array" ref="DK40">IFERROR(INDEX(Tax_Tables[Tax],$CK40+MATCH($DI40,$CL40:$CR40,0)-1),"")</f>
        <v/>
      </c>
      <c r="DL40" s="37">
        <f>CV40*(Summary!$C$81="Y")+(Summary!$C$81="Y")*(CW40*(Post_MDep&gt;=1)+CX40*MAX(Post_MDep-1,0))</f>
        <v/>
      </c>
      <c r="DM40" s="599">
        <f>IFERROR(MAX(DJ40*(DH40-DI40)+DK40-DD40-DL40*12,0),"")</f>
        <v/>
      </c>
      <c r="DN40" s="601" t="n"/>
      <c r="DO40" s="37" t="n"/>
      <c r="DP40" s="37" t="n"/>
      <c r="DQ40" s="37" t="n"/>
      <c r="DR40" s="37" t="n"/>
      <c r="DS40" s="37" t="n"/>
      <c r="DT40" s="37" t="n"/>
      <c r="DU40" s="37" t="n"/>
      <c r="DV40" s="37" t="n"/>
      <c r="DW40" s="37" t="n"/>
      <c r="DX40" s="599" t="n"/>
      <c r="DY40" s="131" t="n"/>
      <c r="DZ40" s="601" t="n"/>
      <c r="EA40" s="37" t="n"/>
      <c r="EB40" s="37" t="n"/>
      <c r="EC40" s="37" t="n"/>
      <c r="ED40" s="599" t="n"/>
      <c r="EE40" s="595" t="n"/>
      <c r="EF40" s="25" t="n"/>
    </row>
    <row r="41">
      <c r="C41" s="596">
        <f>C40+D41-D40</f>
        <v/>
      </c>
      <c r="D41" s="160">
        <f>AU41</f>
        <v/>
      </c>
      <c r="E41" s="87">
        <f>IF(DoC=V41,"Calc Date",IF(V41&lt;DoC,"PL","FL"))</f>
        <v/>
      </c>
      <c r="F41" s="310">
        <f>F40+1</f>
        <v/>
      </c>
      <c r="G41" s="31">
        <f>VLOOKUP(F41,C$10:D$148,2)</f>
        <v/>
      </c>
      <c r="H41" s="313">
        <f>H40</f>
        <v/>
      </c>
      <c r="I41" s="281">
        <f>I40</f>
        <v/>
      </c>
      <c r="J41" s="589">
        <f>I41*index/VLOOKUP($H41,CPI!A:E,4,FALSE)</f>
        <v/>
      </c>
      <c r="K41" s="589">
        <f>IF(L41="Linear",(J41-J40)/(G41-G40),0)</f>
        <v/>
      </c>
      <c r="L41" s="311" t="inlineStr">
        <is>
          <t>Flat</t>
        </is>
      </c>
      <c r="M41" s="137" t="n"/>
      <c r="N41" s="310">
        <f>N40+1</f>
        <v/>
      </c>
      <c r="O41" s="31">
        <f>O40+N41-N40</f>
        <v/>
      </c>
      <c r="P41" s="313">
        <f>P40</f>
        <v/>
      </c>
      <c r="Q41" s="281">
        <f>Q40</f>
        <v/>
      </c>
      <c r="R41" s="589">
        <f>Q41*index/VLOOKUP($P41,CPI!A:E,4,FALSE)</f>
        <v/>
      </c>
      <c r="S41" s="589">
        <f>IF(T41="Linear",(R41-R40)/(O41-O40),0)</f>
        <v/>
      </c>
      <c r="T41" s="311" t="inlineStr">
        <is>
          <t>Flat</t>
        </is>
      </c>
      <c r="U41" s="144" t="n"/>
      <c r="V41" s="6">
        <f>IF(AND($V40=DoA,MONTH(V40)&lt;3),DATE(YEAR(DoA),3,1),IF(AND(IFERROR(DATEDIF(V40,DoC,"M"),12)&lt;12,IFERROR(DATEDIF(V40,DoC,"M"),12)&gt;0),DoC,DATE(YEAR(V40)+(1-AND(YEAR(DoC)=Current,V40=DoC)-AND(V40=DoA,MONTH(V40)&lt;3)),3,1)))</f>
        <v/>
      </c>
      <c r="W41" s="31">
        <f>IF(V41=DoR_Pre,IF(MONTH(DoR_Pre)&gt;3,YEAR(DoR_Pre)+1,YEAR(DoR_Pre)),IF(MONTH(V41)&gt;3,Current,YEAR(V41)))</f>
        <v/>
      </c>
      <c r="X41" s="597">
        <f>IF(W41=Current,ROUND((V41-V40)/365.25,5),_xlfn.IFNA(INDEX(Summary!$A$5:$A$22,MATCH('LOE Sc1'!W41,Summary!$C$5:$C$22,0)),IF(W41=Ret_Yr_pre,ROUND((DoR_Pre-V40)/365.25,5),ROUND((V41-V40)/365.25,2))))</f>
        <v/>
      </c>
      <c r="Y41" s="55">
        <f>IF(AND(V41=DoC,MONTH(DoC)&lt;&gt;3),ROUNDDOWN(DATEDIF(DoB,V42,"M")/12,),ROUNDDOWN(DATEDIF(DoB,V41,"M")/12,))</f>
        <v/>
      </c>
      <c r="Z41" s="590" t="n"/>
      <c r="AA41" s="25">
        <f>MAX(RetAge_Pre-Y41,0)</f>
        <v/>
      </c>
      <c r="AB41" s="26">
        <f t="array" ref="AB41">IF(W41&gt;Ret_Yr_pre,0,_xlfn.IFNA(VLOOKUP(Y41,F$11:J$1000,5,),IF(AND(W41=Current,V41&gt;DoC,MONTH(DoC)&lt;&gt;3),AB40,AB40+INDEX(K$11:K$1000,MATCH(Y41,F$11:F$1000,1)+1))))</f>
        <v/>
      </c>
      <c r="AC41" s="590">
        <f>IF(V41&lt;DoC,AB41*VLOOKUP(YEAR(V41),CPI!A:E,4,FALSE)/index,AB41*real_i^INT(BP41))</f>
        <v/>
      </c>
      <c r="AD41" s="590">
        <f>$AC41/12*Bonus</f>
        <v/>
      </c>
      <c r="AE41" s="590">
        <f>IF($E41="FL",MedSub*m^INT(BP41),MedSub)*IF(Summary!$C$31="Y",1,0)*(W41&lt;=Ret_Yr_pre)*(Summary!C$31="Y")</f>
        <v/>
      </c>
      <c r="AF41" s="590">
        <f>IF(Summary!$C$30="Y",IF(E41&lt;&gt;"PL",VLOOKUP(Current,'Housing Allowance'!$A:$B,2,),VLOOKUP(YEAR($V41),'Housing Allowance'!$A:$B,2,)),0)*(W41&lt;=Ret_Yr_pre)</f>
        <v/>
      </c>
      <c r="AG41" s="590">
        <f>AC41*overtime</f>
        <v/>
      </c>
      <c r="AH41" s="590">
        <f>AC41*allow_1</f>
        <v/>
      </c>
      <c r="AI41" s="590">
        <f>(AB41&lt;&gt;0)*12*allow_2</f>
        <v/>
      </c>
      <c r="AJ41" s="590" t="n"/>
      <c r="AK41" s="581">
        <f>IF(YEAR(W41)&lt;=Ret_Yr_pre,SUM(AC41:AJ41),0)*IF($W41=Ret_Yr_pre,X41,1)</f>
        <v/>
      </c>
      <c r="AL41" s="581">
        <f>IF($W41&gt;=Ret_Yr_pre,pens_Pre*(GEPF_pre="Y"),0)*IF($W41=Ret_Yr_pre,1-$X41,1)*IF(Ret_Yr_pre&lt;Current,(_xlfn.IFNA(VLOOKUP($D41,CPI!$A:$E,2,FALSE),VLOOKUP(Current,CPI!$A:$E,2,FALSE))/VLOOKUP(Ret_Yr_pre,CPI!$A:$E,2,FALSE)),1)</f>
        <v/>
      </c>
      <c r="AM41" s="590">
        <f>$AC41*ee*IF($W41=Ret_Yr_pre,$X41,1)</f>
        <v/>
      </c>
      <c r="AN41" s="590">
        <f>$AC41*er*IF($W41=Ret_Yr_pre,$X41,1)</f>
        <v/>
      </c>
      <c r="AO41" s="590">
        <f>IF('LOE Sc1'!$W41=Ret_Yr_pre,Gratuity_Pre*(GEPF_pre="Y"),0)</f>
        <v/>
      </c>
      <c r="AP41" s="581">
        <f>AK41+AL41-$AM41-AN41*(GEPF_pre="Y")</f>
        <v/>
      </c>
      <c r="AQ41" s="590">
        <f>IF(DF41&lt;0,0,DF41)</f>
        <v/>
      </c>
      <c r="AR41" s="581">
        <f>(AP41-AQ41+AM41*(AM$7="Y")+AN41*(AN$7="Y"))*IF(W41&lt;Ret_Yr_pre,X41,1)+AO41</f>
        <v/>
      </c>
      <c r="AS41" s="595" t="n"/>
      <c r="AT41" s="6">
        <f>V41</f>
        <v/>
      </c>
      <c r="AU41" s="31">
        <f>W41</f>
        <v/>
      </c>
      <c r="AV41" s="598">
        <f>IF(AU41=Current,ROUND((AT41-AT40)/365.25,5),_xlfn.IFNA(INDEX(Summary!$A$55:$A$72,MATCH('LOE Sc1'!AU41,Summary!$C$55:$C$72,0)),IF(AU41=Ret_Yr_post,ROUND((DoR_Post-AT40)/365.25,5),ROUND((AT41-AT40)/365.25,2))))</f>
        <v/>
      </c>
      <c r="AW41" s="55">
        <f>Y41</f>
        <v/>
      </c>
      <c r="AX41" s="26">
        <f t="array" ref="AX41">IF(AU41&gt;Ret_Yr_post,0,_xlfn.IFNA(VLOOKUP(AW41,N$11:S$1000,5,),IF(AND(AU41=Current,AT41&gt;DoC,MONTH(DoC)&lt;&gt;3),AX40,AX40+INDEX(S$11:S$1000,MATCH(AW41,N$11:N$1000,1)+1))))</f>
        <v/>
      </c>
      <c r="AY41" s="590">
        <f>IF($V41&lt;DoC,AX41*VLOOKUP(YEAR($V41),CPI_Table,4,FALSE)/index,AX41*real_i^INT(BP41))</f>
        <v/>
      </c>
      <c r="AZ41" s="590">
        <f>$AY41/12*Bonus_Post*($AW41&lt;=RetAge_Post)</f>
        <v/>
      </c>
      <c r="BA41" s="590">
        <f>IF($E41="FL",MedSub*m^INT(BP41),MedSub)*IF(Summary!$C$81="Y",1,0)*($AU41&lt;=Ret_Yr_post)*(Summary!$C$81="Y")</f>
        <v/>
      </c>
      <c r="BB41" s="590">
        <f>IF(Summary!$C$80="Y",IF($E41&lt;&gt;"PL",VLOOKUP(Current,'Housing Allowance'!$A:$B,2,),VLOOKUP(YEAR($AT41),'Housing Allowance'!$A:$B,2,)),0)*($AU41&lt;=Ret_Yr_post)</f>
        <v/>
      </c>
      <c r="BC41" s="590">
        <f>AY41*overtime_post</f>
        <v/>
      </c>
      <c r="BD41" s="590">
        <f>$AY41*allow_1_post</f>
        <v/>
      </c>
      <c r="BE41" s="590">
        <f>($AY41&lt;&gt;0)*allow_2_post*12</f>
        <v/>
      </c>
      <c r="BF41" s="590" t="n"/>
      <c r="BG41" s="581">
        <f>IF(YEAR($V41)&lt;=Ret_Yr_post,SUM(AY41:BF41),0)*IF($W41=Ret_Yr_post,AV41,1)</f>
        <v/>
      </c>
      <c r="BH41" s="581">
        <f>IF($W41&gt;=Ret_Yr_post,pens_Post*(GEPF_pre="Y"),0)*IF($W41=Ret_Yr_post,1-$AV41,1)*IF(Ret_Yr_post&lt;Current,(_xlfn.IFNA(VLOOKUP($D41,CPI!$A:$E,2,FALSE),VLOOKUP(Current,CPI!$A:$E,2,FALSE))/VLOOKUP(Ret_Yr_post,CPI!$A:$E,2,FALSE)),1)</f>
        <v/>
      </c>
      <c r="BI41" s="590">
        <f>$AY41*ee_post*IF($W41=Ret_Yr_post,$AV41,1)</f>
        <v/>
      </c>
      <c r="BJ41" s="590">
        <f>$AY41*er_post*IF($W41=Ret_Yr_post,$AV41,1)</f>
        <v/>
      </c>
      <c r="BK41" s="590">
        <f>IF('LOE Sc1'!$W41=Ret_Yr_post,Gratuity_Post*(GEPF_post="Y"),0)</f>
        <v/>
      </c>
      <c r="BL41" s="581">
        <f>BG41+BH41-BI41-BJ41*(GEPF_post="Y")</f>
        <v/>
      </c>
      <c r="BM41" s="590">
        <f>IF(DM41&lt;0,0,DM41)</f>
        <v/>
      </c>
      <c r="BN41" s="581">
        <f>(BL41-BM41+BI41*(BI$7="Y")+BJ41*(BJ$7="Y"))*IF($W41&lt;Ret_Yr_post,AV41,1)+BK41</f>
        <v/>
      </c>
      <c r="BO41" s="591" t="n"/>
      <c r="BP41" s="592">
        <f>IF($E41="FL",IF($X41&lt;=DoC,DATEDIF(DoC,$V41,"M")/12,0),0)</f>
        <v/>
      </c>
      <c r="BQ41" s="592">
        <f>IF($E41="FL",(1+CPI)^INT(BP41),0)</f>
        <v/>
      </c>
      <c r="BR41" s="592">
        <f>IF($E41="FL",IF(($BP41-0.5)&gt;=0,1/(1+d)^($BP41-0.5),1/(1+d)^($BP41)),0)</f>
        <v/>
      </c>
      <c r="BS41" s="592" t="n"/>
      <c r="BT41" s="25">
        <f>IF(gender="M",VLOOKUP($Y41+pre_mort+IF(MONTH(DoC)&lt;MONTH(DoB),IF(MONTH(DoC)&lt;3,0,-1),IF(MONTH(DoB)&lt;3,-1,0)),'SALT LIFE TABLES'!$A$7:$E$106,2),VLOOKUP($Y41+pre_mort+IF(MONTH(DoC)&lt;MONTH(DoB),IF(MONTH(DoC)&lt;3,0,-1),IF(MONTH(DoB)&lt;3,-1,0)),'SALT LIFE TABLES'!$A$7:$E$106,4))</f>
        <v/>
      </c>
      <c r="BU41" s="592">
        <f>IF($E41="PL",1,BT41/BU$7)</f>
        <v/>
      </c>
      <c r="BV41" s="593" t="n"/>
      <c r="BW41" s="25">
        <f>IF(gender="M",VLOOKUP($Y41+post_mort+IF(MONTH(DoC)&lt;MONTH(DoB),IF(MONTH(DoC)&lt;3,0,-1),IF(MONTH(DoB)&lt;3,-1,0)),'SALT LIFE TABLES'!$A$7:$E$106,2),VLOOKUP($Y41+post_mort+IF(MONTH(DoC)&lt;MONTH(DoB),IF(MONTH(DoC)&lt;3,0,-1),IF(MONTH(DoB)&lt;3,-1,0)),'SALT LIFE TABLES'!$A$7:$E$106,4))</f>
        <v/>
      </c>
      <c r="BX41" s="592">
        <f>IF($E41="PL",1,BW41/BX$7)</f>
        <v/>
      </c>
      <c r="BY41" s="594" t="n"/>
      <c r="BZ41" s="592" t="n"/>
      <c r="CA41" s="592">
        <f>IF($E41="FL",$AR41*$BQ41*$BR41*$BU41,$AR41)</f>
        <v/>
      </c>
      <c r="CB41" s="592">
        <f>IF($E41="FL",$BN41*$BQ41*$BR41*$BX41,$BN41)</f>
        <v/>
      </c>
      <c r="CC41" s="592" t="n"/>
      <c r="CD41" s="592">
        <f>IF($E41="FL",$CA41*(1-pre_FL),$CA41*(1-pre_PL))</f>
        <v/>
      </c>
      <c r="CE41" s="592">
        <f>IF($E41="FL",$CB41*(1-post_FL),$CB41*(1-post_PL))</f>
        <v/>
      </c>
      <c r="CF41" s="592" t="n"/>
      <c r="CG41" s="599">
        <f>CD41-CE41</f>
        <v/>
      </c>
      <c r="CH41" s="599">
        <f>MIN(CG41,IF(W41=Ret_Yr_pre,1,$X41)*Cap)</f>
        <v/>
      </c>
      <c r="CI41" s="128" t="n"/>
      <c r="CJ41" s="37">
        <f>IF(D41&gt;Current,Current,D41)</f>
        <v/>
      </c>
      <c r="CK41" s="37">
        <f>MATCH($CJ41,Tax_Tables[Tax Year],0)</f>
        <v/>
      </c>
      <c r="CL41" s="600" t="n">
        <v>0</v>
      </c>
      <c r="CM41" s="600">
        <f t="array" ref="CM41">INDEX(Tax_Tables[[Limits]:[Limits]],$CK41+CM$8)</f>
        <v/>
      </c>
      <c r="CN41" s="600">
        <f t="array" ref="CN41">INDEX(Tax_Tables[[Limits]:[Limits]],$CK41+CN$8)</f>
        <v/>
      </c>
      <c r="CO41" s="600">
        <f t="array" ref="CO41">INDEX(Tax_Tables[[Limits]:[Limits]],$CK41+CO$8)</f>
        <v/>
      </c>
      <c r="CP41" s="600">
        <f t="array" ref="CP41">INDEX(Tax_Tables[[Limits]:[Limits]],$CK41+CP$8)</f>
        <v/>
      </c>
      <c r="CQ41" s="600">
        <f t="array" ref="CQ41">INDEX(Tax_Tables[[Limits]:[Limits]],$CK41+CQ$8)</f>
        <v/>
      </c>
      <c r="CR41" s="600">
        <f t="array" ref="CR41">INDEX(Tax_Tables[[Limits]:[Limits]],$CK41+CR$8)</f>
        <v/>
      </c>
      <c r="CS41" s="37">
        <f>INDEX(Rebate[&lt;65],MATCH($CJ41,Rebate[[Tax Year]:[Tax Year]],0))</f>
        <v/>
      </c>
      <c r="CT41" s="37">
        <f>INDEX(Rebate[&lt;75],MATCH($CJ41,Rebate[[Tax Year]:[Tax Year]],0))</f>
        <v/>
      </c>
      <c r="CU41" s="37">
        <f>INDEX(Rebate[&gt;75],MATCH($CJ41,Rebate[[Tax Year]:[Tax Year]],0))</f>
        <v/>
      </c>
      <c r="CV41" s="37">
        <f>INDEX(Tax_Credit[Principal],MATCH($CJ41,Tax_Credit[[Tax Year]:[Tax Year]],0))</f>
        <v/>
      </c>
      <c r="CW41" s="37">
        <f>INDEX(Tax_Credit[First Dependant],MATCH($CJ41,Tax_Credit[[Tax Year]:[Tax Year]],0))</f>
        <v/>
      </c>
      <c r="CX41" s="37">
        <f>INDEX(Tax_Credit[Each Additional],MATCH($CJ41,Tax_Credit[[Tax Year]:[Tax Year]],0))</f>
        <v/>
      </c>
      <c r="CY41" s="484">
        <f>Y41</f>
        <v/>
      </c>
      <c r="CZ41" s="601">
        <f>AP41</f>
        <v/>
      </c>
      <c r="DA41" s="37">
        <f t="array" ref="DA41">INDEX($CL41:$CR41,0,MATCH($CZ41,$CL41:$CR41,1))</f>
        <v/>
      </c>
      <c r="DB41" s="37">
        <f t="array" ref="DB41">IFERROR(INDEX(Tax_Tables[Percentages],$CK41+MATCH($DA41,$CL41:$CR41,0)-1),"")</f>
        <v/>
      </c>
      <c r="DC41" s="37">
        <f t="array" ref="DC41">IFERROR(INDEX(Tax_Tables[Tax],$CK41+MATCH($DA41,$CL41:$CR41,0)-1),"")</f>
        <v/>
      </c>
      <c r="DD41" s="37">
        <f>IF(CY41&lt;65,CS41,IF(CY41&lt;75,CT41,CU41))</f>
        <v/>
      </c>
      <c r="DE41" s="37">
        <f>CV41*(Summary!$C$31="Y")+(Summary!$C$31="Y")*(CW41*(Pre_MDep&gt;=1)+CX41*MAX(Pre_MDep-1,0))</f>
        <v/>
      </c>
      <c r="DF41" s="599">
        <f>IFERROR(MAX(DB41*(CZ41-DA41)+DC41-DD41-DE41*12,0),"")</f>
        <v/>
      </c>
      <c r="DG41" s="602" t="n"/>
      <c r="DH41" s="601">
        <f>BL41</f>
        <v/>
      </c>
      <c r="DI41" s="37">
        <f t="array" ref="DI41">INDEX($CL41:$CR41,0,MATCH($DH41,$CL41:$CR41,1))</f>
        <v/>
      </c>
      <c r="DJ41" s="37">
        <f t="array" ref="DJ41">IFERROR(INDEX(Tax_Tables[Percentages],$CK41+MATCH($DI41,$CL41:$CR41,0)-1),"")</f>
        <v/>
      </c>
      <c r="DK41" s="37">
        <f t="array" ref="DK41">IFERROR(INDEX(Tax_Tables[Tax],$CK41+MATCH($DI41,$CL41:$CR41,0)-1),"")</f>
        <v/>
      </c>
      <c r="DL41" s="37">
        <f>CV41*(Summary!$C$81="Y")+(Summary!$C$81="Y")*(CW41*(Post_MDep&gt;=1)+CX41*MAX(Post_MDep-1,0))</f>
        <v/>
      </c>
      <c r="DM41" s="599">
        <f>IFERROR(MAX(DJ41*(DH41-DI41)+DK41-DD41-DL41*12,0),"")</f>
        <v/>
      </c>
      <c r="DN41" s="601" t="n"/>
      <c r="DO41" s="37" t="n"/>
      <c r="DP41" s="37" t="n"/>
      <c r="DQ41" s="37" t="n"/>
      <c r="DR41" s="37" t="n"/>
      <c r="DS41" s="37" t="n"/>
      <c r="DT41" s="37" t="n"/>
      <c r="DU41" s="37" t="n"/>
      <c r="DV41" s="37" t="n"/>
      <c r="DW41" s="37" t="n"/>
      <c r="DX41" s="599" t="n"/>
      <c r="DY41" s="131" t="n"/>
      <c r="DZ41" s="601" t="n"/>
      <c r="EA41" s="37" t="n"/>
      <c r="EB41" s="37" t="n"/>
      <c r="EC41" s="37" t="n"/>
      <c r="ED41" s="599" t="n"/>
      <c r="EE41" s="595" t="n"/>
      <c r="EF41" s="25" t="n"/>
    </row>
    <row r="42">
      <c r="C42" s="596">
        <f>C41+D42-D41</f>
        <v/>
      </c>
      <c r="D42" s="160">
        <f>AU42</f>
        <v/>
      </c>
      <c r="E42" s="87">
        <f>IF(DoC=V42,"Calc Date",IF(V42&lt;DoC,"PL","FL"))</f>
        <v/>
      </c>
      <c r="F42" s="310">
        <f>F41+1</f>
        <v/>
      </c>
      <c r="G42" s="31">
        <f>VLOOKUP(F42,C$10:D$148,2)</f>
        <v/>
      </c>
      <c r="H42" s="313">
        <f>H41</f>
        <v/>
      </c>
      <c r="I42" s="281">
        <f>I41</f>
        <v/>
      </c>
      <c r="J42" s="589">
        <f>I42*index/VLOOKUP($H42,CPI!A:E,4,FALSE)</f>
        <v/>
      </c>
      <c r="K42" s="589">
        <f>IF(L42="Linear",(J42-J41)/(G42-G41),0)</f>
        <v/>
      </c>
      <c r="L42" s="311" t="inlineStr">
        <is>
          <t>Flat</t>
        </is>
      </c>
      <c r="M42" s="137" t="n"/>
      <c r="N42" s="310">
        <f>N41+1</f>
        <v/>
      </c>
      <c r="O42" s="31">
        <f>O41+N42-N41</f>
        <v/>
      </c>
      <c r="P42" s="313">
        <f>P41</f>
        <v/>
      </c>
      <c r="Q42" s="281">
        <f>Q41</f>
        <v/>
      </c>
      <c r="R42" s="589">
        <f>Q42*index/VLOOKUP($P42,CPI!A:E,4,FALSE)</f>
        <v/>
      </c>
      <c r="S42" s="589">
        <f>IF(T42="Linear",(R42-R41)/(O42-O41),0)</f>
        <v/>
      </c>
      <c r="T42" s="311" t="inlineStr">
        <is>
          <t>Flat</t>
        </is>
      </c>
      <c r="U42" s="144" t="n"/>
      <c r="V42" s="6">
        <f>IF(AND($V41=DoA,MONTH(V41)&lt;3),DATE(YEAR(DoA),3,1),IF(AND(IFERROR(DATEDIF(V41,DoC,"M"),12)&lt;12,IFERROR(DATEDIF(V41,DoC,"M"),12)&gt;0),DoC,DATE(YEAR(V41)+(1-AND(YEAR(DoC)=Current,V41=DoC)-AND(V41=DoA,MONTH(V41)&lt;3)),3,1)))</f>
        <v/>
      </c>
      <c r="W42" s="31">
        <f>IF(V42=DoR_Pre,IF(MONTH(DoR_Pre)&gt;3,YEAR(DoR_Pre)+1,YEAR(DoR_Pre)),IF(MONTH(V42)&gt;3,Current,YEAR(V42)))</f>
        <v/>
      </c>
      <c r="X42" s="597">
        <f>IF(W42=Current,ROUND((V42-V41)/365.25,5),_xlfn.IFNA(INDEX(Summary!$A$5:$A$22,MATCH('LOE Sc1'!W42,Summary!$C$5:$C$22,0)),IF(W42=Ret_Yr_pre,ROUND((DoR_Pre-V41)/365.25,5),ROUND((V42-V41)/365.25,2))))</f>
        <v/>
      </c>
      <c r="Y42" s="55">
        <f>IF(AND(V42=DoC,MONTH(DoC)&lt;&gt;3),ROUNDDOWN(DATEDIF(DoB,V43,"M")/12,),ROUNDDOWN(DATEDIF(DoB,V42,"M")/12,))</f>
        <v/>
      </c>
      <c r="Z42" s="590" t="n"/>
      <c r="AA42" s="25">
        <f>MAX(RetAge_Pre-Y42,0)</f>
        <v/>
      </c>
      <c r="AB42" s="26">
        <f t="array" ref="AB42">IF(W42&gt;Ret_Yr_pre,0,_xlfn.IFNA(VLOOKUP(Y42,F$11:J$1000,5,),IF(AND(W42=Current,V42&gt;DoC,MONTH(DoC)&lt;&gt;3),AB41,AB41+INDEX(K$11:K$1000,MATCH(Y42,F$11:F$1000,1)+1))))</f>
        <v/>
      </c>
      <c r="AC42" s="590">
        <f>IF(V42&lt;DoC,AB42*VLOOKUP(YEAR(V42),CPI!A:E,4,FALSE)/index,AB42*real_i^INT(BP42))</f>
        <v/>
      </c>
      <c r="AD42" s="590">
        <f>$AC42/12*Bonus</f>
        <v/>
      </c>
      <c r="AE42" s="590">
        <f>IF($E42="FL",MedSub*m^INT(BP42),MedSub)*IF(Summary!$C$31="Y",1,0)*(W42&lt;=Ret_Yr_pre)*(Summary!C$31="Y")</f>
        <v/>
      </c>
      <c r="AF42" s="590">
        <f>IF(Summary!$C$30="Y",IF(E42&lt;&gt;"PL",VLOOKUP(Current,'Housing Allowance'!$A:$B,2,),VLOOKUP(YEAR($V42),'Housing Allowance'!$A:$B,2,)),0)*(W42&lt;=Ret_Yr_pre)</f>
        <v/>
      </c>
      <c r="AG42" s="590">
        <f>AC42*overtime</f>
        <v/>
      </c>
      <c r="AH42" s="590">
        <f>AC42*allow_1</f>
        <v/>
      </c>
      <c r="AI42" s="590">
        <f>(AB42&lt;&gt;0)*12*allow_2</f>
        <v/>
      </c>
      <c r="AJ42" s="590" t="n"/>
      <c r="AK42" s="581">
        <f>IF(YEAR(W42)&lt;=Ret_Yr_pre,SUM(AC42:AJ42),0)*IF($W42=Ret_Yr_pre,X42,1)</f>
        <v/>
      </c>
      <c r="AL42" s="581">
        <f>IF($W42&gt;=Ret_Yr_pre,pens_Pre*(GEPF_pre="Y"),0)*IF($W42=Ret_Yr_pre,1-$X42,1)*IF(Ret_Yr_pre&lt;Current,(_xlfn.IFNA(VLOOKUP($D42,CPI!$A:$E,2,FALSE),VLOOKUP(Current,CPI!$A:$E,2,FALSE))/VLOOKUP(Ret_Yr_pre,CPI!$A:$E,2,FALSE)),1)</f>
        <v/>
      </c>
      <c r="AM42" s="590">
        <f>$AC42*ee*IF($W42=Ret_Yr_pre,$X42,1)</f>
        <v/>
      </c>
      <c r="AN42" s="590">
        <f>$AC42*er*IF($W42=Ret_Yr_pre,$X42,1)</f>
        <v/>
      </c>
      <c r="AO42" s="590">
        <f>IF('LOE Sc1'!$W42=Ret_Yr_pre,Gratuity_Pre*(GEPF_pre="Y"),0)</f>
        <v/>
      </c>
      <c r="AP42" s="581">
        <f>AK42+AL42-$AM42-AN42*(GEPF_pre="Y")</f>
        <v/>
      </c>
      <c r="AQ42" s="590">
        <f>IF(DF42&lt;0,0,DF42)</f>
        <v/>
      </c>
      <c r="AR42" s="581">
        <f>(AP42-AQ42+AM42*(AM$7="Y")+AN42*(AN$7="Y"))*IF(W42&lt;Ret_Yr_pre,X42,1)+AO42</f>
        <v/>
      </c>
      <c r="AS42" s="595" t="n"/>
      <c r="AT42" s="6">
        <f>V42</f>
        <v/>
      </c>
      <c r="AU42" s="31">
        <f>W42</f>
        <v/>
      </c>
      <c r="AV42" s="598">
        <f>IF(AU42=Current,ROUND((AT42-AT41)/365.25,5),_xlfn.IFNA(INDEX(Summary!$A$55:$A$72,MATCH('LOE Sc1'!AU42,Summary!$C$55:$C$72,0)),IF(AU42=Ret_Yr_post,ROUND((DoR_Post-AT41)/365.25,5),ROUND((AT42-AT41)/365.25,2))))</f>
        <v/>
      </c>
      <c r="AW42" s="55">
        <f>Y42</f>
        <v/>
      </c>
      <c r="AX42" s="26">
        <f t="array" ref="AX42">IF(AU42&gt;Ret_Yr_post,0,_xlfn.IFNA(VLOOKUP(AW42,N$11:S$1000,5,),IF(AND(AU42=Current,AT42&gt;DoC,MONTH(DoC)&lt;&gt;3),AX41,AX41+INDEX(S$11:S$1000,MATCH(AW42,N$11:N$1000,1)+1))))</f>
        <v/>
      </c>
      <c r="AY42" s="590">
        <f>IF($V42&lt;DoC,AX42*VLOOKUP(YEAR($V42),CPI_Table,4,FALSE)/index,AX42*real_i^INT(BP42))</f>
        <v/>
      </c>
      <c r="AZ42" s="590">
        <f>$AY42/12*Bonus_Post*($AW42&lt;=RetAge_Post)</f>
        <v/>
      </c>
      <c r="BA42" s="590">
        <f>IF($E42="FL",MedSub*m^INT(BP42),MedSub)*IF(Summary!$C$81="Y",1,0)*($AU42&lt;=Ret_Yr_post)*(Summary!$C$81="Y")</f>
        <v/>
      </c>
      <c r="BB42" s="590">
        <f>IF(Summary!$C$80="Y",IF($E42&lt;&gt;"PL",VLOOKUP(Current,'Housing Allowance'!$A:$B,2,),VLOOKUP(YEAR($AT42),'Housing Allowance'!$A:$B,2,)),0)*($AU42&lt;=Ret_Yr_post)</f>
        <v/>
      </c>
      <c r="BC42" s="590">
        <f>AY42*overtime_post</f>
        <v/>
      </c>
      <c r="BD42" s="590">
        <f>$AY42*allow_1_post</f>
        <v/>
      </c>
      <c r="BE42" s="590">
        <f>($AY42&lt;&gt;0)*allow_2_post*12</f>
        <v/>
      </c>
      <c r="BF42" s="590" t="n"/>
      <c r="BG42" s="581">
        <f>IF(YEAR($V42)&lt;=Ret_Yr_post,SUM(AY42:BF42),0)*IF($W42=Ret_Yr_post,AV42,1)</f>
        <v/>
      </c>
      <c r="BH42" s="581">
        <f>IF($W42&gt;=Ret_Yr_post,pens_Post*(GEPF_pre="Y"),0)*IF($W42=Ret_Yr_post,1-$AV42,1)*IF(Ret_Yr_post&lt;Current,(_xlfn.IFNA(VLOOKUP($D42,CPI!$A:$E,2,FALSE),VLOOKUP(Current,CPI!$A:$E,2,FALSE))/VLOOKUP(Ret_Yr_post,CPI!$A:$E,2,FALSE)),1)</f>
        <v/>
      </c>
      <c r="BI42" s="590">
        <f>$AY42*ee_post*IF($W42=Ret_Yr_post,$AV42,1)</f>
        <v/>
      </c>
      <c r="BJ42" s="590">
        <f>$AY42*er_post*IF($W42=Ret_Yr_post,$AV42,1)</f>
        <v/>
      </c>
      <c r="BK42" s="590">
        <f>IF('LOE Sc1'!$W42=Ret_Yr_post,Gratuity_Post*(GEPF_post="Y"),0)</f>
        <v/>
      </c>
      <c r="BL42" s="581">
        <f>BG42+BH42-BI42-BJ42*(GEPF_post="Y")</f>
        <v/>
      </c>
      <c r="BM42" s="590">
        <f>IF(DM42&lt;0,0,DM42)</f>
        <v/>
      </c>
      <c r="BN42" s="581">
        <f>(BL42-BM42+BI42*(BI$7="Y")+BJ42*(BJ$7="Y"))*IF($W42&lt;Ret_Yr_post,AV42,1)+BK42</f>
        <v/>
      </c>
      <c r="BO42" s="591" t="n"/>
      <c r="BP42" s="592">
        <f>IF($E42="FL",IF($X42&lt;=DoC,DATEDIF(DoC,$V42,"M")/12,0),0)</f>
        <v/>
      </c>
      <c r="BQ42" s="592">
        <f>IF($E42="FL",(1+CPI)^INT(BP42),0)</f>
        <v/>
      </c>
      <c r="BR42" s="592">
        <f>IF($E42="FL",IF(($BP42-0.5)&gt;=0,1/(1+d)^($BP42-0.5),1/(1+d)^($BP42)),0)</f>
        <v/>
      </c>
      <c r="BS42" s="592" t="n"/>
      <c r="BT42" s="25">
        <f>IF(gender="M",VLOOKUP($Y42+pre_mort+IF(MONTH(DoC)&lt;MONTH(DoB),IF(MONTH(DoC)&lt;3,0,-1),IF(MONTH(DoB)&lt;3,-1,0)),'SALT LIFE TABLES'!$A$7:$E$106,2),VLOOKUP($Y42+pre_mort+IF(MONTH(DoC)&lt;MONTH(DoB),IF(MONTH(DoC)&lt;3,0,-1),IF(MONTH(DoB)&lt;3,-1,0)),'SALT LIFE TABLES'!$A$7:$E$106,4))</f>
        <v/>
      </c>
      <c r="BU42" s="592">
        <f>IF($E42="PL",1,BT42/BU$7)</f>
        <v/>
      </c>
      <c r="BV42" s="593" t="n"/>
      <c r="BW42" s="25">
        <f>IF(gender="M",VLOOKUP($Y42+post_mort+IF(MONTH(DoC)&lt;MONTH(DoB),IF(MONTH(DoC)&lt;3,0,-1),IF(MONTH(DoB)&lt;3,-1,0)),'SALT LIFE TABLES'!$A$7:$E$106,2),VLOOKUP($Y42+post_mort+IF(MONTH(DoC)&lt;MONTH(DoB),IF(MONTH(DoC)&lt;3,0,-1),IF(MONTH(DoB)&lt;3,-1,0)),'SALT LIFE TABLES'!$A$7:$E$106,4))</f>
        <v/>
      </c>
      <c r="BX42" s="592">
        <f>IF($E42="PL",1,BW42/BX$7)</f>
        <v/>
      </c>
      <c r="BY42" s="594" t="n"/>
      <c r="BZ42" s="592" t="n"/>
      <c r="CA42" s="592">
        <f>IF($E42="FL",$AR42*$BQ42*$BR42*$BU42,$AR42)</f>
        <v/>
      </c>
      <c r="CB42" s="592">
        <f>IF($E42="FL",$BN42*$BQ42*$BR42*$BX42,$BN42)</f>
        <v/>
      </c>
      <c r="CC42" s="592" t="n"/>
      <c r="CD42" s="592">
        <f>IF($E42="FL",$CA42*(1-pre_FL),$CA42*(1-pre_PL))</f>
        <v/>
      </c>
      <c r="CE42" s="592">
        <f>IF($E42="FL",$CB42*(1-post_FL),$CB42*(1-post_PL))</f>
        <v/>
      </c>
      <c r="CF42" s="592" t="n"/>
      <c r="CG42" s="599">
        <f>CD42-CE42</f>
        <v/>
      </c>
      <c r="CH42" s="599">
        <f>MIN(CG42,IF(W42=Ret_Yr_pre,1,$X42)*Cap)</f>
        <v/>
      </c>
      <c r="CI42" s="128" t="n"/>
      <c r="CJ42" s="37">
        <f>IF(D42&gt;Current,Current,D42)</f>
        <v/>
      </c>
      <c r="CK42" s="37">
        <f>MATCH($CJ42,Tax_Tables[Tax Year],0)</f>
        <v/>
      </c>
      <c r="CL42" s="600" t="n">
        <v>0</v>
      </c>
      <c r="CM42" s="600">
        <f t="array" ref="CM42">INDEX(Tax_Tables[[Limits]:[Limits]],$CK42+CM$8)</f>
        <v/>
      </c>
      <c r="CN42" s="600">
        <f t="array" ref="CN42">INDEX(Tax_Tables[[Limits]:[Limits]],$CK42+CN$8)</f>
        <v/>
      </c>
      <c r="CO42" s="600">
        <f t="array" ref="CO42">INDEX(Tax_Tables[[Limits]:[Limits]],$CK42+CO$8)</f>
        <v/>
      </c>
      <c r="CP42" s="600">
        <f t="array" ref="CP42">INDEX(Tax_Tables[[Limits]:[Limits]],$CK42+CP$8)</f>
        <v/>
      </c>
      <c r="CQ42" s="600">
        <f t="array" ref="CQ42">INDEX(Tax_Tables[[Limits]:[Limits]],$CK42+CQ$8)</f>
        <v/>
      </c>
      <c r="CR42" s="600">
        <f t="array" ref="CR42">INDEX(Tax_Tables[[Limits]:[Limits]],$CK42+CR$8)</f>
        <v/>
      </c>
      <c r="CS42" s="37">
        <f>INDEX(Rebate[&lt;65],MATCH($CJ42,Rebate[[Tax Year]:[Tax Year]],0))</f>
        <v/>
      </c>
      <c r="CT42" s="37">
        <f>INDEX(Rebate[&lt;75],MATCH($CJ42,Rebate[[Tax Year]:[Tax Year]],0))</f>
        <v/>
      </c>
      <c r="CU42" s="37">
        <f>INDEX(Rebate[&gt;75],MATCH($CJ42,Rebate[[Tax Year]:[Tax Year]],0))</f>
        <v/>
      </c>
      <c r="CV42" s="37">
        <f>INDEX(Tax_Credit[Principal],MATCH($CJ42,Tax_Credit[[Tax Year]:[Tax Year]],0))</f>
        <v/>
      </c>
      <c r="CW42" s="37">
        <f>INDEX(Tax_Credit[First Dependant],MATCH($CJ42,Tax_Credit[[Tax Year]:[Tax Year]],0))</f>
        <v/>
      </c>
      <c r="CX42" s="37">
        <f>INDEX(Tax_Credit[Each Additional],MATCH($CJ42,Tax_Credit[[Tax Year]:[Tax Year]],0))</f>
        <v/>
      </c>
      <c r="CY42" s="484">
        <f>Y42</f>
        <v/>
      </c>
      <c r="CZ42" s="601">
        <f>AP42</f>
        <v/>
      </c>
      <c r="DA42" s="37">
        <f t="array" ref="DA42">INDEX($CL42:$CR42,0,MATCH($CZ42,$CL42:$CR42,1))</f>
        <v/>
      </c>
      <c r="DB42" s="37">
        <f t="array" ref="DB42">IFERROR(INDEX(Tax_Tables[Percentages],$CK42+MATCH($DA42,$CL42:$CR42,0)-1),"")</f>
        <v/>
      </c>
      <c r="DC42" s="37">
        <f t="array" ref="DC42">IFERROR(INDEX(Tax_Tables[Tax],$CK42+MATCH($DA42,$CL42:$CR42,0)-1),"")</f>
        <v/>
      </c>
      <c r="DD42" s="37">
        <f>IF(CY42&lt;65,CS42,IF(CY42&lt;75,CT42,CU42))</f>
        <v/>
      </c>
      <c r="DE42" s="37">
        <f>CV42*(Summary!$C$31="Y")+(Summary!$C$31="Y")*(CW42*(Pre_MDep&gt;=1)+CX42*MAX(Pre_MDep-1,0))</f>
        <v/>
      </c>
      <c r="DF42" s="599">
        <f>IFERROR(MAX(DB42*(CZ42-DA42)+DC42-DD42-DE42*12,0),"")</f>
        <v/>
      </c>
      <c r="DG42" s="602" t="n"/>
      <c r="DH42" s="601">
        <f>BL42</f>
        <v/>
      </c>
      <c r="DI42" s="37">
        <f t="array" ref="DI42">INDEX($CL42:$CR42,0,MATCH($DH42,$CL42:$CR42,1))</f>
        <v/>
      </c>
      <c r="DJ42" s="37">
        <f t="array" ref="DJ42">IFERROR(INDEX(Tax_Tables[Percentages],$CK42+MATCH($DI42,$CL42:$CR42,0)-1),"")</f>
        <v/>
      </c>
      <c r="DK42" s="37">
        <f t="array" ref="DK42">IFERROR(INDEX(Tax_Tables[Tax],$CK42+MATCH($DI42,$CL42:$CR42,0)-1),"")</f>
        <v/>
      </c>
      <c r="DL42" s="37">
        <f>CV42*(Summary!$C$81="Y")+(Summary!$C$81="Y")*(CW42*(Post_MDep&gt;=1)+CX42*MAX(Post_MDep-1,0))</f>
        <v/>
      </c>
      <c r="DM42" s="599">
        <f>IFERROR(MAX(DJ42*(DH42-DI42)+DK42-DD42-DL42*12,0),"")</f>
        <v/>
      </c>
      <c r="DN42" s="601" t="n"/>
      <c r="DO42" s="37" t="n"/>
      <c r="DP42" s="37" t="n"/>
      <c r="DQ42" s="37" t="n"/>
      <c r="DR42" s="37" t="n"/>
      <c r="DS42" s="37" t="n"/>
      <c r="DT42" s="37" t="n"/>
      <c r="DU42" s="37" t="n"/>
      <c r="DV42" s="37" t="n"/>
      <c r="DW42" s="37" t="n"/>
      <c r="DX42" s="599" t="n"/>
      <c r="DY42" s="131" t="n"/>
      <c r="DZ42" s="601" t="n"/>
      <c r="EA42" s="37" t="n"/>
      <c r="EB42" s="37" t="n"/>
      <c r="EC42" s="37" t="n"/>
      <c r="ED42" s="599" t="n"/>
      <c r="EE42" s="595" t="n"/>
      <c r="EF42" s="25" t="n"/>
    </row>
    <row r="43">
      <c r="C43" s="596">
        <f>C42+D43-D42</f>
        <v/>
      </c>
      <c r="D43" s="160">
        <f>AU43</f>
        <v/>
      </c>
      <c r="E43" s="87">
        <f>IF(DoC=V43,"Calc Date",IF(V43&lt;DoC,"PL","FL"))</f>
        <v/>
      </c>
      <c r="F43" s="310">
        <f>F42+1</f>
        <v/>
      </c>
      <c r="G43" s="31">
        <f>VLOOKUP(F43,C$10:D$148,2)</f>
        <v/>
      </c>
      <c r="H43" s="313">
        <f>H42</f>
        <v/>
      </c>
      <c r="I43" s="281">
        <f>I42</f>
        <v/>
      </c>
      <c r="J43" s="589">
        <f>I43*index/VLOOKUP($H43,CPI!A:E,4,FALSE)</f>
        <v/>
      </c>
      <c r="K43" s="589">
        <f>IF(L43="Linear",(J43-J42)/(G43-G42),0)</f>
        <v/>
      </c>
      <c r="L43" s="311" t="inlineStr">
        <is>
          <t>Flat</t>
        </is>
      </c>
      <c r="M43" s="137" t="n"/>
      <c r="N43" s="310">
        <f>N42+1</f>
        <v/>
      </c>
      <c r="O43" s="31">
        <f>O42+N43-N42</f>
        <v/>
      </c>
      <c r="P43" s="313">
        <f>P42</f>
        <v/>
      </c>
      <c r="Q43" s="281">
        <f>Q42</f>
        <v/>
      </c>
      <c r="R43" s="589">
        <f>Q43*index/VLOOKUP($P43,CPI!A:E,4,FALSE)</f>
        <v/>
      </c>
      <c r="S43" s="589">
        <f>IF(T43="Linear",(R43-R42)/(O43-O42),0)</f>
        <v/>
      </c>
      <c r="T43" s="311" t="inlineStr">
        <is>
          <t>Flat</t>
        </is>
      </c>
      <c r="U43" s="144" t="n"/>
      <c r="V43" s="6">
        <f>IF(AND($V42=DoA,MONTH(V42)&lt;3),DATE(YEAR(DoA),3,1),IF(AND(IFERROR(DATEDIF(V42,DoC,"M"),12)&lt;12,IFERROR(DATEDIF(V42,DoC,"M"),12)&gt;0),DoC,DATE(YEAR(V42)+(1-AND(YEAR(DoC)=Current,V42=DoC)-AND(V42=DoA,MONTH(V42)&lt;3)),3,1)))</f>
        <v/>
      </c>
      <c r="W43" s="31">
        <f>IF(V43=DoR_Pre,IF(MONTH(DoR_Pre)&gt;3,YEAR(DoR_Pre)+1,YEAR(DoR_Pre)),IF(MONTH(V43)&gt;3,Current,YEAR(V43)))</f>
        <v/>
      </c>
      <c r="X43" s="597">
        <f>IF(W43=Current,ROUND((V43-V42)/365.25,5),_xlfn.IFNA(INDEX(Summary!$A$5:$A$22,MATCH('LOE Sc1'!W43,Summary!$C$5:$C$22,0)),IF(W43=Ret_Yr_pre,ROUND((DoR_Pre-V42)/365.25,5),ROUND((V43-V42)/365.25,2))))</f>
        <v/>
      </c>
      <c r="Y43" s="55">
        <f>IF(AND(V43=DoC,MONTH(DoC)&lt;&gt;3),ROUNDDOWN(DATEDIF(DoB,V44,"M")/12,),ROUNDDOWN(DATEDIF(DoB,V43,"M")/12,))</f>
        <v/>
      </c>
      <c r="Z43" s="590" t="n"/>
      <c r="AA43" s="25">
        <f>MAX(RetAge_Pre-Y43,0)</f>
        <v/>
      </c>
      <c r="AB43" s="26">
        <f t="array" ref="AB43">IF(W43&gt;Ret_Yr_pre,0,_xlfn.IFNA(VLOOKUP(Y43,F$11:J$1000,5,),IF(AND(W43=Current,V43&gt;DoC,MONTH(DoC)&lt;&gt;3),AB42,AB42+INDEX(K$11:K$1000,MATCH(Y43,F$11:F$1000,1)+1))))</f>
        <v/>
      </c>
      <c r="AC43" s="590">
        <f>IF(V43&lt;DoC,AB43*VLOOKUP(YEAR(V43),CPI!A:E,4,FALSE)/index,AB43*real_i^INT(BP43))</f>
        <v/>
      </c>
      <c r="AD43" s="590">
        <f>$AC43/12*Bonus</f>
        <v/>
      </c>
      <c r="AE43" s="590">
        <f>IF($E43="FL",MedSub*m^INT(BP43),MedSub)*IF(Summary!$C$31="Y",1,0)*(W43&lt;=Ret_Yr_pre)*(Summary!C$31="Y")</f>
        <v/>
      </c>
      <c r="AF43" s="590">
        <f>IF(Summary!$C$30="Y",IF(E43&lt;&gt;"PL",VLOOKUP(Current,'Housing Allowance'!$A:$B,2,),VLOOKUP(YEAR($V43),'Housing Allowance'!$A:$B,2,)),0)*(W43&lt;=Ret_Yr_pre)</f>
        <v/>
      </c>
      <c r="AG43" s="590">
        <f>AC43*overtime</f>
        <v/>
      </c>
      <c r="AH43" s="590">
        <f>AC43*allow_1</f>
        <v/>
      </c>
      <c r="AI43" s="590">
        <f>(AB43&lt;&gt;0)*12*allow_2</f>
        <v/>
      </c>
      <c r="AJ43" s="590" t="n"/>
      <c r="AK43" s="581">
        <f>IF(YEAR(W43)&lt;=Ret_Yr_pre,SUM(AC43:AJ43),0)*IF($W43=Ret_Yr_pre,X43,1)</f>
        <v/>
      </c>
      <c r="AL43" s="581">
        <f>IF($W43&gt;=Ret_Yr_pre,pens_Pre*(GEPF_pre="Y"),0)*IF($W43=Ret_Yr_pre,1-$X43,1)*IF(Ret_Yr_pre&lt;Current,(_xlfn.IFNA(VLOOKUP($D43,CPI!$A:$E,2,FALSE),VLOOKUP(Current,CPI!$A:$E,2,FALSE))/VLOOKUP(Ret_Yr_pre,CPI!$A:$E,2,FALSE)),1)</f>
        <v/>
      </c>
      <c r="AM43" s="590">
        <f>$AC43*ee*IF($W43=Ret_Yr_pre,$X43,1)</f>
        <v/>
      </c>
      <c r="AN43" s="590">
        <f>$AC43*er*IF($W43=Ret_Yr_pre,$X43,1)</f>
        <v/>
      </c>
      <c r="AO43" s="590">
        <f>IF('LOE Sc1'!$W43=Ret_Yr_pre,Gratuity_Pre*(GEPF_pre="Y"),0)</f>
        <v/>
      </c>
      <c r="AP43" s="581">
        <f>AK43+AL43-$AM43-AN43*(GEPF_pre="Y")</f>
        <v/>
      </c>
      <c r="AQ43" s="590">
        <f>IF(DF43&lt;0,0,DF43)</f>
        <v/>
      </c>
      <c r="AR43" s="581">
        <f>(AP43-AQ43+AM43*(AM$7="Y")+AN43*(AN$7="Y"))*IF(W43&lt;Ret_Yr_pre,X43,1)+AO43</f>
        <v/>
      </c>
      <c r="AS43" s="595" t="n"/>
      <c r="AT43" s="6">
        <f>V43</f>
        <v/>
      </c>
      <c r="AU43" s="31">
        <f>W43</f>
        <v/>
      </c>
      <c r="AV43" s="598">
        <f>IF(AU43=Current,ROUND((AT43-AT42)/365.25,5),_xlfn.IFNA(INDEX(Summary!$A$55:$A$72,MATCH('LOE Sc1'!AU43,Summary!$C$55:$C$72,0)),IF(AU43=Ret_Yr_post,ROUND((DoR_Post-AT42)/365.25,5),ROUND((AT43-AT42)/365.25,2))))</f>
        <v/>
      </c>
      <c r="AW43" s="55">
        <f>Y43</f>
        <v/>
      </c>
      <c r="AX43" s="26">
        <f t="array" ref="AX43">IF(AU43&gt;Ret_Yr_post,0,_xlfn.IFNA(VLOOKUP(AW43,N$11:S$1000,5,),IF(AND(AU43=Current,AT43&gt;DoC,MONTH(DoC)&lt;&gt;3),AX42,AX42+INDEX(S$11:S$1000,MATCH(AW43,N$11:N$1000,1)+1))))</f>
        <v/>
      </c>
      <c r="AY43" s="590">
        <f>IF($V43&lt;DoC,AX43*VLOOKUP(YEAR($V43),CPI_Table,4,FALSE)/index,AX43*real_i^INT(BP43))</f>
        <v/>
      </c>
      <c r="AZ43" s="590">
        <f>$AY43/12*Bonus_Post*($AW43&lt;=RetAge_Post)</f>
        <v/>
      </c>
      <c r="BA43" s="590">
        <f>IF($E43="FL",MedSub*m^INT(BP43),MedSub)*IF(Summary!$C$81="Y",1,0)*($AU43&lt;=Ret_Yr_post)*(Summary!$C$81="Y")</f>
        <v/>
      </c>
      <c r="BB43" s="590">
        <f>IF(Summary!$C$80="Y",IF($E43&lt;&gt;"PL",VLOOKUP(Current,'Housing Allowance'!$A:$B,2,),VLOOKUP(YEAR($AT43),'Housing Allowance'!$A:$B,2,)),0)*($AU43&lt;=Ret_Yr_post)</f>
        <v/>
      </c>
      <c r="BC43" s="590">
        <f>AY43*overtime_post</f>
        <v/>
      </c>
      <c r="BD43" s="590">
        <f>$AY43*allow_1_post</f>
        <v/>
      </c>
      <c r="BE43" s="590">
        <f>($AY43&lt;&gt;0)*allow_2_post*12</f>
        <v/>
      </c>
      <c r="BF43" s="590" t="n"/>
      <c r="BG43" s="581">
        <f>IF(YEAR($V43)&lt;=Ret_Yr_post,SUM(AY43:BF43),0)*IF($W43=Ret_Yr_post,AV43,1)</f>
        <v/>
      </c>
      <c r="BH43" s="581">
        <f>IF($W43&gt;=Ret_Yr_post,pens_Post*(GEPF_pre="Y"),0)*IF($W43=Ret_Yr_post,1-$AV43,1)*IF(Ret_Yr_post&lt;Current,(_xlfn.IFNA(VLOOKUP($D43,CPI!$A:$E,2,FALSE),VLOOKUP(Current,CPI!$A:$E,2,FALSE))/VLOOKUP(Ret_Yr_post,CPI!$A:$E,2,FALSE)),1)</f>
        <v/>
      </c>
      <c r="BI43" s="590">
        <f>$AY43*ee_post*IF($W43=Ret_Yr_post,$AV43,1)</f>
        <v/>
      </c>
      <c r="BJ43" s="590">
        <f>$AY43*er_post*IF($W43=Ret_Yr_post,$AV43,1)</f>
        <v/>
      </c>
      <c r="BK43" s="590">
        <f>IF('LOE Sc1'!$W43=Ret_Yr_post,Gratuity_Post*(GEPF_post="Y"),0)</f>
        <v/>
      </c>
      <c r="BL43" s="581">
        <f>BG43+BH43-BI43-BJ43*(GEPF_post="Y")</f>
        <v/>
      </c>
      <c r="BM43" s="590">
        <f>IF(DM43&lt;0,0,DM43)</f>
        <v/>
      </c>
      <c r="BN43" s="581">
        <f>(BL43-BM43+BI43*(BI$7="Y")+BJ43*(BJ$7="Y"))*IF($W43&lt;Ret_Yr_post,AV43,1)+BK43</f>
        <v/>
      </c>
      <c r="BO43" s="591" t="n"/>
      <c r="BP43" s="592">
        <f>IF($E43="FL",IF($X43&lt;=DoC,DATEDIF(DoC,$V43,"M")/12,0),0)</f>
        <v/>
      </c>
      <c r="BQ43" s="592">
        <f>IF($E43="FL",(1+CPI)^INT(BP43),0)</f>
        <v/>
      </c>
      <c r="BR43" s="592">
        <f>IF($E43="FL",IF(($BP43-0.5)&gt;=0,1/(1+d)^($BP43-0.5),1/(1+d)^($BP43)),0)</f>
        <v/>
      </c>
      <c r="BS43" s="592" t="n"/>
      <c r="BT43" s="25">
        <f>IF(gender="M",VLOOKUP($Y43+pre_mort+IF(MONTH(DoC)&lt;MONTH(DoB),IF(MONTH(DoC)&lt;3,0,-1),IF(MONTH(DoB)&lt;3,-1,0)),'SALT LIFE TABLES'!$A$7:$E$106,2),VLOOKUP($Y43+pre_mort+IF(MONTH(DoC)&lt;MONTH(DoB),IF(MONTH(DoC)&lt;3,0,-1),IF(MONTH(DoB)&lt;3,-1,0)),'SALT LIFE TABLES'!$A$7:$E$106,4))</f>
        <v/>
      </c>
      <c r="BU43" s="592">
        <f>IF($E43="PL",1,BT43/BU$7)</f>
        <v/>
      </c>
      <c r="BV43" s="593" t="n"/>
      <c r="BW43" s="25">
        <f>IF(gender="M",VLOOKUP($Y43+post_mort+IF(MONTH(DoC)&lt;MONTH(DoB),IF(MONTH(DoC)&lt;3,0,-1),IF(MONTH(DoB)&lt;3,-1,0)),'SALT LIFE TABLES'!$A$7:$E$106,2),VLOOKUP($Y43+post_mort+IF(MONTH(DoC)&lt;MONTH(DoB),IF(MONTH(DoC)&lt;3,0,-1),IF(MONTH(DoB)&lt;3,-1,0)),'SALT LIFE TABLES'!$A$7:$E$106,4))</f>
        <v/>
      </c>
      <c r="BX43" s="592">
        <f>IF($E43="PL",1,BW43/BX$7)</f>
        <v/>
      </c>
      <c r="BY43" s="594" t="n"/>
      <c r="BZ43" s="592" t="n"/>
      <c r="CA43" s="592">
        <f>IF($E43="FL",$AR43*$BQ43*$BR43*$BU43,$AR43)</f>
        <v/>
      </c>
      <c r="CB43" s="592">
        <f>IF($E43="FL",$BN43*$BQ43*$BR43*$BX43,$BN43)</f>
        <v/>
      </c>
      <c r="CC43" s="592" t="n"/>
      <c r="CD43" s="592">
        <f>IF($E43="FL",$CA43*(1-pre_FL),$CA43*(1-pre_PL))</f>
        <v/>
      </c>
      <c r="CE43" s="592">
        <f>IF($E43="FL",$CB43*(1-post_FL),$CB43*(1-post_PL))</f>
        <v/>
      </c>
      <c r="CF43" s="592" t="n"/>
      <c r="CG43" s="599">
        <f>CD43-CE43</f>
        <v/>
      </c>
      <c r="CH43" s="599">
        <f>MIN(CG43,IF(W43=Ret_Yr_pre,1,$X43)*Cap)</f>
        <v/>
      </c>
      <c r="CI43" s="128" t="n"/>
      <c r="CJ43" s="37">
        <f>IF(D43&gt;Current,Current,D43)</f>
        <v/>
      </c>
      <c r="CK43" s="37">
        <f>MATCH($CJ43,Tax_Tables[Tax Year],0)</f>
        <v/>
      </c>
      <c r="CL43" s="600" t="n">
        <v>0</v>
      </c>
      <c r="CM43" s="600">
        <f t="array" ref="CM43">INDEX(Tax_Tables[[Limits]:[Limits]],$CK43+CM$8)</f>
        <v/>
      </c>
      <c r="CN43" s="600">
        <f t="array" ref="CN43">INDEX(Tax_Tables[[Limits]:[Limits]],$CK43+CN$8)</f>
        <v/>
      </c>
      <c r="CO43" s="600">
        <f t="array" ref="CO43">INDEX(Tax_Tables[[Limits]:[Limits]],$CK43+CO$8)</f>
        <v/>
      </c>
      <c r="CP43" s="600">
        <f t="array" ref="CP43">INDEX(Tax_Tables[[Limits]:[Limits]],$CK43+CP$8)</f>
        <v/>
      </c>
      <c r="CQ43" s="600">
        <f t="array" ref="CQ43">INDEX(Tax_Tables[[Limits]:[Limits]],$CK43+CQ$8)</f>
        <v/>
      </c>
      <c r="CR43" s="600">
        <f t="array" ref="CR43">INDEX(Tax_Tables[[Limits]:[Limits]],$CK43+CR$8)</f>
        <v/>
      </c>
      <c r="CS43" s="37">
        <f>INDEX(Rebate[&lt;65],MATCH($CJ43,Rebate[[Tax Year]:[Tax Year]],0))</f>
        <v/>
      </c>
      <c r="CT43" s="37">
        <f>INDEX(Rebate[&lt;75],MATCH($CJ43,Rebate[[Tax Year]:[Tax Year]],0))</f>
        <v/>
      </c>
      <c r="CU43" s="37">
        <f>INDEX(Rebate[&gt;75],MATCH($CJ43,Rebate[[Tax Year]:[Tax Year]],0))</f>
        <v/>
      </c>
      <c r="CV43" s="37">
        <f>INDEX(Tax_Credit[Principal],MATCH($CJ43,Tax_Credit[[Tax Year]:[Tax Year]],0))</f>
        <v/>
      </c>
      <c r="CW43" s="37">
        <f>INDEX(Tax_Credit[First Dependant],MATCH($CJ43,Tax_Credit[[Tax Year]:[Tax Year]],0))</f>
        <v/>
      </c>
      <c r="CX43" s="37">
        <f>INDEX(Tax_Credit[Each Additional],MATCH($CJ43,Tax_Credit[[Tax Year]:[Tax Year]],0))</f>
        <v/>
      </c>
      <c r="CY43" s="484">
        <f>Y43</f>
        <v/>
      </c>
      <c r="CZ43" s="601">
        <f>AP43</f>
        <v/>
      </c>
      <c r="DA43" s="37">
        <f t="array" ref="DA43">INDEX($CL43:$CR43,0,MATCH($CZ43,$CL43:$CR43,1))</f>
        <v/>
      </c>
      <c r="DB43" s="37">
        <f t="array" ref="DB43">IFERROR(INDEX(Tax_Tables[Percentages],$CK43+MATCH($DA43,$CL43:$CR43,0)-1),"")</f>
        <v/>
      </c>
      <c r="DC43" s="37">
        <f t="array" ref="DC43">IFERROR(INDEX(Tax_Tables[Tax],$CK43+MATCH($DA43,$CL43:$CR43,0)-1),"")</f>
        <v/>
      </c>
      <c r="DD43" s="37">
        <f>IF(CY43&lt;65,CS43,IF(CY43&lt;75,CT43,CU43))</f>
        <v/>
      </c>
      <c r="DE43" s="37">
        <f>CV43*(Summary!$C$31="Y")+(Summary!$C$31="Y")*(CW43*(Pre_MDep&gt;=1)+CX43*MAX(Pre_MDep-1,0))</f>
        <v/>
      </c>
      <c r="DF43" s="599">
        <f>IFERROR(MAX(DB43*(CZ43-DA43)+DC43-DD43-DE43*12,0),"")</f>
        <v/>
      </c>
      <c r="DG43" s="602" t="n"/>
      <c r="DH43" s="601">
        <f>BL43</f>
        <v/>
      </c>
      <c r="DI43" s="37">
        <f t="array" ref="DI43">INDEX($CL43:$CR43,0,MATCH($DH43,$CL43:$CR43,1))</f>
        <v/>
      </c>
      <c r="DJ43" s="37">
        <f t="array" ref="DJ43">IFERROR(INDEX(Tax_Tables[Percentages],$CK43+MATCH($DI43,$CL43:$CR43,0)-1),"")</f>
        <v/>
      </c>
      <c r="DK43" s="37">
        <f t="array" ref="DK43">IFERROR(INDEX(Tax_Tables[Tax],$CK43+MATCH($DI43,$CL43:$CR43,0)-1),"")</f>
        <v/>
      </c>
      <c r="DL43" s="37">
        <f>CV43*(Summary!$C$81="Y")+(Summary!$C$81="Y")*(CW43*(Post_MDep&gt;=1)+CX43*MAX(Post_MDep-1,0))</f>
        <v/>
      </c>
      <c r="DM43" s="599">
        <f>IFERROR(MAX(DJ43*(DH43-DI43)+DK43-DD43-DL43*12,0),"")</f>
        <v/>
      </c>
      <c r="DN43" s="601" t="n"/>
      <c r="DO43" s="37" t="n"/>
      <c r="DP43" s="37" t="n"/>
      <c r="DQ43" s="37" t="n"/>
      <c r="DR43" s="37" t="n"/>
      <c r="DS43" s="37" t="n"/>
      <c r="DT43" s="37" t="n"/>
      <c r="DU43" s="37" t="n"/>
      <c r="DV43" s="37" t="n"/>
      <c r="DW43" s="37" t="n"/>
      <c r="DX43" s="599" t="n"/>
      <c r="DY43" s="131" t="n"/>
      <c r="DZ43" s="601" t="n"/>
      <c r="EA43" s="37" t="n"/>
      <c r="EB43" s="37" t="n"/>
      <c r="EC43" s="37" t="n"/>
      <c r="ED43" s="599" t="n"/>
      <c r="EE43" s="595" t="n"/>
      <c r="EF43" s="25" t="n"/>
    </row>
    <row r="44">
      <c r="C44" s="596">
        <f>C43+D44-D43</f>
        <v/>
      </c>
      <c r="D44" s="160">
        <f>AU44</f>
        <v/>
      </c>
      <c r="E44" s="87">
        <f>IF(DoC=V44,"Calc Date",IF(V44&lt;DoC,"PL","FL"))</f>
        <v/>
      </c>
      <c r="F44" s="310">
        <f>F43+1</f>
        <v/>
      </c>
      <c r="G44" s="31">
        <f>VLOOKUP(F44,C$10:D$148,2)</f>
        <v/>
      </c>
      <c r="H44" s="313">
        <f>H43</f>
        <v/>
      </c>
      <c r="I44" s="281">
        <f>I43</f>
        <v/>
      </c>
      <c r="J44" s="589">
        <f>I44*index/VLOOKUP($H44,CPI!A:E,4,FALSE)</f>
        <v/>
      </c>
      <c r="K44" s="589">
        <f>IF(L44="Linear",(J44-J43)/(G44-G43),0)</f>
        <v/>
      </c>
      <c r="L44" s="311" t="inlineStr">
        <is>
          <t>Flat</t>
        </is>
      </c>
      <c r="M44" s="137" t="n"/>
      <c r="N44" s="310">
        <f>N43+1</f>
        <v/>
      </c>
      <c r="O44" s="31">
        <f>O43+N44-N43</f>
        <v/>
      </c>
      <c r="P44" s="313">
        <f>P43</f>
        <v/>
      </c>
      <c r="Q44" s="281">
        <f>Q43</f>
        <v/>
      </c>
      <c r="R44" s="589">
        <f>Q44*index/VLOOKUP($P44,CPI!A:E,4,FALSE)</f>
        <v/>
      </c>
      <c r="S44" s="589">
        <f>IF(T44="Linear",(R44-R43)/(O44-O43),0)</f>
        <v/>
      </c>
      <c r="T44" s="311" t="inlineStr">
        <is>
          <t>Flat</t>
        </is>
      </c>
      <c r="U44" s="144" t="n"/>
      <c r="V44" s="6">
        <f>IF(AND($V43=DoA,MONTH(V43)&lt;3),DATE(YEAR(DoA),3,1),IF(AND(IFERROR(DATEDIF(V43,DoC,"M"),12)&lt;12,IFERROR(DATEDIF(V43,DoC,"M"),12)&gt;0),DoC,DATE(YEAR(V43)+(1-AND(YEAR(DoC)=Current,V43=DoC)-AND(V43=DoA,MONTH(V43)&lt;3)),3,1)))</f>
        <v/>
      </c>
      <c r="W44" s="31">
        <f>IF(V44=DoR_Pre,IF(MONTH(DoR_Pre)&gt;3,YEAR(DoR_Pre)+1,YEAR(DoR_Pre)),IF(MONTH(V44)&gt;3,Current,YEAR(V44)))</f>
        <v/>
      </c>
      <c r="X44" s="597">
        <f>IF(W44=Current,ROUND((V44-V43)/365.25,5),_xlfn.IFNA(INDEX(Summary!$A$5:$A$22,MATCH('LOE Sc1'!W44,Summary!$C$5:$C$22,0)),IF(W44=Ret_Yr_pre,ROUND((DoR_Pre-V43)/365.25,5),ROUND((V44-V43)/365.25,2))))</f>
        <v/>
      </c>
      <c r="Y44" s="55">
        <f>IF(AND(V44=DoC,MONTH(DoC)&lt;&gt;3),ROUNDDOWN(DATEDIF(DoB,V45,"M")/12,),ROUNDDOWN(DATEDIF(DoB,V44,"M")/12,))</f>
        <v/>
      </c>
      <c r="Z44" s="590" t="n"/>
      <c r="AA44" s="25">
        <f>MAX(RetAge_Pre-Y44,0)</f>
        <v/>
      </c>
      <c r="AB44" s="26">
        <f t="array" ref="AB44">IF(W44&gt;Ret_Yr_pre,0,_xlfn.IFNA(VLOOKUP(Y44,F$11:J$1000,5,),IF(AND(W44=Current,V44&gt;DoC,MONTH(DoC)&lt;&gt;3),AB43,AB43+INDEX(K$11:K$1000,MATCH(Y44,F$11:F$1000,1)+1))))</f>
        <v/>
      </c>
      <c r="AC44" s="590">
        <f>IF(V44&lt;DoC,AB44*VLOOKUP(YEAR(V44),CPI!A:E,4,FALSE)/index,AB44*real_i^INT(BP44))</f>
        <v/>
      </c>
      <c r="AD44" s="590">
        <f>$AC44/12*Bonus</f>
        <v/>
      </c>
      <c r="AE44" s="590">
        <f>IF($E44="FL",MedSub*m^INT(BP44),MedSub)*IF(Summary!$C$31="Y",1,0)*(W44&lt;=Ret_Yr_pre)*(Summary!C$31="Y")</f>
        <v/>
      </c>
      <c r="AF44" s="590">
        <f>IF(Summary!$C$30="Y",IF(E44&lt;&gt;"PL",VLOOKUP(Current,'Housing Allowance'!$A:$B,2,),VLOOKUP(YEAR($V44),'Housing Allowance'!$A:$B,2,)),0)*(W44&lt;=Ret_Yr_pre)</f>
        <v/>
      </c>
      <c r="AG44" s="590">
        <f>AC44*overtime</f>
        <v/>
      </c>
      <c r="AH44" s="590">
        <f>AC44*allow_1</f>
        <v/>
      </c>
      <c r="AI44" s="590">
        <f>(AB44&lt;&gt;0)*12*allow_2</f>
        <v/>
      </c>
      <c r="AJ44" s="590" t="n"/>
      <c r="AK44" s="581">
        <f>IF(YEAR(W44)&lt;=Ret_Yr_pre,SUM(AC44:AJ44),0)*IF($W44=Ret_Yr_pre,X44,1)</f>
        <v/>
      </c>
      <c r="AL44" s="581">
        <f>IF($W44&gt;=Ret_Yr_pre,pens_Pre*(GEPF_pre="Y"),0)*IF($W44=Ret_Yr_pre,1-$X44,1)*IF(Ret_Yr_pre&lt;Current,(_xlfn.IFNA(VLOOKUP($D44,CPI!$A:$E,2,FALSE),VLOOKUP(Current,CPI!$A:$E,2,FALSE))/VLOOKUP(Ret_Yr_pre,CPI!$A:$E,2,FALSE)),1)</f>
        <v/>
      </c>
      <c r="AM44" s="590">
        <f>$AC44*ee*IF($W44=Ret_Yr_pre,$X44,1)</f>
        <v/>
      </c>
      <c r="AN44" s="590">
        <f>$AC44*er*IF($W44=Ret_Yr_pre,$X44,1)</f>
        <v/>
      </c>
      <c r="AO44" s="590">
        <f>IF('LOE Sc1'!$W44=Ret_Yr_pre,Gratuity_Pre*(GEPF_pre="Y"),0)</f>
        <v/>
      </c>
      <c r="AP44" s="581">
        <f>AK44+AL44-$AM44-AN44*(GEPF_pre="Y")</f>
        <v/>
      </c>
      <c r="AQ44" s="590">
        <f>IF(DF44&lt;0,0,DF44)</f>
        <v/>
      </c>
      <c r="AR44" s="581">
        <f>(AP44-AQ44+AM44*(AM$7="Y")+AN44*(AN$7="Y"))*IF(W44&lt;Ret_Yr_pre,X44,1)+AO44</f>
        <v/>
      </c>
      <c r="AS44" s="595" t="n"/>
      <c r="AT44" s="6">
        <f>V44</f>
        <v/>
      </c>
      <c r="AU44" s="31">
        <f>W44</f>
        <v/>
      </c>
      <c r="AV44" s="598">
        <f>IF(AU44=Current,ROUND((AT44-AT43)/365.25,5),_xlfn.IFNA(INDEX(Summary!$A$55:$A$72,MATCH('LOE Sc1'!AU44,Summary!$C$55:$C$72,0)),IF(AU44=Ret_Yr_post,ROUND((DoR_Post-AT43)/365.25,5),ROUND((AT44-AT43)/365.25,2))))</f>
        <v/>
      </c>
      <c r="AW44" s="55">
        <f>Y44</f>
        <v/>
      </c>
      <c r="AX44" s="26">
        <f t="array" ref="AX44">IF(AU44&gt;Ret_Yr_post,0,_xlfn.IFNA(VLOOKUP(AW44,N$11:S$1000,5,),IF(AND(AU44=Current,AT44&gt;DoC,MONTH(DoC)&lt;&gt;3),AX43,AX43+INDEX(S$11:S$1000,MATCH(AW44,N$11:N$1000,1)+1))))</f>
        <v/>
      </c>
      <c r="AY44" s="590">
        <f>IF($V44&lt;DoC,AX44*VLOOKUP(YEAR($V44),CPI_Table,4,FALSE)/index,AX44*real_i^INT(BP44))</f>
        <v/>
      </c>
      <c r="AZ44" s="590">
        <f>$AY44/12*Bonus_Post*($AW44&lt;=RetAge_Post)</f>
        <v/>
      </c>
      <c r="BA44" s="590">
        <f>IF($E44="FL",MedSub*m^INT(BP44),MedSub)*IF(Summary!$C$81="Y",1,0)*($AU44&lt;=Ret_Yr_post)*(Summary!$C$81="Y")</f>
        <v/>
      </c>
      <c r="BB44" s="590">
        <f>IF(Summary!$C$80="Y",IF($E44&lt;&gt;"PL",VLOOKUP(Current,'Housing Allowance'!$A:$B,2,),VLOOKUP(YEAR($AT44),'Housing Allowance'!$A:$B,2,)),0)*($AU44&lt;=Ret_Yr_post)</f>
        <v/>
      </c>
      <c r="BC44" s="590">
        <f>AY44*overtime_post</f>
        <v/>
      </c>
      <c r="BD44" s="590">
        <f>$AY44*allow_1_post</f>
        <v/>
      </c>
      <c r="BE44" s="590">
        <f>($AY44&lt;&gt;0)*allow_2_post*12</f>
        <v/>
      </c>
      <c r="BF44" s="590" t="n"/>
      <c r="BG44" s="581">
        <f>IF(YEAR($V44)&lt;=Ret_Yr_post,SUM(AY44:BF44),0)*IF($W44=Ret_Yr_post,AV44,1)</f>
        <v/>
      </c>
      <c r="BH44" s="581">
        <f>IF($W44&gt;=Ret_Yr_post,pens_Post*(GEPF_pre="Y"),0)*IF($W44=Ret_Yr_post,1-$AV44,1)*IF(Ret_Yr_post&lt;Current,(_xlfn.IFNA(VLOOKUP($D44,CPI!$A:$E,2,FALSE),VLOOKUP(Current,CPI!$A:$E,2,FALSE))/VLOOKUP(Ret_Yr_post,CPI!$A:$E,2,FALSE)),1)</f>
        <v/>
      </c>
      <c r="BI44" s="590">
        <f>$AY44*ee_post*IF($W44=Ret_Yr_post,$AV44,1)</f>
        <v/>
      </c>
      <c r="BJ44" s="590">
        <f>$AY44*er_post*IF($W44=Ret_Yr_post,$AV44,1)</f>
        <v/>
      </c>
      <c r="BK44" s="590">
        <f>IF('LOE Sc1'!$W44=Ret_Yr_post,Gratuity_Post*(GEPF_post="Y"),0)</f>
        <v/>
      </c>
      <c r="BL44" s="581">
        <f>BG44+BH44-BI44-BJ44*(GEPF_post="Y")</f>
        <v/>
      </c>
      <c r="BM44" s="590">
        <f>IF(DM44&lt;0,0,DM44)</f>
        <v/>
      </c>
      <c r="BN44" s="581">
        <f>(BL44-BM44+BI44*(BI$7="Y")+BJ44*(BJ$7="Y"))*IF($W44&lt;Ret_Yr_post,AV44,1)+BK44</f>
        <v/>
      </c>
      <c r="BO44" s="591" t="n"/>
      <c r="BP44" s="592">
        <f>IF($E44="FL",IF($X44&lt;=DoC,DATEDIF(DoC,$V44,"M")/12,0),0)</f>
        <v/>
      </c>
      <c r="BQ44" s="592">
        <f>IF($E44="FL",(1+CPI)^INT(BP44),0)</f>
        <v/>
      </c>
      <c r="BR44" s="592">
        <f>IF($E44="FL",IF(($BP44-0.5)&gt;=0,1/(1+d)^($BP44-0.5),1/(1+d)^($BP44)),0)</f>
        <v/>
      </c>
      <c r="BS44" s="592" t="n"/>
      <c r="BT44" s="25">
        <f>IF(gender="M",VLOOKUP($Y44+pre_mort+IF(MONTH(DoC)&lt;MONTH(DoB),IF(MONTH(DoC)&lt;3,0,-1),IF(MONTH(DoB)&lt;3,-1,0)),'SALT LIFE TABLES'!$A$7:$E$106,2),VLOOKUP($Y44+pre_mort+IF(MONTH(DoC)&lt;MONTH(DoB),IF(MONTH(DoC)&lt;3,0,-1),IF(MONTH(DoB)&lt;3,-1,0)),'SALT LIFE TABLES'!$A$7:$E$106,4))</f>
        <v/>
      </c>
      <c r="BU44" s="592">
        <f>IF($E44="PL",1,BT44/BU$7)</f>
        <v/>
      </c>
      <c r="BV44" s="593" t="n"/>
      <c r="BW44" s="25">
        <f>IF(gender="M",VLOOKUP($Y44+post_mort+IF(MONTH(DoC)&lt;MONTH(DoB),IF(MONTH(DoC)&lt;3,0,-1),IF(MONTH(DoB)&lt;3,-1,0)),'SALT LIFE TABLES'!$A$7:$E$106,2),VLOOKUP($Y44+post_mort+IF(MONTH(DoC)&lt;MONTH(DoB),IF(MONTH(DoC)&lt;3,0,-1),IF(MONTH(DoB)&lt;3,-1,0)),'SALT LIFE TABLES'!$A$7:$E$106,4))</f>
        <v/>
      </c>
      <c r="BX44" s="592">
        <f>IF($E44="PL",1,BW44/BX$7)</f>
        <v/>
      </c>
      <c r="BY44" s="594" t="n"/>
      <c r="BZ44" s="592" t="n"/>
      <c r="CA44" s="592">
        <f>IF($E44="FL",$AR44*$BQ44*$BR44*$BU44,$AR44)</f>
        <v/>
      </c>
      <c r="CB44" s="592">
        <f>IF($E44="FL",$BN44*$BQ44*$BR44*$BX44,$BN44)</f>
        <v/>
      </c>
      <c r="CC44" s="592" t="n"/>
      <c r="CD44" s="592">
        <f>IF($E44="FL",$CA44*(1-pre_FL),$CA44*(1-pre_PL))</f>
        <v/>
      </c>
      <c r="CE44" s="592">
        <f>IF($E44="FL",$CB44*(1-post_FL),$CB44*(1-post_PL))</f>
        <v/>
      </c>
      <c r="CF44" s="592" t="n"/>
      <c r="CG44" s="599">
        <f>CD44-CE44</f>
        <v/>
      </c>
      <c r="CH44" s="599">
        <f>MIN(CG44,IF(W44=Ret_Yr_pre,1,$X44)*Cap)</f>
        <v/>
      </c>
      <c r="CI44" s="128" t="n"/>
      <c r="CJ44" s="37">
        <f>IF(D44&gt;Current,Current,D44)</f>
        <v/>
      </c>
      <c r="CK44" s="37">
        <f>MATCH($CJ44,Tax_Tables[Tax Year],0)</f>
        <v/>
      </c>
      <c r="CL44" s="600" t="n">
        <v>0</v>
      </c>
      <c r="CM44" s="600">
        <f t="array" ref="CM44">INDEX(Tax_Tables[[Limits]:[Limits]],$CK44+CM$8)</f>
        <v/>
      </c>
      <c r="CN44" s="600">
        <f t="array" ref="CN44">INDEX(Tax_Tables[[Limits]:[Limits]],$CK44+CN$8)</f>
        <v/>
      </c>
      <c r="CO44" s="600">
        <f t="array" ref="CO44">INDEX(Tax_Tables[[Limits]:[Limits]],$CK44+CO$8)</f>
        <v/>
      </c>
      <c r="CP44" s="600">
        <f t="array" ref="CP44">INDEX(Tax_Tables[[Limits]:[Limits]],$CK44+CP$8)</f>
        <v/>
      </c>
      <c r="CQ44" s="600">
        <f t="array" ref="CQ44">INDEX(Tax_Tables[[Limits]:[Limits]],$CK44+CQ$8)</f>
        <v/>
      </c>
      <c r="CR44" s="600">
        <f t="array" ref="CR44">INDEX(Tax_Tables[[Limits]:[Limits]],$CK44+CR$8)</f>
        <v/>
      </c>
      <c r="CS44" s="37">
        <f>INDEX(Rebate[&lt;65],MATCH($CJ44,Rebate[[Tax Year]:[Tax Year]],0))</f>
        <v/>
      </c>
      <c r="CT44" s="37">
        <f>INDEX(Rebate[&lt;75],MATCH($CJ44,Rebate[[Tax Year]:[Tax Year]],0))</f>
        <v/>
      </c>
      <c r="CU44" s="37">
        <f>INDEX(Rebate[&gt;75],MATCH($CJ44,Rebate[[Tax Year]:[Tax Year]],0))</f>
        <v/>
      </c>
      <c r="CV44" s="37">
        <f>INDEX(Tax_Credit[Principal],MATCH($CJ44,Tax_Credit[[Tax Year]:[Tax Year]],0))</f>
        <v/>
      </c>
      <c r="CW44" s="37">
        <f>INDEX(Tax_Credit[First Dependant],MATCH($CJ44,Tax_Credit[[Tax Year]:[Tax Year]],0))</f>
        <v/>
      </c>
      <c r="CX44" s="37">
        <f>INDEX(Tax_Credit[Each Additional],MATCH($CJ44,Tax_Credit[[Tax Year]:[Tax Year]],0))</f>
        <v/>
      </c>
      <c r="CY44" s="484">
        <f>Y44</f>
        <v/>
      </c>
      <c r="CZ44" s="601">
        <f>AP44</f>
        <v/>
      </c>
      <c r="DA44" s="37">
        <f t="array" ref="DA44">INDEX($CL44:$CR44,0,MATCH($CZ44,$CL44:$CR44,1))</f>
        <v/>
      </c>
      <c r="DB44" s="37">
        <f t="array" ref="DB44">IFERROR(INDEX(Tax_Tables[Percentages],$CK44+MATCH($DA44,$CL44:$CR44,0)-1),"")</f>
        <v/>
      </c>
      <c r="DC44" s="37">
        <f t="array" ref="DC44">IFERROR(INDEX(Tax_Tables[Tax],$CK44+MATCH($DA44,$CL44:$CR44,0)-1),"")</f>
        <v/>
      </c>
      <c r="DD44" s="37">
        <f>IF(CY44&lt;65,CS44,IF(CY44&lt;75,CT44,CU44))</f>
        <v/>
      </c>
      <c r="DE44" s="37">
        <f>CV44*(Summary!$C$31="Y")+(Summary!$C$31="Y")*(CW44*(Pre_MDep&gt;=1)+CX44*MAX(Pre_MDep-1,0))</f>
        <v/>
      </c>
      <c r="DF44" s="599">
        <f>IFERROR(MAX(DB44*(CZ44-DA44)+DC44-DD44-DE44*12,0),"")</f>
        <v/>
      </c>
      <c r="DG44" s="602" t="n"/>
      <c r="DH44" s="601">
        <f>BL44</f>
        <v/>
      </c>
      <c r="DI44" s="37">
        <f t="array" ref="DI44">INDEX($CL44:$CR44,0,MATCH($DH44,$CL44:$CR44,1))</f>
        <v/>
      </c>
      <c r="DJ44" s="37">
        <f t="array" ref="DJ44">IFERROR(INDEX(Tax_Tables[Percentages],$CK44+MATCH($DI44,$CL44:$CR44,0)-1),"")</f>
        <v/>
      </c>
      <c r="DK44" s="37">
        <f t="array" ref="DK44">IFERROR(INDEX(Tax_Tables[Tax],$CK44+MATCH($DI44,$CL44:$CR44,0)-1),"")</f>
        <v/>
      </c>
      <c r="DL44" s="37">
        <f>CV44*(Summary!$C$81="Y")+(Summary!$C$81="Y")*(CW44*(Post_MDep&gt;=1)+CX44*MAX(Post_MDep-1,0))</f>
        <v/>
      </c>
      <c r="DM44" s="599">
        <f>IFERROR(MAX(DJ44*(DH44-DI44)+DK44-DD44-DL44*12,0),"")</f>
        <v/>
      </c>
      <c r="DN44" s="601" t="n"/>
      <c r="DO44" s="37" t="n"/>
      <c r="DP44" s="37" t="n"/>
      <c r="DQ44" s="37" t="n"/>
      <c r="DR44" s="37" t="n"/>
      <c r="DS44" s="37" t="n"/>
      <c r="DT44" s="37" t="n"/>
      <c r="DU44" s="37" t="n"/>
      <c r="DV44" s="37" t="n"/>
      <c r="DW44" s="37" t="n"/>
      <c r="DX44" s="599" t="n"/>
      <c r="DY44" s="131" t="n"/>
      <c r="DZ44" s="601" t="n"/>
      <c r="EA44" s="37" t="n"/>
      <c r="EB44" s="37" t="n"/>
      <c r="EC44" s="37" t="n"/>
      <c r="ED44" s="599" t="n"/>
      <c r="EE44" s="595" t="n"/>
      <c r="EF44" s="25" t="n"/>
    </row>
    <row r="45">
      <c r="C45" s="596">
        <f>C44+D45-D44</f>
        <v/>
      </c>
      <c r="D45" s="160">
        <f>AU45</f>
        <v/>
      </c>
      <c r="E45" s="87">
        <f>IF(DoC=V45,"Calc Date",IF(V45&lt;DoC,"PL","FL"))</f>
        <v/>
      </c>
      <c r="F45" s="310">
        <f>F44+1</f>
        <v/>
      </c>
      <c r="G45" s="31">
        <f>VLOOKUP(F45,C$10:D$148,2)</f>
        <v/>
      </c>
      <c r="H45" s="313">
        <f>H44</f>
        <v/>
      </c>
      <c r="I45" s="281">
        <f>I44</f>
        <v/>
      </c>
      <c r="J45" s="589">
        <f>I45*index/VLOOKUP($H45,CPI!A:E,4,FALSE)</f>
        <v/>
      </c>
      <c r="K45" s="589">
        <f>IF(L45="Linear",(J45-J44)/(G45-G44),0)</f>
        <v/>
      </c>
      <c r="L45" s="311" t="inlineStr">
        <is>
          <t>Flat</t>
        </is>
      </c>
      <c r="M45" s="137" t="n"/>
      <c r="N45" s="310">
        <f>N44+1</f>
        <v/>
      </c>
      <c r="O45" s="31">
        <f>O44+N45-N44</f>
        <v/>
      </c>
      <c r="P45" s="313">
        <f>P44</f>
        <v/>
      </c>
      <c r="Q45" s="281">
        <f>Q44</f>
        <v/>
      </c>
      <c r="R45" s="589">
        <f>Q45*index/VLOOKUP($P45,CPI!A:E,4,FALSE)</f>
        <v/>
      </c>
      <c r="S45" s="589">
        <f>IF(T45="Linear",(R45-R44)/(O45-O44),0)</f>
        <v/>
      </c>
      <c r="T45" s="311" t="inlineStr">
        <is>
          <t>Flat</t>
        </is>
      </c>
      <c r="U45" s="144" t="n"/>
      <c r="V45" s="6">
        <f>IF(AND($V44=DoA,MONTH(V44)&lt;3),DATE(YEAR(DoA),3,1),IF(AND(IFERROR(DATEDIF(V44,DoC,"M"),12)&lt;12,IFERROR(DATEDIF(V44,DoC,"M"),12)&gt;0),DoC,DATE(YEAR(V44)+(1-AND(YEAR(DoC)=Current,V44=DoC)-AND(V44=DoA,MONTH(V44)&lt;3)),3,1)))</f>
        <v/>
      </c>
      <c r="W45" s="31">
        <f>IF(V45=DoR_Pre,IF(MONTH(DoR_Pre)&gt;3,YEAR(DoR_Pre)+1,YEAR(DoR_Pre)),IF(MONTH(V45)&gt;3,Current,YEAR(V45)))</f>
        <v/>
      </c>
      <c r="X45" s="597">
        <f>IF(W45=Current,ROUND((V45-V44)/365.25,5),_xlfn.IFNA(INDEX(Summary!$A$5:$A$22,MATCH('LOE Sc1'!W45,Summary!$C$5:$C$22,0)),IF(W45=Ret_Yr_pre,ROUND((DoR_Pre-V44)/365.25,5),ROUND((V45-V44)/365.25,2))))</f>
        <v/>
      </c>
      <c r="Y45" s="55">
        <f>IF(AND(V45=DoC,MONTH(DoC)&lt;&gt;3),ROUNDDOWN(DATEDIF(DoB,V46,"M")/12,),ROUNDDOWN(DATEDIF(DoB,V45,"M")/12,))</f>
        <v/>
      </c>
      <c r="Z45" s="590" t="n"/>
      <c r="AA45" s="25">
        <f>MAX(RetAge_Pre-Y45,0)</f>
        <v/>
      </c>
      <c r="AB45" s="26">
        <f t="array" ref="AB45">IF(W45&gt;Ret_Yr_pre,0,_xlfn.IFNA(VLOOKUP(Y45,F$11:J$1000,5,),IF(AND(W45=Current,V45&gt;DoC,MONTH(DoC)&lt;&gt;3),AB44,AB44+INDEX(K$11:K$1000,MATCH(Y45,F$11:F$1000,1)+1))))</f>
        <v/>
      </c>
      <c r="AC45" s="590">
        <f>IF(V45&lt;DoC,AB45*VLOOKUP(YEAR(V45),CPI!A:E,4,FALSE)/index,AB45*real_i^INT(BP45))</f>
        <v/>
      </c>
      <c r="AD45" s="590">
        <f>$AC45/12*Bonus</f>
        <v/>
      </c>
      <c r="AE45" s="590">
        <f>IF($E45="FL",MedSub*m^INT(BP45),MedSub)*IF(Summary!$C$31="Y",1,0)*(W45&lt;=Ret_Yr_pre)*(Summary!C$31="Y")</f>
        <v/>
      </c>
      <c r="AF45" s="590">
        <f>IF(Summary!$C$30="Y",IF(E45&lt;&gt;"PL",VLOOKUP(Current,'Housing Allowance'!$A:$B,2,),VLOOKUP(YEAR($V45),'Housing Allowance'!$A:$B,2,)),0)*(W45&lt;=Ret_Yr_pre)</f>
        <v/>
      </c>
      <c r="AG45" s="590">
        <f>AC45*overtime</f>
        <v/>
      </c>
      <c r="AH45" s="590">
        <f>AC45*allow_1</f>
        <v/>
      </c>
      <c r="AI45" s="590">
        <f>(AB45&lt;&gt;0)*12*allow_2</f>
        <v/>
      </c>
      <c r="AJ45" s="590" t="n"/>
      <c r="AK45" s="581">
        <f>IF(YEAR(W45)&lt;=Ret_Yr_pre,SUM(AC45:AJ45),0)*IF($W45=Ret_Yr_pre,X45,1)</f>
        <v/>
      </c>
      <c r="AL45" s="581">
        <f>IF($W45&gt;=Ret_Yr_pre,pens_Pre*(GEPF_pre="Y"),0)*IF($W45=Ret_Yr_pre,1-$X45,1)*IF(Ret_Yr_pre&lt;Current,(_xlfn.IFNA(VLOOKUP($D45,CPI!$A:$E,2,FALSE),VLOOKUP(Current,CPI!$A:$E,2,FALSE))/VLOOKUP(Ret_Yr_pre,CPI!$A:$E,2,FALSE)),1)</f>
        <v/>
      </c>
      <c r="AM45" s="590">
        <f>$AC45*ee*IF($W45=Ret_Yr_pre,$X45,1)</f>
        <v/>
      </c>
      <c r="AN45" s="590">
        <f>$AC45*er*IF($W45=Ret_Yr_pre,$X45,1)</f>
        <v/>
      </c>
      <c r="AO45" s="590">
        <f>IF('LOE Sc1'!$W45=Ret_Yr_pre,Gratuity_Pre*(GEPF_pre="Y"),0)</f>
        <v/>
      </c>
      <c r="AP45" s="581">
        <f>AK45+AL45-$AM45-AN45*(GEPF_pre="Y")</f>
        <v/>
      </c>
      <c r="AQ45" s="590">
        <f>IF(DF45&lt;0,0,DF45)</f>
        <v/>
      </c>
      <c r="AR45" s="581">
        <f>(AP45-AQ45+AM45*(AM$7="Y")+AN45*(AN$7="Y"))*IF(W45&lt;Ret_Yr_pre,X45,1)+AO45</f>
        <v/>
      </c>
      <c r="AS45" s="595" t="n"/>
      <c r="AT45" s="6">
        <f>V45</f>
        <v/>
      </c>
      <c r="AU45" s="31">
        <f>W45</f>
        <v/>
      </c>
      <c r="AV45" s="598">
        <f>IF(AU45=Current,ROUND((AT45-AT44)/365.25,5),_xlfn.IFNA(INDEX(Summary!$A$55:$A$72,MATCH('LOE Sc1'!AU45,Summary!$C$55:$C$72,0)),IF(AU45=Ret_Yr_post,ROUND((DoR_Post-AT44)/365.25,5),ROUND((AT45-AT44)/365.25,2))))</f>
        <v/>
      </c>
      <c r="AW45" s="55">
        <f>Y45</f>
        <v/>
      </c>
      <c r="AX45" s="26">
        <f t="array" ref="AX45">IF(AU45&gt;Ret_Yr_post,0,_xlfn.IFNA(VLOOKUP(AW45,N$11:S$1000,5,),IF(AND(AU45=Current,AT45&gt;DoC,MONTH(DoC)&lt;&gt;3),AX44,AX44+INDEX(S$11:S$1000,MATCH(AW45,N$11:N$1000,1)+1))))</f>
        <v/>
      </c>
      <c r="AY45" s="590">
        <f>IF($V45&lt;DoC,AX45*VLOOKUP(YEAR($V45),CPI_Table,4,FALSE)/index,AX45*real_i^INT(BP45))</f>
        <v/>
      </c>
      <c r="AZ45" s="590">
        <f>$AY45/12*Bonus_Post*($AW45&lt;=RetAge_Post)</f>
        <v/>
      </c>
      <c r="BA45" s="590">
        <f>IF($E45="FL",MedSub*m^INT(BP45),MedSub)*IF(Summary!$C$81="Y",1,0)*($AU45&lt;=Ret_Yr_post)*(Summary!$C$81="Y")</f>
        <v/>
      </c>
      <c r="BB45" s="590">
        <f>IF(Summary!$C$80="Y",IF($E45&lt;&gt;"PL",VLOOKUP(Current,'Housing Allowance'!$A:$B,2,),VLOOKUP(YEAR($AT45),'Housing Allowance'!$A:$B,2,)),0)*($AU45&lt;=Ret_Yr_post)</f>
        <v/>
      </c>
      <c r="BC45" s="590">
        <f>AY45*overtime_post</f>
        <v/>
      </c>
      <c r="BD45" s="590">
        <f>$AY45*allow_1_post</f>
        <v/>
      </c>
      <c r="BE45" s="590">
        <f>($AY45&lt;&gt;0)*allow_2_post*12</f>
        <v/>
      </c>
      <c r="BF45" s="590" t="n"/>
      <c r="BG45" s="581">
        <f>IF(YEAR($V45)&lt;=Ret_Yr_post,SUM(AY45:BF45),0)*IF($W45=Ret_Yr_post,AV45,1)</f>
        <v/>
      </c>
      <c r="BH45" s="581">
        <f>IF($W45&gt;=Ret_Yr_post,pens_Post*(GEPF_pre="Y"),0)*IF($W45=Ret_Yr_post,1-$AV45,1)*IF(Ret_Yr_post&lt;Current,(_xlfn.IFNA(VLOOKUP($D45,CPI!$A:$E,2,FALSE),VLOOKUP(Current,CPI!$A:$E,2,FALSE))/VLOOKUP(Ret_Yr_post,CPI!$A:$E,2,FALSE)),1)</f>
        <v/>
      </c>
      <c r="BI45" s="590">
        <f>$AY45*ee_post*IF($W45=Ret_Yr_post,$AV45,1)</f>
        <v/>
      </c>
      <c r="BJ45" s="590">
        <f>$AY45*er_post*IF($W45=Ret_Yr_post,$AV45,1)</f>
        <v/>
      </c>
      <c r="BK45" s="590">
        <f>IF('LOE Sc1'!$W45=Ret_Yr_post,Gratuity_Post*(GEPF_post="Y"),0)</f>
        <v/>
      </c>
      <c r="BL45" s="581">
        <f>BG45+BH45-BI45-BJ45*(GEPF_post="Y")</f>
        <v/>
      </c>
      <c r="BM45" s="590">
        <f>IF(DM45&lt;0,0,DM45)</f>
        <v/>
      </c>
      <c r="BN45" s="581">
        <f>(BL45-BM45+BI45*(BI$7="Y")+BJ45*(BJ$7="Y"))*IF($W45&lt;Ret_Yr_post,AV45,1)+BK45</f>
        <v/>
      </c>
      <c r="BO45" s="591" t="n"/>
      <c r="BP45" s="592">
        <f>IF($E45="FL",IF($X45&lt;=DoC,DATEDIF(DoC,$V45,"M")/12,0),0)</f>
        <v/>
      </c>
      <c r="BQ45" s="592">
        <f>IF($E45="FL",(1+CPI)^INT(BP45),0)</f>
        <v/>
      </c>
      <c r="BR45" s="592">
        <f>IF($E45="FL",IF(($BP45-0.5)&gt;=0,1/(1+d)^($BP45-0.5),1/(1+d)^($BP45)),0)</f>
        <v/>
      </c>
      <c r="BS45" s="592" t="n"/>
      <c r="BT45" s="25">
        <f>IF(gender="M",VLOOKUP($Y45+pre_mort+IF(MONTH(DoC)&lt;MONTH(DoB),IF(MONTH(DoC)&lt;3,0,-1),IF(MONTH(DoB)&lt;3,-1,0)),'SALT LIFE TABLES'!$A$7:$E$106,2),VLOOKUP($Y45+pre_mort+IF(MONTH(DoC)&lt;MONTH(DoB),IF(MONTH(DoC)&lt;3,0,-1),IF(MONTH(DoB)&lt;3,-1,0)),'SALT LIFE TABLES'!$A$7:$E$106,4))</f>
        <v/>
      </c>
      <c r="BU45" s="592">
        <f>IF($E45="PL",1,BT45/BU$7)</f>
        <v/>
      </c>
      <c r="BV45" s="593" t="n"/>
      <c r="BW45" s="25">
        <f>IF(gender="M",VLOOKUP($Y45+post_mort+IF(MONTH(DoC)&lt;MONTH(DoB),IF(MONTH(DoC)&lt;3,0,-1),IF(MONTH(DoB)&lt;3,-1,0)),'SALT LIFE TABLES'!$A$7:$E$106,2),VLOOKUP($Y45+post_mort+IF(MONTH(DoC)&lt;MONTH(DoB),IF(MONTH(DoC)&lt;3,0,-1),IF(MONTH(DoB)&lt;3,-1,0)),'SALT LIFE TABLES'!$A$7:$E$106,4))</f>
        <v/>
      </c>
      <c r="BX45" s="592">
        <f>IF($E45="PL",1,BW45/BX$7)</f>
        <v/>
      </c>
      <c r="BY45" s="594" t="n"/>
      <c r="BZ45" s="592" t="n"/>
      <c r="CA45" s="592">
        <f>IF($E45="FL",$AR45*$BQ45*$BR45*$BU45,$AR45)</f>
        <v/>
      </c>
      <c r="CB45" s="592">
        <f>IF($E45="FL",$BN45*$BQ45*$BR45*$BX45,$BN45)</f>
        <v/>
      </c>
      <c r="CC45" s="592" t="n"/>
      <c r="CD45" s="592">
        <f>IF($E45="FL",$CA45*(1-pre_FL),$CA45*(1-pre_PL))</f>
        <v/>
      </c>
      <c r="CE45" s="592">
        <f>IF($E45="FL",$CB45*(1-post_FL),$CB45*(1-post_PL))</f>
        <v/>
      </c>
      <c r="CF45" s="592" t="n"/>
      <c r="CG45" s="599">
        <f>CD45-CE45</f>
        <v/>
      </c>
      <c r="CH45" s="599">
        <f>MIN(CG45,IF(W45=Ret_Yr_pre,1,$X45)*Cap)</f>
        <v/>
      </c>
      <c r="CI45" s="128" t="n"/>
      <c r="CJ45" s="37">
        <f>IF(D45&gt;Current,Current,D45)</f>
        <v/>
      </c>
      <c r="CK45" s="37">
        <f>MATCH($CJ45,Tax_Tables[Tax Year],0)</f>
        <v/>
      </c>
      <c r="CL45" s="600" t="n">
        <v>0</v>
      </c>
      <c r="CM45" s="600">
        <f t="array" ref="CM45">INDEX(Tax_Tables[[Limits]:[Limits]],$CK45+CM$8)</f>
        <v/>
      </c>
      <c r="CN45" s="600">
        <f t="array" ref="CN45">INDEX(Tax_Tables[[Limits]:[Limits]],$CK45+CN$8)</f>
        <v/>
      </c>
      <c r="CO45" s="600">
        <f t="array" ref="CO45">INDEX(Tax_Tables[[Limits]:[Limits]],$CK45+CO$8)</f>
        <v/>
      </c>
      <c r="CP45" s="600">
        <f t="array" ref="CP45">INDEX(Tax_Tables[[Limits]:[Limits]],$CK45+CP$8)</f>
        <v/>
      </c>
      <c r="CQ45" s="600">
        <f t="array" ref="CQ45">INDEX(Tax_Tables[[Limits]:[Limits]],$CK45+CQ$8)</f>
        <v/>
      </c>
      <c r="CR45" s="600">
        <f t="array" ref="CR45">INDEX(Tax_Tables[[Limits]:[Limits]],$CK45+CR$8)</f>
        <v/>
      </c>
      <c r="CS45" s="37">
        <f>INDEX(Rebate[&lt;65],MATCH($CJ45,Rebate[[Tax Year]:[Tax Year]],0))</f>
        <v/>
      </c>
      <c r="CT45" s="37">
        <f>INDEX(Rebate[&lt;75],MATCH($CJ45,Rebate[[Tax Year]:[Tax Year]],0))</f>
        <v/>
      </c>
      <c r="CU45" s="37">
        <f>INDEX(Rebate[&gt;75],MATCH($CJ45,Rebate[[Tax Year]:[Tax Year]],0))</f>
        <v/>
      </c>
      <c r="CV45" s="37">
        <f>INDEX(Tax_Credit[Principal],MATCH($CJ45,Tax_Credit[[Tax Year]:[Tax Year]],0))</f>
        <v/>
      </c>
      <c r="CW45" s="37">
        <f>INDEX(Tax_Credit[First Dependant],MATCH($CJ45,Tax_Credit[[Tax Year]:[Tax Year]],0))</f>
        <v/>
      </c>
      <c r="CX45" s="37">
        <f>INDEX(Tax_Credit[Each Additional],MATCH($CJ45,Tax_Credit[[Tax Year]:[Tax Year]],0))</f>
        <v/>
      </c>
      <c r="CY45" s="484">
        <f>Y45</f>
        <v/>
      </c>
      <c r="CZ45" s="601">
        <f>AP45</f>
        <v/>
      </c>
      <c r="DA45" s="37">
        <f t="array" ref="DA45">INDEX($CL45:$CR45,0,MATCH($CZ45,$CL45:$CR45,1))</f>
        <v/>
      </c>
      <c r="DB45" s="37">
        <f t="array" ref="DB45">IFERROR(INDEX(Tax_Tables[Percentages],$CK45+MATCH($DA45,$CL45:$CR45,0)-1),"")</f>
        <v/>
      </c>
      <c r="DC45" s="37">
        <f t="array" ref="DC45">IFERROR(INDEX(Tax_Tables[Tax],$CK45+MATCH($DA45,$CL45:$CR45,0)-1),"")</f>
        <v/>
      </c>
      <c r="DD45" s="37">
        <f>IF(CY45&lt;65,CS45,IF(CY45&lt;75,CT45,CU45))</f>
        <v/>
      </c>
      <c r="DE45" s="37">
        <f>CV45*(Summary!$C$31="Y")+(Summary!$C$31="Y")*(CW45*(Pre_MDep&gt;=1)+CX45*MAX(Pre_MDep-1,0))</f>
        <v/>
      </c>
      <c r="DF45" s="599">
        <f>IFERROR(MAX(DB45*(CZ45-DA45)+DC45-DD45-DE45*12,0),"")</f>
        <v/>
      </c>
      <c r="DG45" s="602" t="n"/>
      <c r="DH45" s="601">
        <f>BL45</f>
        <v/>
      </c>
      <c r="DI45" s="37">
        <f t="array" ref="DI45">INDEX($CL45:$CR45,0,MATCH($DH45,$CL45:$CR45,1))</f>
        <v/>
      </c>
      <c r="DJ45" s="37">
        <f t="array" ref="DJ45">IFERROR(INDEX(Tax_Tables[Percentages],$CK45+MATCH($DI45,$CL45:$CR45,0)-1),"")</f>
        <v/>
      </c>
      <c r="DK45" s="37">
        <f t="array" ref="DK45">IFERROR(INDEX(Tax_Tables[Tax],$CK45+MATCH($DI45,$CL45:$CR45,0)-1),"")</f>
        <v/>
      </c>
      <c r="DL45" s="37">
        <f>CV45*(Summary!$C$81="Y")+(Summary!$C$81="Y")*(CW45*(Post_MDep&gt;=1)+CX45*MAX(Post_MDep-1,0))</f>
        <v/>
      </c>
      <c r="DM45" s="599">
        <f>IFERROR(MAX(DJ45*(DH45-DI45)+DK45-DD45-DL45*12,0),"")</f>
        <v/>
      </c>
      <c r="DN45" s="601" t="n"/>
      <c r="DO45" s="37" t="n"/>
      <c r="DP45" s="37" t="n"/>
      <c r="DQ45" s="37" t="n"/>
      <c r="DR45" s="37" t="n"/>
      <c r="DS45" s="37" t="n"/>
      <c r="DT45" s="37" t="n"/>
      <c r="DU45" s="37" t="n"/>
      <c r="DV45" s="37" t="n"/>
      <c r="DW45" s="37" t="n"/>
      <c r="DX45" s="599" t="n"/>
      <c r="DY45" s="131" t="n"/>
      <c r="DZ45" s="601" t="n"/>
      <c r="EA45" s="37" t="n"/>
      <c r="EB45" s="37" t="n"/>
      <c r="EC45" s="37" t="n"/>
      <c r="ED45" s="599" t="n"/>
      <c r="EE45" s="595" t="n"/>
      <c r="EF45" s="25" t="n"/>
    </row>
    <row r="46">
      <c r="A46" s="47" t="n"/>
      <c r="C46" s="596">
        <f>C45+D46-D45</f>
        <v/>
      </c>
      <c r="D46" s="160">
        <f>AU46</f>
        <v/>
      </c>
      <c r="E46" s="87">
        <f>IF(DoC=V46,"Calc Date",IF(V46&lt;DoC,"PL","FL"))</f>
        <v/>
      </c>
      <c r="F46" s="310">
        <f>F45+1</f>
        <v/>
      </c>
      <c r="G46" s="31">
        <f>VLOOKUP(F46,C$10:D$148,2)</f>
        <v/>
      </c>
      <c r="H46" s="313">
        <f>H45</f>
        <v/>
      </c>
      <c r="I46" s="281">
        <f>I45</f>
        <v/>
      </c>
      <c r="J46" s="589">
        <f>I46*index/VLOOKUP($H46,CPI!A:E,4,FALSE)</f>
        <v/>
      </c>
      <c r="K46" s="589">
        <f>IF(L46="Linear",(J46-J45)/(G46-G45),0)</f>
        <v/>
      </c>
      <c r="L46" s="311" t="inlineStr">
        <is>
          <t>Flat</t>
        </is>
      </c>
      <c r="M46" s="137" t="n"/>
      <c r="N46" s="310">
        <f>N45+1</f>
        <v/>
      </c>
      <c r="O46" s="31">
        <f>O45+N46-N45</f>
        <v/>
      </c>
      <c r="P46" s="313">
        <f>P45</f>
        <v/>
      </c>
      <c r="Q46" s="281">
        <f>Q45</f>
        <v/>
      </c>
      <c r="R46" s="589">
        <f>Q46*index/VLOOKUP($P46,CPI!A:E,4,FALSE)</f>
        <v/>
      </c>
      <c r="S46" s="589">
        <f>IF(T46="Linear",(R46-R45)/(O46-O45),0)</f>
        <v/>
      </c>
      <c r="T46" s="311" t="inlineStr">
        <is>
          <t>Flat</t>
        </is>
      </c>
      <c r="U46" s="144" t="n"/>
      <c r="V46" s="6">
        <f>IF(AND($V45=DoA,MONTH(V45)&lt;3),DATE(YEAR(DoA),3,1),IF(AND(IFERROR(DATEDIF(V45,DoC,"M"),12)&lt;12,IFERROR(DATEDIF(V45,DoC,"M"),12)&gt;0),DoC,DATE(YEAR(V45)+(1-AND(YEAR(DoC)=Current,V45=DoC)-AND(V45=DoA,MONTH(V45)&lt;3)),3,1)))</f>
        <v/>
      </c>
      <c r="W46" s="31">
        <f>IF(V46=DoR_Pre,IF(MONTH(DoR_Pre)&gt;3,YEAR(DoR_Pre)+1,YEAR(DoR_Pre)),IF(MONTH(V46)&gt;3,Current,YEAR(V46)))</f>
        <v/>
      </c>
      <c r="X46" s="597">
        <f>IF(W46=Current,ROUND((V46-V45)/365.25,5),_xlfn.IFNA(INDEX(Summary!$A$5:$A$22,MATCH('LOE Sc1'!W46,Summary!$C$5:$C$22,0)),IF(W46=Ret_Yr_pre,ROUND((DoR_Pre-V45)/365.25,5),ROUND((V46-V45)/365.25,2))))</f>
        <v/>
      </c>
      <c r="Y46" s="55">
        <f>IF(AND(V46=DoC,MONTH(DoC)&lt;&gt;3),ROUNDDOWN(DATEDIF(DoB,V47,"M")/12,),ROUNDDOWN(DATEDIF(DoB,V46,"M")/12,))</f>
        <v/>
      </c>
      <c r="Z46" s="590" t="n"/>
      <c r="AA46" s="25">
        <f>MAX(RetAge_Pre-Y46,0)</f>
        <v/>
      </c>
      <c r="AB46" s="26">
        <f t="array" ref="AB46">IF(W46&gt;Ret_Yr_pre,0,_xlfn.IFNA(VLOOKUP(Y46,F$11:J$1000,5,),IF(AND(W46=Current,V46&gt;DoC,MONTH(DoC)&lt;&gt;3),AB45,AB45+INDEX(K$11:K$1000,MATCH(Y46,F$11:F$1000,1)+1))))</f>
        <v/>
      </c>
      <c r="AC46" s="590">
        <f>IF(V46&lt;DoC,AB46*VLOOKUP(YEAR(V46),CPI!A:E,4,FALSE)/index,AB46*real_i^INT(BP46))</f>
        <v/>
      </c>
      <c r="AD46" s="590">
        <f>$AC46/12*Bonus</f>
        <v/>
      </c>
      <c r="AE46" s="590">
        <f>IF($E46="FL",MedSub*m^INT(BP46),MedSub)*IF(Summary!$C$31="Y",1,0)*(W46&lt;=Ret_Yr_pre)*(Summary!C$31="Y")</f>
        <v/>
      </c>
      <c r="AF46" s="590">
        <f>IF(Summary!$C$30="Y",IF(E46&lt;&gt;"PL",VLOOKUP(Current,'Housing Allowance'!$A:$B,2,),VLOOKUP(YEAR($V46),'Housing Allowance'!$A:$B,2,)),0)*(W46&lt;=Ret_Yr_pre)</f>
        <v/>
      </c>
      <c r="AG46" s="590">
        <f>AC46*overtime</f>
        <v/>
      </c>
      <c r="AH46" s="590">
        <f>AC46*allow_1</f>
        <v/>
      </c>
      <c r="AI46" s="590">
        <f>(AB46&lt;&gt;0)*12*allow_2</f>
        <v/>
      </c>
      <c r="AJ46" s="590" t="n"/>
      <c r="AK46" s="581">
        <f>IF(YEAR(W46)&lt;=Ret_Yr_pre,SUM(AC46:AJ46),0)*IF($W46=Ret_Yr_pre,X46,1)</f>
        <v/>
      </c>
      <c r="AL46" s="581">
        <f>IF($W46&gt;=Ret_Yr_pre,pens_Pre*(GEPF_pre="Y"),0)*IF($W46=Ret_Yr_pre,1-$X46,1)*IF(Ret_Yr_pre&lt;Current,(_xlfn.IFNA(VLOOKUP($D46,CPI!$A:$E,2,FALSE),VLOOKUP(Current,CPI!$A:$E,2,FALSE))/VLOOKUP(Ret_Yr_pre,CPI!$A:$E,2,FALSE)),1)</f>
        <v/>
      </c>
      <c r="AM46" s="590">
        <f>$AC46*ee*IF($W46=Ret_Yr_pre,$X46,1)</f>
        <v/>
      </c>
      <c r="AN46" s="590">
        <f>$AC46*er*IF($W46=Ret_Yr_pre,$X46,1)</f>
        <v/>
      </c>
      <c r="AO46" s="590">
        <f>IF('LOE Sc1'!$W46=Ret_Yr_pre,Gratuity_Pre*(GEPF_pre="Y"),0)</f>
        <v/>
      </c>
      <c r="AP46" s="581">
        <f>AK46+AL46-$AM46-AN46*(GEPF_pre="Y")</f>
        <v/>
      </c>
      <c r="AQ46" s="590">
        <f>IF(DF46&lt;0,0,DF46)</f>
        <v/>
      </c>
      <c r="AR46" s="581">
        <f>(AP46-AQ46+AM46*(AM$7="Y")+AN46*(AN$7="Y"))*IF(W46&lt;Ret_Yr_pre,X46,1)+AO46</f>
        <v/>
      </c>
      <c r="AS46" s="595" t="n"/>
      <c r="AT46" s="6">
        <f>V46</f>
        <v/>
      </c>
      <c r="AU46" s="31">
        <f>W46</f>
        <v/>
      </c>
      <c r="AV46" s="598">
        <f>IF(AU46=Current,ROUND((AT46-AT45)/365.25,5),_xlfn.IFNA(INDEX(Summary!$A$55:$A$72,MATCH('LOE Sc1'!AU46,Summary!$C$55:$C$72,0)),IF(AU46=Ret_Yr_post,ROUND((DoR_Post-AT45)/365.25,5),ROUND((AT46-AT45)/365.25,2))))</f>
        <v/>
      </c>
      <c r="AW46" s="55">
        <f>Y46</f>
        <v/>
      </c>
      <c r="AX46" s="26">
        <f t="array" ref="AX46">IF(AU46&gt;Ret_Yr_post,0,_xlfn.IFNA(VLOOKUP(AW46,N$11:S$1000,5,),IF(AND(AU46=Current,AT46&gt;DoC,MONTH(DoC)&lt;&gt;3),AX45,AX45+INDEX(S$11:S$1000,MATCH(AW46,N$11:N$1000,1)+1))))</f>
        <v/>
      </c>
      <c r="AY46" s="590">
        <f>IF($V46&lt;DoC,AX46*VLOOKUP(YEAR($V46),CPI_Table,4,FALSE)/index,AX46*real_i^INT(BP46))</f>
        <v/>
      </c>
      <c r="AZ46" s="590">
        <f>$AY46/12*Bonus_Post*($AW46&lt;=RetAge_Post)</f>
        <v/>
      </c>
      <c r="BA46" s="590">
        <f>IF($E46="FL",MedSub*m^INT(BP46),MedSub)*IF(Summary!$C$81="Y",1,0)*($AU46&lt;=Ret_Yr_post)*(Summary!$C$81="Y")</f>
        <v/>
      </c>
      <c r="BB46" s="590">
        <f>IF(Summary!$C$80="Y",IF($E46&lt;&gt;"PL",VLOOKUP(Current,'Housing Allowance'!$A:$B,2,),VLOOKUP(YEAR($AT46),'Housing Allowance'!$A:$B,2,)),0)*($AU46&lt;=Ret_Yr_post)</f>
        <v/>
      </c>
      <c r="BC46" s="590">
        <f>AY46*overtime_post</f>
        <v/>
      </c>
      <c r="BD46" s="590">
        <f>$AY46*allow_1_post</f>
        <v/>
      </c>
      <c r="BE46" s="590">
        <f>($AY46&lt;&gt;0)*allow_2_post*12</f>
        <v/>
      </c>
      <c r="BF46" s="590" t="n"/>
      <c r="BG46" s="581">
        <f>IF(YEAR($V46)&lt;=Ret_Yr_post,SUM(AY46:BF46),0)*IF($W46=Ret_Yr_post,AV46,1)</f>
        <v/>
      </c>
      <c r="BH46" s="581">
        <f>IF($W46&gt;=Ret_Yr_post,pens_Post*(GEPF_pre="Y"),0)*IF($W46=Ret_Yr_post,1-$AV46,1)*IF(Ret_Yr_post&lt;Current,(_xlfn.IFNA(VLOOKUP($D46,CPI!$A:$E,2,FALSE),VLOOKUP(Current,CPI!$A:$E,2,FALSE))/VLOOKUP(Ret_Yr_post,CPI!$A:$E,2,FALSE)),1)</f>
        <v/>
      </c>
      <c r="BI46" s="590">
        <f>$AY46*ee_post*IF($W46=Ret_Yr_post,$AV46,1)</f>
        <v/>
      </c>
      <c r="BJ46" s="590">
        <f>$AY46*er_post*IF($W46=Ret_Yr_post,$AV46,1)</f>
        <v/>
      </c>
      <c r="BK46" s="590">
        <f>IF('LOE Sc1'!$W46=Ret_Yr_post,Gratuity_Post*(GEPF_post="Y"),0)</f>
        <v/>
      </c>
      <c r="BL46" s="581">
        <f>BG46+BH46-BI46-BJ46*(GEPF_post="Y")</f>
        <v/>
      </c>
      <c r="BM46" s="590">
        <f>IF(DM46&lt;0,0,DM46)</f>
        <v/>
      </c>
      <c r="BN46" s="581">
        <f>(BL46-BM46+BI46*(BI$7="Y")+BJ46*(BJ$7="Y"))*IF($W46&lt;Ret_Yr_post,AV46,1)+BK46</f>
        <v/>
      </c>
      <c r="BO46" s="591" t="n"/>
      <c r="BP46" s="592">
        <f>IF($E46="FL",IF($X46&lt;=DoC,DATEDIF(DoC,$V46,"M")/12,0),0)</f>
        <v/>
      </c>
      <c r="BQ46" s="592">
        <f>IF($E46="FL",(1+CPI)^INT(BP46),0)</f>
        <v/>
      </c>
      <c r="BR46" s="592">
        <f>IF($E46="FL",IF(($BP46-0.5)&gt;=0,1/(1+d)^($BP46-0.5),1/(1+d)^($BP46)),0)</f>
        <v/>
      </c>
      <c r="BS46" s="592" t="n"/>
      <c r="BT46" s="25">
        <f>IF(gender="M",VLOOKUP($Y46+pre_mort+IF(MONTH(DoC)&lt;MONTH(DoB),IF(MONTH(DoC)&lt;3,0,-1),IF(MONTH(DoB)&lt;3,-1,0)),'SALT LIFE TABLES'!$A$7:$E$106,2),VLOOKUP($Y46+pre_mort+IF(MONTH(DoC)&lt;MONTH(DoB),IF(MONTH(DoC)&lt;3,0,-1),IF(MONTH(DoB)&lt;3,-1,0)),'SALT LIFE TABLES'!$A$7:$E$106,4))</f>
        <v/>
      </c>
      <c r="BU46" s="592">
        <f>IF($E46="PL",1,BT46/BU$7)</f>
        <v/>
      </c>
      <c r="BV46" s="593" t="n"/>
      <c r="BW46" s="25">
        <f>IF(gender="M",VLOOKUP($Y46+post_mort+IF(MONTH(DoC)&lt;MONTH(DoB),IF(MONTH(DoC)&lt;3,0,-1),IF(MONTH(DoB)&lt;3,-1,0)),'SALT LIFE TABLES'!$A$7:$E$106,2),VLOOKUP($Y46+post_mort+IF(MONTH(DoC)&lt;MONTH(DoB),IF(MONTH(DoC)&lt;3,0,-1),IF(MONTH(DoB)&lt;3,-1,0)),'SALT LIFE TABLES'!$A$7:$E$106,4))</f>
        <v/>
      </c>
      <c r="BX46" s="592">
        <f>IF($E46="PL",1,BW46/BX$7)</f>
        <v/>
      </c>
      <c r="BY46" s="594" t="n"/>
      <c r="BZ46" s="592" t="n"/>
      <c r="CA46" s="592">
        <f>IF($E46="FL",$AR46*$BQ46*$BR46*$BU46,$AR46)</f>
        <v/>
      </c>
      <c r="CB46" s="592">
        <f>IF($E46="FL",$BN46*$BQ46*$BR46*$BX46,$BN46)</f>
        <v/>
      </c>
      <c r="CC46" s="592" t="n"/>
      <c r="CD46" s="592">
        <f>IF($E46="FL",$CA46*(1-pre_FL),$CA46*(1-pre_PL))</f>
        <v/>
      </c>
      <c r="CE46" s="592">
        <f>IF($E46="FL",$CB46*(1-post_FL),$CB46*(1-post_PL))</f>
        <v/>
      </c>
      <c r="CF46" s="592" t="n"/>
      <c r="CG46" s="599">
        <f>CD46-CE46</f>
        <v/>
      </c>
      <c r="CH46" s="599">
        <f>MIN(CG46,IF(W46=Ret_Yr_pre,1,$X46)*Cap)</f>
        <v/>
      </c>
      <c r="CI46" s="128" t="n"/>
      <c r="CJ46" s="37">
        <f>IF(D46&gt;Current,Current,D46)</f>
        <v/>
      </c>
      <c r="CK46" s="37">
        <f>MATCH($CJ46,Tax_Tables[Tax Year],0)</f>
        <v/>
      </c>
      <c r="CL46" s="600" t="n">
        <v>0</v>
      </c>
      <c r="CM46" s="600">
        <f t="array" ref="CM46">INDEX(Tax_Tables[[Limits]:[Limits]],$CK46+CM$8)</f>
        <v/>
      </c>
      <c r="CN46" s="600">
        <f t="array" ref="CN46">INDEX(Tax_Tables[[Limits]:[Limits]],$CK46+CN$8)</f>
        <v/>
      </c>
      <c r="CO46" s="600">
        <f t="array" ref="CO46">INDEX(Tax_Tables[[Limits]:[Limits]],$CK46+CO$8)</f>
        <v/>
      </c>
      <c r="CP46" s="600">
        <f t="array" ref="CP46">INDEX(Tax_Tables[[Limits]:[Limits]],$CK46+CP$8)</f>
        <v/>
      </c>
      <c r="CQ46" s="600">
        <f t="array" ref="CQ46">INDEX(Tax_Tables[[Limits]:[Limits]],$CK46+CQ$8)</f>
        <v/>
      </c>
      <c r="CR46" s="600">
        <f t="array" ref="CR46">INDEX(Tax_Tables[[Limits]:[Limits]],$CK46+CR$8)</f>
        <v/>
      </c>
      <c r="CS46" s="37">
        <f>INDEX(Rebate[&lt;65],MATCH($CJ46,Rebate[[Tax Year]:[Tax Year]],0))</f>
        <v/>
      </c>
      <c r="CT46" s="37">
        <f>INDEX(Rebate[&lt;75],MATCH($CJ46,Rebate[[Tax Year]:[Tax Year]],0))</f>
        <v/>
      </c>
      <c r="CU46" s="37">
        <f>INDEX(Rebate[&gt;75],MATCH($CJ46,Rebate[[Tax Year]:[Tax Year]],0))</f>
        <v/>
      </c>
      <c r="CV46" s="37">
        <f>INDEX(Tax_Credit[Principal],MATCH($CJ46,Tax_Credit[[Tax Year]:[Tax Year]],0))</f>
        <v/>
      </c>
      <c r="CW46" s="37">
        <f>INDEX(Tax_Credit[First Dependant],MATCH($CJ46,Tax_Credit[[Tax Year]:[Tax Year]],0))</f>
        <v/>
      </c>
      <c r="CX46" s="37">
        <f>INDEX(Tax_Credit[Each Additional],MATCH($CJ46,Tax_Credit[[Tax Year]:[Tax Year]],0))</f>
        <v/>
      </c>
      <c r="CY46" s="484">
        <f>Y46</f>
        <v/>
      </c>
      <c r="CZ46" s="601">
        <f>AP46</f>
        <v/>
      </c>
      <c r="DA46" s="37">
        <f t="array" ref="DA46">INDEX($CL46:$CR46,0,MATCH($CZ46,$CL46:$CR46,1))</f>
        <v/>
      </c>
      <c r="DB46" s="37">
        <f t="array" ref="DB46">IFERROR(INDEX(Tax_Tables[Percentages],$CK46+MATCH($DA46,$CL46:$CR46,0)-1),"")</f>
        <v/>
      </c>
      <c r="DC46" s="37">
        <f t="array" ref="DC46">IFERROR(INDEX(Tax_Tables[Tax],$CK46+MATCH($DA46,$CL46:$CR46,0)-1),"")</f>
        <v/>
      </c>
      <c r="DD46" s="37">
        <f>IF(CY46&lt;65,CS46,IF(CY46&lt;75,CT46,CU46))</f>
        <v/>
      </c>
      <c r="DE46" s="37">
        <f>CV46*(Summary!$C$31="Y")+(Summary!$C$31="Y")*(CW46*(Pre_MDep&gt;=1)+CX46*MAX(Pre_MDep-1,0))</f>
        <v/>
      </c>
      <c r="DF46" s="599">
        <f>IFERROR(MAX(DB46*(CZ46-DA46)+DC46-DD46-DE46*12,0),"")</f>
        <v/>
      </c>
      <c r="DG46" s="602" t="n"/>
      <c r="DH46" s="601">
        <f>BL46</f>
        <v/>
      </c>
      <c r="DI46" s="37">
        <f t="array" ref="DI46">INDEX($CL46:$CR46,0,MATCH($DH46,$CL46:$CR46,1))</f>
        <v/>
      </c>
      <c r="DJ46" s="37">
        <f t="array" ref="DJ46">IFERROR(INDEX(Tax_Tables[Percentages],$CK46+MATCH($DI46,$CL46:$CR46,0)-1),"")</f>
        <v/>
      </c>
      <c r="DK46" s="37">
        <f t="array" ref="DK46">IFERROR(INDEX(Tax_Tables[Tax],$CK46+MATCH($DI46,$CL46:$CR46,0)-1),"")</f>
        <v/>
      </c>
      <c r="DL46" s="37">
        <f>CV46*(Summary!$C$81="Y")+(Summary!$C$81="Y")*(CW46*(Post_MDep&gt;=1)+CX46*MAX(Post_MDep-1,0))</f>
        <v/>
      </c>
      <c r="DM46" s="599">
        <f>IFERROR(MAX(DJ46*(DH46-DI46)+DK46-DD46-DL46*12,0),"")</f>
        <v/>
      </c>
      <c r="DN46" s="601" t="n"/>
      <c r="DO46" s="37" t="n"/>
      <c r="DP46" s="37" t="n"/>
      <c r="DQ46" s="37" t="n"/>
      <c r="DR46" s="37" t="n"/>
      <c r="DS46" s="37" t="n"/>
      <c r="DT46" s="37" t="n"/>
      <c r="DU46" s="37" t="n"/>
      <c r="DV46" s="37" t="n"/>
      <c r="DW46" s="37" t="n"/>
      <c r="DX46" s="599" t="n"/>
      <c r="DY46" s="131" t="n"/>
      <c r="DZ46" s="601" t="n"/>
      <c r="EA46" s="37" t="n"/>
      <c r="EB46" s="37" t="n"/>
      <c r="EC46" s="37" t="n"/>
      <c r="ED46" s="599" t="n"/>
      <c r="EE46" s="595" t="n"/>
      <c r="EF46" s="25" t="n"/>
    </row>
    <row r="47">
      <c r="C47" s="596">
        <f>C46+D47-D46</f>
        <v/>
      </c>
      <c r="D47" s="160">
        <f>AU47</f>
        <v/>
      </c>
      <c r="E47" s="87">
        <f>IF(DoC=V47,"Calc Date",IF(V47&lt;DoC,"PL","FL"))</f>
        <v/>
      </c>
      <c r="F47" s="310">
        <f>F46+1</f>
        <v/>
      </c>
      <c r="G47" s="31">
        <f>VLOOKUP(F47,C$10:D$148,2)</f>
        <v/>
      </c>
      <c r="H47" s="313">
        <f>H46</f>
        <v/>
      </c>
      <c r="I47" s="281">
        <f>I46</f>
        <v/>
      </c>
      <c r="J47" s="589">
        <f>I47*index/VLOOKUP($H47,CPI!A:E,4,FALSE)</f>
        <v/>
      </c>
      <c r="K47" s="589">
        <f>IF(L47="Linear",(J47-J46)/(G47-G46),0)</f>
        <v/>
      </c>
      <c r="L47" s="311" t="inlineStr">
        <is>
          <t>Flat</t>
        </is>
      </c>
      <c r="M47" s="137" t="n"/>
      <c r="N47" s="310">
        <f>N46+1</f>
        <v/>
      </c>
      <c r="O47" s="31">
        <f>O46+N47-N46</f>
        <v/>
      </c>
      <c r="P47" s="313">
        <f>P46</f>
        <v/>
      </c>
      <c r="Q47" s="281">
        <f>Q46</f>
        <v/>
      </c>
      <c r="R47" s="589">
        <f>Q47*index/VLOOKUP($P47,CPI!A:E,4,FALSE)</f>
        <v/>
      </c>
      <c r="S47" s="589">
        <f>IF(T47="Linear",(R47-R46)/(O47-O46),0)</f>
        <v/>
      </c>
      <c r="T47" s="311" t="inlineStr">
        <is>
          <t>Flat</t>
        </is>
      </c>
      <c r="U47" s="144" t="n"/>
      <c r="V47" s="6">
        <f>IF(AND($V46=DoA,MONTH(V46)&lt;3),DATE(YEAR(DoA),3,1),IF(AND(IFERROR(DATEDIF(V46,DoC,"M"),12)&lt;12,IFERROR(DATEDIF(V46,DoC,"M"),12)&gt;0),DoC,DATE(YEAR(V46)+(1-AND(YEAR(DoC)=Current,V46=DoC)-AND(V46=DoA,MONTH(V46)&lt;3)),3,1)))</f>
        <v/>
      </c>
      <c r="W47" s="31">
        <f>IF(V47=DoR_Pre,IF(MONTH(DoR_Pre)&gt;3,YEAR(DoR_Pre)+1,YEAR(DoR_Pre)),IF(MONTH(V47)&gt;3,Current,YEAR(V47)))</f>
        <v/>
      </c>
      <c r="X47" s="597">
        <f>IF(W47=Current,ROUND((V47-V46)/365.25,5),_xlfn.IFNA(INDEX(Summary!$A$5:$A$22,MATCH('LOE Sc1'!W47,Summary!$C$5:$C$22,0)),IF(W47=Ret_Yr_pre,ROUND((DoR_Pre-V46)/365.25,5),ROUND((V47-V46)/365.25,2))))</f>
        <v/>
      </c>
      <c r="Y47" s="55">
        <f>IF(AND(V47=DoC,MONTH(DoC)&lt;&gt;3),ROUNDDOWN(DATEDIF(DoB,V48,"M")/12,),ROUNDDOWN(DATEDIF(DoB,V47,"M")/12,))</f>
        <v/>
      </c>
      <c r="Z47" s="590" t="n"/>
      <c r="AA47" s="25">
        <f>MAX(RetAge_Pre-Y47,0)</f>
        <v/>
      </c>
      <c r="AB47" s="26">
        <f t="array" ref="AB47">IF(W47&gt;Ret_Yr_pre,0,_xlfn.IFNA(VLOOKUP(Y47,F$11:J$1000,5,),IF(AND(W47=Current,V47&gt;DoC,MONTH(DoC)&lt;&gt;3),AB46,AB46+INDEX(K$11:K$1000,MATCH(Y47,F$11:F$1000,1)+1))))</f>
        <v/>
      </c>
      <c r="AC47" s="590">
        <f>IF(V47&lt;DoC,AB47*VLOOKUP(YEAR(V47),CPI!A:E,4,FALSE)/index,AB47*real_i^INT(BP47))</f>
        <v/>
      </c>
      <c r="AD47" s="590">
        <f>$AC47/12*Bonus</f>
        <v/>
      </c>
      <c r="AE47" s="590">
        <f>IF($E47="FL",MedSub*m^INT(BP47),MedSub)*IF(Summary!$C$31="Y",1,0)*(W47&lt;=Ret_Yr_pre)*(Summary!C$31="Y")</f>
        <v/>
      </c>
      <c r="AF47" s="590">
        <f>IF(Summary!$C$30="Y",IF(E47&lt;&gt;"PL",VLOOKUP(Current,'Housing Allowance'!$A:$B,2,),VLOOKUP(YEAR($V47),'Housing Allowance'!$A:$B,2,)),0)*(W47&lt;=Ret_Yr_pre)</f>
        <v/>
      </c>
      <c r="AG47" s="590">
        <f>AC47*overtime</f>
        <v/>
      </c>
      <c r="AH47" s="590">
        <f>AC47*allow_1</f>
        <v/>
      </c>
      <c r="AI47" s="590">
        <f>(AB47&lt;&gt;0)*12*allow_2</f>
        <v/>
      </c>
      <c r="AJ47" s="590" t="n"/>
      <c r="AK47" s="581">
        <f>IF(YEAR(W47)&lt;=Ret_Yr_pre,SUM(AC47:AJ47),0)*IF($W47=Ret_Yr_pre,X47,1)</f>
        <v/>
      </c>
      <c r="AL47" s="581">
        <f>IF($W47&gt;=Ret_Yr_pre,pens_Pre*(GEPF_pre="Y"),0)*IF($W47=Ret_Yr_pre,1-$X47,1)*IF(Ret_Yr_pre&lt;Current,(_xlfn.IFNA(VLOOKUP($D47,CPI!$A:$E,2,FALSE),VLOOKUP(Current,CPI!$A:$E,2,FALSE))/VLOOKUP(Ret_Yr_pre,CPI!$A:$E,2,FALSE)),1)</f>
        <v/>
      </c>
      <c r="AM47" s="590">
        <f>$AC47*ee*IF($W47=Ret_Yr_pre,$X47,1)</f>
        <v/>
      </c>
      <c r="AN47" s="590">
        <f>$AC47*er*IF($W47=Ret_Yr_pre,$X47,1)</f>
        <v/>
      </c>
      <c r="AO47" s="590">
        <f>IF('LOE Sc1'!$W47=Ret_Yr_pre,Gratuity_Pre*(GEPF_pre="Y"),0)</f>
        <v/>
      </c>
      <c r="AP47" s="581">
        <f>AK47+AL47-$AM47-AN47*(GEPF_pre="Y")</f>
        <v/>
      </c>
      <c r="AQ47" s="590">
        <f>IF(DF47&lt;0,0,DF47)</f>
        <v/>
      </c>
      <c r="AR47" s="581">
        <f>(AP47-AQ47+AM47*(AM$7="Y")+AN47*(AN$7="Y"))*IF(W47&lt;Ret_Yr_pre,X47,1)+AO47</f>
        <v/>
      </c>
      <c r="AS47" s="595" t="n"/>
      <c r="AT47" s="6">
        <f>V47</f>
        <v/>
      </c>
      <c r="AU47" s="31">
        <f>W47</f>
        <v/>
      </c>
      <c r="AV47" s="598">
        <f>IF(AU47=Current,ROUND((AT47-AT46)/365.25,5),_xlfn.IFNA(INDEX(Summary!$A$55:$A$72,MATCH('LOE Sc1'!AU47,Summary!$C$55:$C$72,0)),IF(AU47=Ret_Yr_post,ROUND((DoR_Post-AT46)/365.25,5),ROUND((AT47-AT46)/365.25,2))))</f>
        <v/>
      </c>
      <c r="AW47" s="55">
        <f>Y47</f>
        <v/>
      </c>
      <c r="AX47" s="26">
        <f t="array" ref="AX47">IF(AU47&gt;Ret_Yr_post,0,_xlfn.IFNA(VLOOKUP(AW47,N$11:S$1000,5,),IF(AND(AU47=Current,AT47&gt;DoC,MONTH(DoC)&lt;&gt;3),AX46,AX46+INDEX(S$11:S$1000,MATCH(AW47,N$11:N$1000,1)+1))))</f>
        <v/>
      </c>
      <c r="AY47" s="590">
        <f>IF($V47&lt;DoC,AX47*VLOOKUP(YEAR($V47),CPI_Table,4,FALSE)/index,AX47*real_i^INT(BP47))</f>
        <v/>
      </c>
      <c r="AZ47" s="590">
        <f>$AY47/12*Bonus_Post*($AW47&lt;=RetAge_Post)</f>
        <v/>
      </c>
      <c r="BA47" s="590">
        <f>IF($E47="FL",MedSub*m^INT(BP47),MedSub)*IF(Summary!$C$81="Y",1,0)*($AU47&lt;=Ret_Yr_post)*(Summary!$C$81="Y")</f>
        <v/>
      </c>
      <c r="BB47" s="590">
        <f>IF(Summary!$C$80="Y",IF($E47&lt;&gt;"PL",VLOOKUP(Current,'Housing Allowance'!$A:$B,2,),VLOOKUP(YEAR($AT47),'Housing Allowance'!$A:$B,2,)),0)*($AU47&lt;=Ret_Yr_post)</f>
        <v/>
      </c>
      <c r="BC47" s="590">
        <f>AY47*overtime_post</f>
        <v/>
      </c>
      <c r="BD47" s="590">
        <f>$AY47*allow_1_post</f>
        <v/>
      </c>
      <c r="BE47" s="590">
        <f>($AY47&lt;&gt;0)*allow_2_post*12</f>
        <v/>
      </c>
      <c r="BF47" s="590" t="n"/>
      <c r="BG47" s="581">
        <f>IF(YEAR($V47)&lt;=Ret_Yr_post,SUM(AY47:BF47),0)*IF($W47=Ret_Yr_post,AV47,1)</f>
        <v/>
      </c>
      <c r="BH47" s="581">
        <f>IF($W47&gt;=Ret_Yr_post,pens_Post*(GEPF_pre="Y"),0)*IF($W47=Ret_Yr_post,1-$AV47,1)*IF(Ret_Yr_post&lt;Current,(_xlfn.IFNA(VLOOKUP($D47,CPI!$A:$E,2,FALSE),VLOOKUP(Current,CPI!$A:$E,2,FALSE))/VLOOKUP(Ret_Yr_post,CPI!$A:$E,2,FALSE)),1)</f>
        <v/>
      </c>
      <c r="BI47" s="590">
        <f>$AY47*ee_post*IF($W47=Ret_Yr_post,$AV47,1)</f>
        <v/>
      </c>
      <c r="BJ47" s="590">
        <f>$AY47*er_post*IF($W47=Ret_Yr_post,$AV47,1)</f>
        <v/>
      </c>
      <c r="BK47" s="590">
        <f>IF('LOE Sc1'!$W47=Ret_Yr_post,Gratuity_Post*(GEPF_post="Y"),0)</f>
        <v/>
      </c>
      <c r="BL47" s="581">
        <f>BG47+BH47-BI47-BJ47*(GEPF_post="Y")</f>
        <v/>
      </c>
      <c r="BM47" s="590">
        <f>IF(DM47&lt;0,0,DM47)</f>
        <v/>
      </c>
      <c r="BN47" s="581">
        <f>(BL47-BM47+BI47*(BI$7="Y")+BJ47*(BJ$7="Y"))*IF($W47&lt;Ret_Yr_post,AV47,1)+BK47</f>
        <v/>
      </c>
      <c r="BO47" s="591" t="n"/>
      <c r="BP47" s="592">
        <f>IF($E47="FL",IF($X47&lt;=DoC,DATEDIF(DoC,$V47,"M")/12,0),0)</f>
        <v/>
      </c>
      <c r="BQ47" s="592">
        <f>IF($E47="FL",(1+CPI)^INT(BP47),0)</f>
        <v/>
      </c>
      <c r="BR47" s="592">
        <f>IF($E47="FL",IF(($BP47-0.5)&gt;=0,1/(1+d)^($BP47-0.5),1/(1+d)^($BP47)),0)</f>
        <v/>
      </c>
      <c r="BS47" s="592" t="n"/>
      <c r="BT47" s="25">
        <f>IF(gender="M",VLOOKUP($Y47+pre_mort+IF(MONTH(DoC)&lt;MONTH(DoB),IF(MONTH(DoC)&lt;3,0,-1),IF(MONTH(DoB)&lt;3,-1,0)),'SALT LIFE TABLES'!$A$7:$E$106,2),VLOOKUP($Y47+pre_mort+IF(MONTH(DoC)&lt;MONTH(DoB),IF(MONTH(DoC)&lt;3,0,-1),IF(MONTH(DoB)&lt;3,-1,0)),'SALT LIFE TABLES'!$A$7:$E$106,4))</f>
        <v/>
      </c>
      <c r="BU47" s="592">
        <f>IF($E47="PL",1,BT47/BU$7)</f>
        <v/>
      </c>
      <c r="BV47" s="593" t="n"/>
      <c r="BW47" s="25">
        <f>IF(gender="M",VLOOKUP($Y47+post_mort+IF(MONTH(DoC)&lt;MONTH(DoB),IF(MONTH(DoC)&lt;3,0,-1),IF(MONTH(DoB)&lt;3,-1,0)),'SALT LIFE TABLES'!$A$7:$E$106,2),VLOOKUP($Y47+post_mort+IF(MONTH(DoC)&lt;MONTH(DoB),IF(MONTH(DoC)&lt;3,0,-1),IF(MONTH(DoB)&lt;3,-1,0)),'SALT LIFE TABLES'!$A$7:$E$106,4))</f>
        <v/>
      </c>
      <c r="BX47" s="592">
        <f>IF($E47="PL",1,BW47/BX$7)</f>
        <v/>
      </c>
      <c r="BY47" s="594" t="n"/>
      <c r="BZ47" s="592" t="n"/>
      <c r="CA47" s="592">
        <f>IF($E47="FL",$AR47*$BQ47*$BR47*$BU47,$AR47)</f>
        <v/>
      </c>
      <c r="CB47" s="592">
        <f>IF($E47="FL",$BN47*$BQ47*$BR47*$BX47,$BN47)</f>
        <v/>
      </c>
      <c r="CC47" s="592" t="n"/>
      <c r="CD47" s="592">
        <f>IF($E47="FL",$CA47*(1-pre_FL),$CA47*(1-pre_PL))</f>
        <v/>
      </c>
      <c r="CE47" s="592">
        <f>IF($E47="FL",$CB47*(1-post_FL),$CB47*(1-post_PL))</f>
        <v/>
      </c>
      <c r="CF47" s="592" t="n"/>
      <c r="CG47" s="599">
        <f>CD47-CE47</f>
        <v/>
      </c>
      <c r="CH47" s="599">
        <f>MIN(CG47,IF(W47=Ret_Yr_pre,1,$X47)*Cap)</f>
        <v/>
      </c>
      <c r="CI47" s="128" t="n"/>
      <c r="CJ47" s="37">
        <f>IF(D47&gt;Current,Current,D47)</f>
        <v/>
      </c>
      <c r="CK47" s="37">
        <f>MATCH($CJ47,Tax_Tables[Tax Year],0)</f>
        <v/>
      </c>
      <c r="CL47" s="600" t="n">
        <v>0</v>
      </c>
      <c r="CM47" s="600">
        <f t="array" ref="CM47">INDEX(Tax_Tables[[Limits]:[Limits]],$CK47+CM$8)</f>
        <v/>
      </c>
      <c r="CN47" s="600">
        <f t="array" ref="CN47">INDEX(Tax_Tables[[Limits]:[Limits]],$CK47+CN$8)</f>
        <v/>
      </c>
      <c r="CO47" s="600">
        <f t="array" ref="CO47">INDEX(Tax_Tables[[Limits]:[Limits]],$CK47+CO$8)</f>
        <v/>
      </c>
      <c r="CP47" s="600">
        <f t="array" ref="CP47">INDEX(Tax_Tables[[Limits]:[Limits]],$CK47+CP$8)</f>
        <v/>
      </c>
      <c r="CQ47" s="600">
        <f t="array" ref="CQ47">INDEX(Tax_Tables[[Limits]:[Limits]],$CK47+CQ$8)</f>
        <v/>
      </c>
      <c r="CR47" s="600">
        <f t="array" ref="CR47">INDEX(Tax_Tables[[Limits]:[Limits]],$CK47+CR$8)</f>
        <v/>
      </c>
      <c r="CS47" s="37">
        <f>INDEX(Rebate[&lt;65],MATCH($CJ47,Rebate[[Tax Year]:[Tax Year]],0))</f>
        <v/>
      </c>
      <c r="CT47" s="37">
        <f>INDEX(Rebate[&lt;75],MATCH($CJ47,Rebate[[Tax Year]:[Tax Year]],0))</f>
        <v/>
      </c>
      <c r="CU47" s="37">
        <f>INDEX(Rebate[&gt;75],MATCH($CJ47,Rebate[[Tax Year]:[Tax Year]],0))</f>
        <v/>
      </c>
      <c r="CV47" s="37">
        <f>INDEX(Tax_Credit[Principal],MATCH($CJ47,Tax_Credit[[Tax Year]:[Tax Year]],0))</f>
        <v/>
      </c>
      <c r="CW47" s="37">
        <f>INDEX(Tax_Credit[First Dependant],MATCH($CJ47,Tax_Credit[[Tax Year]:[Tax Year]],0))</f>
        <v/>
      </c>
      <c r="CX47" s="37">
        <f>INDEX(Tax_Credit[Each Additional],MATCH($CJ47,Tax_Credit[[Tax Year]:[Tax Year]],0))</f>
        <v/>
      </c>
      <c r="CY47" s="484">
        <f>Y47</f>
        <v/>
      </c>
      <c r="CZ47" s="601">
        <f>AP47</f>
        <v/>
      </c>
      <c r="DA47" s="37">
        <f t="array" ref="DA47">INDEX($CL47:$CR47,0,MATCH($CZ47,$CL47:$CR47,1))</f>
        <v/>
      </c>
      <c r="DB47" s="37">
        <f t="array" ref="DB47">IFERROR(INDEX(Tax_Tables[Percentages],$CK47+MATCH($DA47,$CL47:$CR47,0)-1),"")</f>
        <v/>
      </c>
      <c r="DC47" s="37">
        <f t="array" ref="DC47">IFERROR(INDEX(Tax_Tables[Tax],$CK47+MATCH($DA47,$CL47:$CR47,0)-1),"")</f>
        <v/>
      </c>
      <c r="DD47" s="37">
        <f>IF(CY47&lt;65,CS47,IF(CY47&lt;75,CT47,CU47))</f>
        <v/>
      </c>
      <c r="DE47" s="37">
        <f>CV47*(Summary!$C$31="Y")+(Summary!$C$31="Y")*(CW47*(Pre_MDep&gt;=1)+CX47*MAX(Pre_MDep-1,0))</f>
        <v/>
      </c>
      <c r="DF47" s="599">
        <f>IFERROR(MAX(DB47*(CZ47-DA47)+DC47-DD47-DE47*12,0),"")</f>
        <v/>
      </c>
      <c r="DG47" s="602" t="n"/>
      <c r="DH47" s="601">
        <f>BL47</f>
        <v/>
      </c>
      <c r="DI47" s="37">
        <f t="array" ref="DI47">INDEX($CL47:$CR47,0,MATCH($DH47,$CL47:$CR47,1))</f>
        <v/>
      </c>
      <c r="DJ47" s="37">
        <f t="array" ref="DJ47">IFERROR(INDEX(Tax_Tables[Percentages],$CK47+MATCH($DI47,$CL47:$CR47,0)-1),"")</f>
        <v/>
      </c>
      <c r="DK47" s="37">
        <f t="array" ref="DK47">IFERROR(INDEX(Tax_Tables[Tax],$CK47+MATCH($DI47,$CL47:$CR47,0)-1),"")</f>
        <v/>
      </c>
      <c r="DL47" s="37">
        <f>CV47*(Summary!$C$81="Y")+(Summary!$C$81="Y")*(CW47*(Post_MDep&gt;=1)+CX47*MAX(Post_MDep-1,0))</f>
        <v/>
      </c>
      <c r="DM47" s="599">
        <f>IFERROR(MAX(DJ47*(DH47-DI47)+DK47-DD47-DL47*12,0),"")</f>
        <v/>
      </c>
      <c r="DN47" s="601" t="n"/>
      <c r="DO47" s="37" t="n"/>
      <c r="DP47" s="37" t="n"/>
      <c r="DQ47" s="37" t="n"/>
      <c r="DR47" s="37" t="n"/>
      <c r="DS47" s="37" t="n"/>
      <c r="DT47" s="37" t="n"/>
      <c r="DU47" s="37" t="n"/>
      <c r="DV47" s="37" t="n"/>
      <c r="DW47" s="37" t="n"/>
      <c r="DX47" s="599" t="n"/>
      <c r="DY47" s="131" t="n"/>
      <c r="DZ47" s="601" t="n"/>
      <c r="EA47" s="37" t="n"/>
      <c r="EB47" s="37" t="n"/>
      <c r="EC47" s="37" t="n"/>
      <c r="ED47" s="599" t="n"/>
      <c r="EE47" s="595" t="n"/>
      <c r="EF47" s="25" t="n"/>
    </row>
    <row r="48">
      <c r="C48" s="596">
        <f>C47+D48-D47</f>
        <v/>
      </c>
      <c r="D48" s="160">
        <f>AU48</f>
        <v/>
      </c>
      <c r="E48" s="87">
        <f>IF(DoC=V48,"Calc Date",IF(V48&lt;DoC,"PL","FL"))</f>
        <v/>
      </c>
      <c r="F48" s="310">
        <f>F47+1</f>
        <v/>
      </c>
      <c r="G48" s="31">
        <f>VLOOKUP(F48,C$10:D$148,2)</f>
        <v/>
      </c>
      <c r="H48" s="313">
        <f>H47</f>
        <v/>
      </c>
      <c r="I48" s="281">
        <f>I47</f>
        <v/>
      </c>
      <c r="J48" s="589">
        <f>I48*index/VLOOKUP($H48,CPI!A:E,4,FALSE)</f>
        <v/>
      </c>
      <c r="K48" s="589">
        <f>IF(L48="Linear",(J48-J47)/(G48-G47),0)</f>
        <v/>
      </c>
      <c r="L48" s="311" t="inlineStr">
        <is>
          <t>Flat</t>
        </is>
      </c>
      <c r="M48" s="137" t="n"/>
      <c r="N48" s="310">
        <f>N47+1</f>
        <v/>
      </c>
      <c r="O48" s="31">
        <f>O47+N48-N47</f>
        <v/>
      </c>
      <c r="P48" s="313">
        <f>P47</f>
        <v/>
      </c>
      <c r="Q48" s="281">
        <f>Q47</f>
        <v/>
      </c>
      <c r="R48" s="589">
        <f>Q48*index/VLOOKUP($P48,CPI!A:E,4,FALSE)</f>
        <v/>
      </c>
      <c r="S48" s="589">
        <f>IF(T48="Linear",(R48-R47)/(O48-O47),0)</f>
        <v/>
      </c>
      <c r="T48" s="311" t="inlineStr">
        <is>
          <t>Flat</t>
        </is>
      </c>
      <c r="U48" s="144" t="n"/>
      <c r="V48" s="6">
        <f>IF(AND($V47=DoA,MONTH(V47)&lt;3),DATE(YEAR(DoA),3,1),IF(AND(IFERROR(DATEDIF(V47,DoC,"M"),12)&lt;12,IFERROR(DATEDIF(V47,DoC,"M"),12)&gt;0),DoC,DATE(YEAR(V47)+(1-AND(YEAR(DoC)=Current,V47=DoC)-AND(V47=DoA,MONTH(V47)&lt;3)),3,1)))</f>
        <v/>
      </c>
      <c r="W48" s="31">
        <f>IF(V48=DoR_Pre,IF(MONTH(DoR_Pre)&gt;3,YEAR(DoR_Pre)+1,YEAR(DoR_Pre)),IF(MONTH(V48)&gt;3,Current,YEAR(V48)))</f>
        <v/>
      </c>
      <c r="X48" s="597">
        <f>IF(W48=Current,ROUND((V48-V47)/365.25,5),_xlfn.IFNA(INDEX(Summary!$A$5:$A$22,MATCH('LOE Sc1'!W48,Summary!$C$5:$C$22,0)),IF(W48=Ret_Yr_pre,ROUND((DoR_Pre-V47)/365.25,5),ROUND((V48-V47)/365.25,2))))</f>
        <v/>
      </c>
      <c r="Y48" s="55">
        <f>IF(AND(V48=DoC,MONTH(DoC)&lt;&gt;3),ROUNDDOWN(DATEDIF(DoB,V49,"M")/12,),ROUNDDOWN(DATEDIF(DoB,V48,"M")/12,))</f>
        <v/>
      </c>
      <c r="Z48" s="590" t="n"/>
      <c r="AA48" s="25">
        <f>MAX(RetAge_Pre-Y48,0)</f>
        <v/>
      </c>
      <c r="AB48" s="26">
        <f t="array" ref="AB48">IF(W48&gt;Ret_Yr_pre,0,_xlfn.IFNA(VLOOKUP(Y48,F$11:J$1000,5,),IF(AND(W48=Current,V48&gt;DoC,MONTH(DoC)&lt;&gt;3),AB47,AB47+INDEX(K$11:K$1000,MATCH(Y48,F$11:F$1000,1)+1))))</f>
        <v/>
      </c>
      <c r="AC48" s="590">
        <f>IF(V48&lt;DoC,AB48*VLOOKUP(YEAR(V48),CPI!A:E,4,FALSE)/index,AB48*real_i^INT(BP48))</f>
        <v/>
      </c>
      <c r="AD48" s="590">
        <f>$AC48/12*Bonus</f>
        <v/>
      </c>
      <c r="AE48" s="590">
        <f>IF($E48="FL",MedSub*m^INT(BP48),MedSub)*IF(Summary!$C$31="Y",1,0)*(W48&lt;=Ret_Yr_pre)*(Summary!C$31="Y")</f>
        <v/>
      </c>
      <c r="AF48" s="590">
        <f>IF(Summary!$C$30="Y",IF(E48&lt;&gt;"PL",VLOOKUP(Current,'Housing Allowance'!$A:$B,2,),VLOOKUP(YEAR($V48),'Housing Allowance'!$A:$B,2,)),0)*(W48&lt;=Ret_Yr_pre)</f>
        <v/>
      </c>
      <c r="AG48" s="590">
        <f>AC48*overtime</f>
        <v/>
      </c>
      <c r="AH48" s="590">
        <f>AC48*allow_1</f>
        <v/>
      </c>
      <c r="AI48" s="590">
        <f>(AB48&lt;&gt;0)*12*allow_2</f>
        <v/>
      </c>
      <c r="AJ48" s="590" t="n"/>
      <c r="AK48" s="581">
        <f>IF(YEAR(W48)&lt;=Ret_Yr_pre,SUM(AC48:AJ48),0)*IF($W48=Ret_Yr_pre,X48,1)</f>
        <v/>
      </c>
      <c r="AL48" s="581">
        <f>IF($W48&gt;=Ret_Yr_pre,pens_Pre*(GEPF_pre="Y"),0)*IF($W48=Ret_Yr_pre,1-$X48,1)*IF(Ret_Yr_pre&lt;Current,(_xlfn.IFNA(VLOOKUP($D48,CPI!$A:$E,2,FALSE),VLOOKUP(Current,CPI!$A:$E,2,FALSE))/VLOOKUP(Ret_Yr_pre,CPI!$A:$E,2,FALSE)),1)</f>
        <v/>
      </c>
      <c r="AM48" s="590">
        <f>$AC48*ee*IF($W48=Ret_Yr_pre,$X48,1)</f>
        <v/>
      </c>
      <c r="AN48" s="590">
        <f>$AC48*er*IF($W48=Ret_Yr_pre,$X48,1)</f>
        <v/>
      </c>
      <c r="AO48" s="590">
        <f>IF('LOE Sc1'!$W48=Ret_Yr_pre,Gratuity_Pre*(GEPF_pre="Y"),0)</f>
        <v/>
      </c>
      <c r="AP48" s="581">
        <f>AK48+AL48-$AM48-AN48*(GEPF_pre="Y")</f>
        <v/>
      </c>
      <c r="AQ48" s="590">
        <f>IF(DF48&lt;0,0,DF48)</f>
        <v/>
      </c>
      <c r="AR48" s="581">
        <f>(AP48-AQ48+AM48*(AM$7="Y")+AN48*(AN$7="Y"))*IF(W48&lt;Ret_Yr_pre,X48,1)+AO48</f>
        <v/>
      </c>
      <c r="AS48" s="595" t="n"/>
      <c r="AT48" s="6">
        <f>V48</f>
        <v/>
      </c>
      <c r="AU48" s="31">
        <f>W48</f>
        <v/>
      </c>
      <c r="AV48" s="598">
        <f>IF(AU48=Current,ROUND((AT48-AT47)/365.25,5),_xlfn.IFNA(INDEX(Summary!$A$55:$A$72,MATCH('LOE Sc1'!AU48,Summary!$C$55:$C$72,0)),IF(AU48=Ret_Yr_post,ROUND((DoR_Post-AT47)/365.25,5),ROUND((AT48-AT47)/365.25,2))))</f>
        <v/>
      </c>
      <c r="AW48" s="55">
        <f>Y48</f>
        <v/>
      </c>
      <c r="AX48" s="26">
        <f t="array" ref="AX48">IF(AU48&gt;Ret_Yr_post,0,_xlfn.IFNA(VLOOKUP(AW48,N$11:S$1000,5,),IF(AND(AU48=Current,AT48&gt;DoC,MONTH(DoC)&lt;&gt;3),AX47,AX47+INDEX(S$11:S$1000,MATCH(AW48,N$11:N$1000,1)+1))))</f>
        <v/>
      </c>
      <c r="AY48" s="590">
        <f>IF($V48&lt;DoC,AX48*VLOOKUP(YEAR($V48),CPI_Table,4,FALSE)/index,AX48*real_i^INT(BP48))</f>
        <v/>
      </c>
      <c r="AZ48" s="590">
        <f>$AY48/12*Bonus_Post*($AW48&lt;=RetAge_Post)</f>
        <v/>
      </c>
      <c r="BA48" s="590">
        <f>IF($E48="FL",MedSub*m^INT(BP48),MedSub)*IF(Summary!$C$81="Y",1,0)*($AU48&lt;=Ret_Yr_post)*(Summary!$C$81="Y")</f>
        <v/>
      </c>
      <c r="BB48" s="590">
        <f>IF(Summary!$C$80="Y",IF($E48&lt;&gt;"PL",VLOOKUP(Current,'Housing Allowance'!$A:$B,2,),VLOOKUP(YEAR($AT48),'Housing Allowance'!$A:$B,2,)),0)*($AU48&lt;=Ret_Yr_post)</f>
        <v/>
      </c>
      <c r="BC48" s="590">
        <f>AY48*overtime_post</f>
        <v/>
      </c>
      <c r="BD48" s="590">
        <f>$AY48*allow_1_post</f>
        <v/>
      </c>
      <c r="BE48" s="590">
        <f>($AY48&lt;&gt;0)*allow_2_post*12</f>
        <v/>
      </c>
      <c r="BF48" s="590" t="n"/>
      <c r="BG48" s="581">
        <f>IF(YEAR($V48)&lt;=Ret_Yr_post,SUM(AY48:BF48),0)*IF($W48=Ret_Yr_post,AV48,1)</f>
        <v/>
      </c>
      <c r="BH48" s="581">
        <f>IF($W48&gt;=Ret_Yr_post,pens_Post*(GEPF_pre="Y"),0)*IF($W48=Ret_Yr_post,1-$AV48,1)*IF(Ret_Yr_post&lt;Current,(_xlfn.IFNA(VLOOKUP($D48,CPI!$A:$E,2,FALSE),VLOOKUP(Current,CPI!$A:$E,2,FALSE))/VLOOKUP(Ret_Yr_post,CPI!$A:$E,2,FALSE)),1)</f>
        <v/>
      </c>
      <c r="BI48" s="590">
        <f>$AY48*ee_post*IF($W48=Ret_Yr_post,$AV48,1)</f>
        <v/>
      </c>
      <c r="BJ48" s="590">
        <f>$AY48*er_post*IF($W48=Ret_Yr_post,$AV48,1)</f>
        <v/>
      </c>
      <c r="BK48" s="590">
        <f>IF('LOE Sc1'!$W48=Ret_Yr_post,Gratuity_Post*(GEPF_post="Y"),0)</f>
        <v/>
      </c>
      <c r="BL48" s="581">
        <f>BG48+BH48-BI48-BJ48*(GEPF_post="Y")</f>
        <v/>
      </c>
      <c r="BM48" s="590">
        <f>IF(DM48&lt;0,0,DM48)</f>
        <v/>
      </c>
      <c r="BN48" s="581">
        <f>(BL48-BM48+BI48*(BI$7="Y")+BJ48*(BJ$7="Y"))*IF($W48&lt;Ret_Yr_post,AV48,1)+BK48</f>
        <v/>
      </c>
      <c r="BO48" s="591" t="n"/>
      <c r="BP48" s="592">
        <f>IF($E48="FL",IF($X48&lt;=DoC,DATEDIF(DoC,$V48,"M")/12,0),0)</f>
        <v/>
      </c>
      <c r="BQ48" s="592">
        <f>IF($E48="FL",(1+CPI)^INT(BP48),0)</f>
        <v/>
      </c>
      <c r="BR48" s="592">
        <f>IF($E48="FL",IF(($BP48-0.5)&gt;=0,1/(1+d)^($BP48-0.5),1/(1+d)^($BP48)),0)</f>
        <v/>
      </c>
      <c r="BS48" s="592" t="n"/>
      <c r="BT48" s="25">
        <f>IF(gender="M",VLOOKUP($Y48+pre_mort+IF(MONTH(DoC)&lt;MONTH(DoB),IF(MONTH(DoC)&lt;3,0,-1),IF(MONTH(DoB)&lt;3,-1,0)),'SALT LIFE TABLES'!$A$7:$E$106,2),VLOOKUP($Y48+pre_mort+IF(MONTH(DoC)&lt;MONTH(DoB),IF(MONTH(DoC)&lt;3,0,-1),IF(MONTH(DoB)&lt;3,-1,0)),'SALT LIFE TABLES'!$A$7:$E$106,4))</f>
        <v/>
      </c>
      <c r="BU48" s="592">
        <f>IF($E48="PL",1,BT48/BU$7)</f>
        <v/>
      </c>
      <c r="BV48" s="593" t="n"/>
      <c r="BW48" s="25">
        <f>IF(gender="M",VLOOKUP($Y48+post_mort+IF(MONTH(DoC)&lt;MONTH(DoB),IF(MONTH(DoC)&lt;3,0,-1),IF(MONTH(DoB)&lt;3,-1,0)),'SALT LIFE TABLES'!$A$7:$E$106,2),VLOOKUP($Y48+post_mort+IF(MONTH(DoC)&lt;MONTH(DoB),IF(MONTH(DoC)&lt;3,0,-1),IF(MONTH(DoB)&lt;3,-1,0)),'SALT LIFE TABLES'!$A$7:$E$106,4))</f>
        <v/>
      </c>
      <c r="BX48" s="592">
        <f>IF($E48="PL",1,BW48/BX$7)</f>
        <v/>
      </c>
      <c r="BY48" s="594" t="n"/>
      <c r="BZ48" s="592" t="n"/>
      <c r="CA48" s="592">
        <f>IF($E48="FL",$AR48*$BQ48*$BR48*$BU48,$AR48)</f>
        <v/>
      </c>
      <c r="CB48" s="592">
        <f>IF($E48="FL",$BN48*$BQ48*$BR48*$BX48,$BN48)</f>
        <v/>
      </c>
      <c r="CC48" s="592" t="n"/>
      <c r="CD48" s="592">
        <f>IF($E48="FL",$CA48*(1-pre_FL),$CA48*(1-pre_PL))</f>
        <v/>
      </c>
      <c r="CE48" s="592">
        <f>IF($E48="FL",$CB48*(1-post_FL),$CB48*(1-post_PL))</f>
        <v/>
      </c>
      <c r="CF48" s="592" t="n"/>
      <c r="CG48" s="599">
        <f>CD48-CE48</f>
        <v/>
      </c>
      <c r="CH48" s="599">
        <f>MIN(CG48,IF(W48=Ret_Yr_pre,1,$X48)*Cap)</f>
        <v/>
      </c>
      <c r="CI48" s="128" t="n"/>
      <c r="CJ48" s="37">
        <f>IF(D48&gt;Current,Current,D48)</f>
        <v/>
      </c>
      <c r="CK48" s="37">
        <f>MATCH($CJ48,Tax_Tables[Tax Year],0)</f>
        <v/>
      </c>
      <c r="CL48" s="600" t="n">
        <v>0</v>
      </c>
      <c r="CM48" s="600">
        <f t="array" ref="CM48">INDEX(Tax_Tables[[Limits]:[Limits]],$CK48+CM$8)</f>
        <v/>
      </c>
      <c r="CN48" s="600">
        <f t="array" ref="CN48">INDEX(Tax_Tables[[Limits]:[Limits]],$CK48+CN$8)</f>
        <v/>
      </c>
      <c r="CO48" s="600">
        <f t="array" ref="CO48">INDEX(Tax_Tables[[Limits]:[Limits]],$CK48+CO$8)</f>
        <v/>
      </c>
      <c r="CP48" s="600">
        <f t="array" ref="CP48">INDEX(Tax_Tables[[Limits]:[Limits]],$CK48+CP$8)</f>
        <v/>
      </c>
      <c r="CQ48" s="600">
        <f t="array" ref="CQ48">INDEX(Tax_Tables[[Limits]:[Limits]],$CK48+CQ$8)</f>
        <v/>
      </c>
      <c r="CR48" s="600">
        <f t="array" ref="CR48">INDEX(Tax_Tables[[Limits]:[Limits]],$CK48+CR$8)</f>
        <v/>
      </c>
      <c r="CS48" s="37">
        <f>INDEX(Rebate[&lt;65],MATCH($CJ48,Rebate[[Tax Year]:[Tax Year]],0))</f>
        <v/>
      </c>
      <c r="CT48" s="37">
        <f>INDEX(Rebate[&lt;75],MATCH($CJ48,Rebate[[Tax Year]:[Tax Year]],0))</f>
        <v/>
      </c>
      <c r="CU48" s="37">
        <f>INDEX(Rebate[&gt;75],MATCH($CJ48,Rebate[[Tax Year]:[Tax Year]],0))</f>
        <v/>
      </c>
      <c r="CV48" s="37">
        <f>INDEX(Tax_Credit[Principal],MATCH($CJ48,Tax_Credit[[Tax Year]:[Tax Year]],0))</f>
        <v/>
      </c>
      <c r="CW48" s="37">
        <f>INDEX(Tax_Credit[First Dependant],MATCH($CJ48,Tax_Credit[[Tax Year]:[Tax Year]],0))</f>
        <v/>
      </c>
      <c r="CX48" s="37">
        <f>INDEX(Tax_Credit[Each Additional],MATCH($CJ48,Tax_Credit[[Tax Year]:[Tax Year]],0))</f>
        <v/>
      </c>
      <c r="CY48" s="484">
        <f>Y48</f>
        <v/>
      </c>
      <c r="CZ48" s="601">
        <f>AP48</f>
        <v/>
      </c>
      <c r="DA48" s="37">
        <f t="array" ref="DA48">INDEX($CL48:$CR48,0,MATCH($CZ48,$CL48:$CR48,1))</f>
        <v/>
      </c>
      <c r="DB48" s="37">
        <f t="array" ref="DB48">IFERROR(INDEX(Tax_Tables[Percentages],$CK48+MATCH($DA48,$CL48:$CR48,0)-1),"")</f>
        <v/>
      </c>
      <c r="DC48" s="37">
        <f t="array" ref="DC48">IFERROR(INDEX(Tax_Tables[Tax],$CK48+MATCH($DA48,$CL48:$CR48,0)-1),"")</f>
        <v/>
      </c>
      <c r="DD48" s="37">
        <f>IF(CY48&lt;65,CS48,IF(CY48&lt;75,CT48,CU48))</f>
        <v/>
      </c>
      <c r="DE48" s="37">
        <f>CV48*(Summary!$C$31="Y")+(Summary!$C$31="Y")*(CW48*(Pre_MDep&gt;=1)+CX48*MAX(Pre_MDep-1,0))</f>
        <v/>
      </c>
      <c r="DF48" s="599">
        <f>IFERROR(MAX(DB48*(CZ48-DA48)+DC48-DD48-DE48*12,0),"")</f>
        <v/>
      </c>
      <c r="DG48" s="602" t="n"/>
      <c r="DH48" s="601">
        <f>BL48</f>
        <v/>
      </c>
      <c r="DI48" s="37">
        <f t="array" ref="DI48">INDEX($CL48:$CR48,0,MATCH($DH48,$CL48:$CR48,1))</f>
        <v/>
      </c>
      <c r="DJ48" s="37">
        <f t="array" ref="DJ48">IFERROR(INDEX(Tax_Tables[Percentages],$CK48+MATCH($DI48,$CL48:$CR48,0)-1),"")</f>
        <v/>
      </c>
      <c r="DK48" s="37">
        <f t="array" ref="DK48">IFERROR(INDEX(Tax_Tables[Tax],$CK48+MATCH($DI48,$CL48:$CR48,0)-1),"")</f>
        <v/>
      </c>
      <c r="DL48" s="37">
        <f>CV48*(Summary!$C$81="Y")+(Summary!$C$81="Y")*(CW48*(Post_MDep&gt;=1)+CX48*MAX(Post_MDep-1,0))</f>
        <v/>
      </c>
      <c r="DM48" s="599">
        <f>IFERROR(MAX(DJ48*(DH48-DI48)+DK48-DD48-DL48*12,0),"")</f>
        <v/>
      </c>
      <c r="DN48" s="601" t="n"/>
      <c r="DO48" s="37" t="n"/>
      <c r="DP48" s="37" t="n"/>
      <c r="DQ48" s="37" t="n"/>
      <c r="DR48" s="37" t="n"/>
      <c r="DS48" s="37" t="n"/>
      <c r="DT48" s="37" t="n"/>
      <c r="DU48" s="37" t="n"/>
      <c r="DV48" s="37" t="n"/>
      <c r="DW48" s="37" t="n"/>
      <c r="DX48" s="599" t="n"/>
      <c r="DY48" s="131" t="n"/>
      <c r="DZ48" s="601" t="n"/>
      <c r="EA48" s="37" t="n"/>
      <c r="EB48" s="37" t="n"/>
      <c r="EC48" s="37" t="n"/>
      <c r="ED48" s="599" t="n"/>
      <c r="EE48" s="595" t="n"/>
      <c r="EF48" s="25" t="n"/>
    </row>
    <row r="49">
      <c r="C49" s="596">
        <f>C48+D49-D48</f>
        <v/>
      </c>
      <c r="D49" s="160">
        <f>AU49</f>
        <v/>
      </c>
      <c r="E49" s="87">
        <f>IF(DoC=V49,"Calc Date",IF(V49&lt;DoC,"PL","FL"))</f>
        <v/>
      </c>
      <c r="F49" s="310">
        <f>F48+1</f>
        <v/>
      </c>
      <c r="G49" s="31">
        <f>VLOOKUP(F49,C$10:D$148,2)</f>
        <v/>
      </c>
      <c r="H49" s="313">
        <f>H48</f>
        <v/>
      </c>
      <c r="I49" s="281">
        <f>I48</f>
        <v/>
      </c>
      <c r="J49" s="589">
        <f>I49*index/VLOOKUP($H49,CPI!A:E,4,FALSE)</f>
        <v/>
      </c>
      <c r="K49" s="589">
        <f>IF(L49="Linear",(J49-J48)/(G49-G48),0)</f>
        <v/>
      </c>
      <c r="L49" s="311" t="inlineStr">
        <is>
          <t>Flat</t>
        </is>
      </c>
      <c r="M49" s="137" t="n"/>
      <c r="N49" s="310">
        <f>N48+1</f>
        <v/>
      </c>
      <c r="O49" s="31">
        <f>O48+N49-N48</f>
        <v/>
      </c>
      <c r="P49" s="313">
        <f>P48</f>
        <v/>
      </c>
      <c r="Q49" s="281">
        <f>Q48</f>
        <v/>
      </c>
      <c r="R49" s="589">
        <f>Q49*index/VLOOKUP($P49,CPI!A:E,4,FALSE)</f>
        <v/>
      </c>
      <c r="S49" s="589">
        <f>IF(T49="Linear",(R49-R48)/(O49-O48),0)</f>
        <v/>
      </c>
      <c r="T49" s="311" t="inlineStr">
        <is>
          <t>Flat</t>
        </is>
      </c>
      <c r="U49" s="144" t="n"/>
      <c r="V49" s="6">
        <f>IF(AND($V48=DoA,MONTH(V48)&lt;3),DATE(YEAR(DoA),3,1),IF(AND(IFERROR(DATEDIF(V48,DoC,"M"),12)&lt;12,IFERROR(DATEDIF(V48,DoC,"M"),12)&gt;0),DoC,DATE(YEAR(V48)+(1-AND(YEAR(DoC)=Current,V48=DoC)-AND(V48=DoA,MONTH(V48)&lt;3)),3,1)))</f>
        <v/>
      </c>
      <c r="W49" s="31">
        <f>IF(V49=DoR_Pre,IF(MONTH(DoR_Pre)&gt;3,YEAR(DoR_Pre)+1,YEAR(DoR_Pre)),IF(MONTH(V49)&gt;3,Current,YEAR(V49)))</f>
        <v/>
      </c>
      <c r="X49" s="597">
        <f>IF(W49=Current,ROUND((V49-V48)/365.25,5),_xlfn.IFNA(INDEX(Summary!$A$5:$A$22,MATCH('LOE Sc1'!W49,Summary!$C$5:$C$22,0)),IF(W49=Ret_Yr_pre,ROUND((DoR_Pre-V48)/365.25,5),ROUND((V49-V48)/365.25,2))))</f>
        <v/>
      </c>
      <c r="Y49" s="55">
        <f>IF(AND(V49=DoC,MONTH(DoC)&lt;&gt;3),ROUNDDOWN(DATEDIF(DoB,V50,"M")/12,),ROUNDDOWN(DATEDIF(DoB,V49,"M")/12,))</f>
        <v/>
      </c>
      <c r="Z49" s="590" t="n"/>
      <c r="AA49" s="25">
        <f>MAX(RetAge_Pre-Y49,0)</f>
        <v/>
      </c>
      <c r="AB49" s="26">
        <f t="array" ref="AB49">IF(W49&gt;Ret_Yr_pre,0,_xlfn.IFNA(VLOOKUP(Y49,F$11:J$1000,5,),IF(AND(W49=Current,V49&gt;DoC,MONTH(DoC)&lt;&gt;3),AB48,AB48+INDEX(K$11:K$1000,MATCH(Y49,F$11:F$1000,1)+1))))</f>
        <v/>
      </c>
      <c r="AC49" s="590">
        <f>IF(V49&lt;DoC,AB49*VLOOKUP(YEAR(V49),CPI!A:E,4,FALSE)/index,AB49*real_i^INT(BP49))</f>
        <v/>
      </c>
      <c r="AD49" s="590">
        <f>$AC49/12*Bonus</f>
        <v/>
      </c>
      <c r="AE49" s="590">
        <f>IF($E49="FL",MedSub*m^INT(BP49),MedSub)*IF(Summary!$C$31="Y",1,0)*(W49&lt;=Ret_Yr_pre)*(Summary!C$31="Y")</f>
        <v/>
      </c>
      <c r="AF49" s="590">
        <f>IF(Summary!$C$30="Y",IF(E49&lt;&gt;"PL",VLOOKUP(Current,'Housing Allowance'!$A:$B,2,),VLOOKUP(YEAR($V49),'Housing Allowance'!$A:$B,2,)),0)*(W49&lt;=Ret_Yr_pre)</f>
        <v/>
      </c>
      <c r="AG49" s="590">
        <f>AC49*overtime</f>
        <v/>
      </c>
      <c r="AH49" s="590">
        <f>AC49*allow_1</f>
        <v/>
      </c>
      <c r="AI49" s="590">
        <f>(AB49&lt;&gt;0)*12*allow_2</f>
        <v/>
      </c>
      <c r="AJ49" s="590" t="n"/>
      <c r="AK49" s="581">
        <f>IF(YEAR(W49)&lt;=Ret_Yr_pre,SUM(AC49:AJ49),0)*IF($W49=Ret_Yr_pre,X49,1)</f>
        <v/>
      </c>
      <c r="AL49" s="581">
        <f>IF($W49&gt;=Ret_Yr_pre,pens_Pre*(GEPF_pre="Y"),0)*IF($W49=Ret_Yr_pre,1-$X49,1)*IF(Ret_Yr_pre&lt;Current,(_xlfn.IFNA(VLOOKUP($D49,CPI!$A:$E,2,FALSE),VLOOKUP(Current,CPI!$A:$E,2,FALSE))/VLOOKUP(Ret_Yr_pre,CPI!$A:$E,2,FALSE)),1)</f>
        <v/>
      </c>
      <c r="AM49" s="590">
        <f>$AC49*ee*IF($W49=Ret_Yr_pre,$X49,1)</f>
        <v/>
      </c>
      <c r="AN49" s="590">
        <f>$AC49*er*IF($W49=Ret_Yr_pre,$X49,1)</f>
        <v/>
      </c>
      <c r="AO49" s="590">
        <f>IF('LOE Sc1'!$W49=Ret_Yr_pre,Gratuity_Pre*(GEPF_pre="Y"),0)</f>
        <v/>
      </c>
      <c r="AP49" s="581">
        <f>AK49+AL49-$AM49-AN49*(GEPF_pre="Y")</f>
        <v/>
      </c>
      <c r="AQ49" s="590">
        <f>IF(DF49&lt;0,0,DF49)</f>
        <v/>
      </c>
      <c r="AR49" s="581">
        <f>(AP49-AQ49+AM49*(AM$7="Y")+AN49*(AN$7="Y"))*IF(W49&lt;Ret_Yr_pre,X49,1)+AO49</f>
        <v/>
      </c>
      <c r="AS49" s="595" t="n"/>
      <c r="AT49" s="6">
        <f>V49</f>
        <v/>
      </c>
      <c r="AU49" s="31">
        <f>W49</f>
        <v/>
      </c>
      <c r="AV49" s="598">
        <f>IF(AU49=Current,ROUND((AT49-AT48)/365.25,5),_xlfn.IFNA(INDEX(Summary!$A$55:$A$72,MATCH('LOE Sc1'!AU49,Summary!$C$55:$C$72,0)),IF(AU49=Ret_Yr_post,ROUND((DoR_Post-AT48)/365.25,5),ROUND((AT49-AT48)/365.25,2))))</f>
        <v/>
      </c>
      <c r="AW49" s="55">
        <f>Y49</f>
        <v/>
      </c>
      <c r="AX49" s="26">
        <f t="array" ref="AX49">IF(AU49&gt;Ret_Yr_post,0,_xlfn.IFNA(VLOOKUP(AW49,N$11:S$1000,5,),IF(AND(AU49=Current,AT49&gt;DoC,MONTH(DoC)&lt;&gt;3),AX48,AX48+INDEX(S$11:S$1000,MATCH(AW49,N$11:N$1000,1)+1))))</f>
        <v/>
      </c>
      <c r="AY49" s="590">
        <f>IF($V49&lt;DoC,AX49*VLOOKUP(YEAR($V49),CPI_Table,4,FALSE)/index,AX49*real_i^INT(BP49))</f>
        <v/>
      </c>
      <c r="AZ49" s="590">
        <f>$AY49/12*Bonus_Post*($AW49&lt;=RetAge_Post)</f>
        <v/>
      </c>
      <c r="BA49" s="590">
        <f>IF($E49="FL",MedSub*m^INT(BP49),MedSub)*IF(Summary!$C$81="Y",1,0)*($AU49&lt;=Ret_Yr_post)*(Summary!$C$81="Y")</f>
        <v/>
      </c>
      <c r="BB49" s="590">
        <f>IF(Summary!$C$80="Y",IF($E49&lt;&gt;"PL",VLOOKUP(Current,'Housing Allowance'!$A:$B,2,),VLOOKUP(YEAR($AT49),'Housing Allowance'!$A:$B,2,)),0)*($AU49&lt;=Ret_Yr_post)</f>
        <v/>
      </c>
      <c r="BC49" s="590">
        <f>AY49*overtime_post</f>
        <v/>
      </c>
      <c r="BD49" s="590">
        <f>$AY49*allow_1_post</f>
        <v/>
      </c>
      <c r="BE49" s="590">
        <f>($AY49&lt;&gt;0)*allow_2_post*12</f>
        <v/>
      </c>
      <c r="BF49" s="590" t="n"/>
      <c r="BG49" s="581">
        <f>IF(YEAR($V49)&lt;=Ret_Yr_post,SUM(AY49:BF49),0)*IF($W49=Ret_Yr_post,AV49,1)</f>
        <v/>
      </c>
      <c r="BH49" s="581">
        <f>IF($W49&gt;=Ret_Yr_post,pens_Post*(GEPF_pre="Y"),0)*IF($W49=Ret_Yr_post,1-$AV49,1)*IF(Ret_Yr_post&lt;Current,(_xlfn.IFNA(VLOOKUP($D49,CPI!$A:$E,2,FALSE),VLOOKUP(Current,CPI!$A:$E,2,FALSE))/VLOOKUP(Ret_Yr_post,CPI!$A:$E,2,FALSE)),1)</f>
        <v/>
      </c>
      <c r="BI49" s="590">
        <f>$AY49*ee_post*IF($W49=Ret_Yr_post,$AV49,1)</f>
        <v/>
      </c>
      <c r="BJ49" s="590">
        <f>$AY49*er_post*IF($W49=Ret_Yr_post,$AV49,1)</f>
        <v/>
      </c>
      <c r="BK49" s="590">
        <f>IF('LOE Sc1'!$W49=Ret_Yr_post,Gratuity_Post*(GEPF_post="Y"),0)</f>
        <v/>
      </c>
      <c r="BL49" s="581">
        <f>BG49+BH49-BI49-BJ49*(GEPF_post="Y")</f>
        <v/>
      </c>
      <c r="BM49" s="590">
        <f>IF(DM49&lt;0,0,DM49)</f>
        <v/>
      </c>
      <c r="BN49" s="581">
        <f>(BL49-BM49+BI49*(BI$7="Y")+BJ49*(BJ$7="Y"))*IF($W49&lt;Ret_Yr_post,AV49,1)+BK49</f>
        <v/>
      </c>
      <c r="BO49" s="591" t="n"/>
      <c r="BP49" s="592">
        <f>IF($E49="FL",IF($X49&lt;=DoC,DATEDIF(DoC,$V49,"M")/12,0),0)</f>
        <v/>
      </c>
      <c r="BQ49" s="592">
        <f>IF($E49="FL",(1+CPI)^INT(BP49),0)</f>
        <v/>
      </c>
      <c r="BR49" s="592">
        <f>IF($E49="FL",IF(($BP49-0.5)&gt;=0,1/(1+d)^($BP49-0.5),1/(1+d)^($BP49)),0)</f>
        <v/>
      </c>
      <c r="BS49" s="592" t="n"/>
      <c r="BT49" s="25">
        <f>IF(gender="M",VLOOKUP($Y49+pre_mort+IF(MONTH(DoC)&lt;MONTH(DoB),IF(MONTH(DoC)&lt;3,0,-1),IF(MONTH(DoB)&lt;3,-1,0)),'SALT LIFE TABLES'!$A$7:$E$106,2),VLOOKUP($Y49+pre_mort+IF(MONTH(DoC)&lt;MONTH(DoB),IF(MONTH(DoC)&lt;3,0,-1),IF(MONTH(DoB)&lt;3,-1,0)),'SALT LIFE TABLES'!$A$7:$E$106,4))</f>
        <v/>
      </c>
      <c r="BU49" s="592">
        <f>IF($E49="PL",1,BT49/BU$7)</f>
        <v/>
      </c>
      <c r="BV49" s="593" t="n"/>
      <c r="BW49" s="25">
        <f>IF(gender="M",VLOOKUP($Y49+post_mort+IF(MONTH(DoC)&lt;MONTH(DoB),IF(MONTH(DoC)&lt;3,0,-1),IF(MONTH(DoB)&lt;3,-1,0)),'SALT LIFE TABLES'!$A$7:$E$106,2),VLOOKUP($Y49+post_mort+IF(MONTH(DoC)&lt;MONTH(DoB),IF(MONTH(DoC)&lt;3,0,-1),IF(MONTH(DoB)&lt;3,-1,0)),'SALT LIFE TABLES'!$A$7:$E$106,4))</f>
        <v/>
      </c>
      <c r="BX49" s="592">
        <f>IF($E49="PL",1,BW49/BX$7)</f>
        <v/>
      </c>
      <c r="BY49" s="594" t="n"/>
      <c r="BZ49" s="592" t="n"/>
      <c r="CA49" s="592">
        <f>IF($E49="FL",$AR49*$BQ49*$BR49*$BU49,$AR49)</f>
        <v/>
      </c>
      <c r="CB49" s="592">
        <f>IF($E49="FL",$BN49*$BQ49*$BR49*$BX49,$BN49)</f>
        <v/>
      </c>
      <c r="CC49" s="592" t="n"/>
      <c r="CD49" s="592">
        <f>IF($E49="FL",$CA49*(1-pre_FL),$CA49*(1-pre_PL))</f>
        <v/>
      </c>
      <c r="CE49" s="592">
        <f>IF($E49="FL",$CB49*(1-post_FL),$CB49*(1-post_PL))</f>
        <v/>
      </c>
      <c r="CF49" s="592" t="n"/>
      <c r="CG49" s="599">
        <f>CD49-CE49</f>
        <v/>
      </c>
      <c r="CH49" s="599">
        <f>MIN(CG49,IF(W49=Ret_Yr_pre,1,$X49)*Cap)</f>
        <v/>
      </c>
      <c r="CI49" s="128" t="n"/>
      <c r="CJ49" s="37">
        <f>IF(D49&gt;Current,Current,D49)</f>
        <v/>
      </c>
      <c r="CK49" s="37">
        <f>MATCH($CJ49,Tax_Tables[Tax Year],0)</f>
        <v/>
      </c>
      <c r="CL49" s="600" t="n">
        <v>0</v>
      </c>
      <c r="CM49" s="600">
        <f t="array" ref="CM49">INDEX(Tax_Tables[[Limits]:[Limits]],$CK49+CM$8)</f>
        <v/>
      </c>
      <c r="CN49" s="600">
        <f t="array" ref="CN49">INDEX(Tax_Tables[[Limits]:[Limits]],$CK49+CN$8)</f>
        <v/>
      </c>
      <c r="CO49" s="600">
        <f t="array" ref="CO49">INDEX(Tax_Tables[[Limits]:[Limits]],$CK49+CO$8)</f>
        <v/>
      </c>
      <c r="CP49" s="600">
        <f t="array" ref="CP49">INDEX(Tax_Tables[[Limits]:[Limits]],$CK49+CP$8)</f>
        <v/>
      </c>
      <c r="CQ49" s="600">
        <f t="array" ref="CQ49">INDEX(Tax_Tables[[Limits]:[Limits]],$CK49+CQ$8)</f>
        <v/>
      </c>
      <c r="CR49" s="600">
        <f t="array" ref="CR49">INDEX(Tax_Tables[[Limits]:[Limits]],$CK49+CR$8)</f>
        <v/>
      </c>
      <c r="CS49" s="37">
        <f>INDEX(Rebate[&lt;65],MATCH($CJ49,Rebate[[Tax Year]:[Tax Year]],0))</f>
        <v/>
      </c>
      <c r="CT49" s="37">
        <f>INDEX(Rebate[&lt;75],MATCH($CJ49,Rebate[[Tax Year]:[Tax Year]],0))</f>
        <v/>
      </c>
      <c r="CU49" s="37">
        <f>INDEX(Rebate[&gt;75],MATCH($CJ49,Rebate[[Tax Year]:[Tax Year]],0))</f>
        <v/>
      </c>
      <c r="CV49" s="37">
        <f>INDEX(Tax_Credit[Principal],MATCH($CJ49,Tax_Credit[[Tax Year]:[Tax Year]],0))</f>
        <v/>
      </c>
      <c r="CW49" s="37">
        <f>INDEX(Tax_Credit[First Dependant],MATCH($CJ49,Tax_Credit[[Tax Year]:[Tax Year]],0))</f>
        <v/>
      </c>
      <c r="CX49" s="37">
        <f>INDEX(Tax_Credit[Each Additional],MATCH($CJ49,Tax_Credit[[Tax Year]:[Tax Year]],0))</f>
        <v/>
      </c>
      <c r="CY49" s="484">
        <f>Y49</f>
        <v/>
      </c>
      <c r="CZ49" s="601">
        <f>AP49</f>
        <v/>
      </c>
      <c r="DA49" s="37">
        <f t="array" ref="DA49">INDEX($CL49:$CR49,0,MATCH($CZ49,$CL49:$CR49,1))</f>
        <v/>
      </c>
      <c r="DB49" s="37">
        <f t="array" ref="DB49">IFERROR(INDEX(Tax_Tables[Percentages],$CK49+MATCH($DA49,$CL49:$CR49,0)-1),"")</f>
        <v/>
      </c>
      <c r="DC49" s="37">
        <f t="array" ref="DC49">IFERROR(INDEX(Tax_Tables[Tax],$CK49+MATCH($DA49,$CL49:$CR49,0)-1),"")</f>
        <v/>
      </c>
      <c r="DD49" s="37">
        <f>IF(CY49&lt;65,CS49,IF(CY49&lt;75,CT49,CU49))</f>
        <v/>
      </c>
      <c r="DE49" s="37">
        <f>CV49*(Summary!$C$31="Y")+(Summary!$C$31="Y")*(CW49*(Pre_MDep&gt;=1)+CX49*MAX(Pre_MDep-1,0))</f>
        <v/>
      </c>
      <c r="DF49" s="599">
        <f>IFERROR(MAX(DB49*(CZ49-DA49)+DC49-DD49-DE49*12,0),"")</f>
        <v/>
      </c>
      <c r="DG49" s="602" t="n"/>
      <c r="DH49" s="601">
        <f>BL49</f>
        <v/>
      </c>
      <c r="DI49" s="37">
        <f t="array" ref="DI49">INDEX($CL49:$CR49,0,MATCH($DH49,$CL49:$CR49,1))</f>
        <v/>
      </c>
      <c r="DJ49" s="37">
        <f t="array" ref="DJ49">IFERROR(INDEX(Tax_Tables[Percentages],$CK49+MATCH($DI49,$CL49:$CR49,0)-1),"")</f>
        <v/>
      </c>
      <c r="DK49" s="37">
        <f t="array" ref="DK49">IFERROR(INDEX(Tax_Tables[Tax],$CK49+MATCH($DI49,$CL49:$CR49,0)-1),"")</f>
        <v/>
      </c>
      <c r="DL49" s="37">
        <f>CV49*(Summary!$C$81="Y")+(Summary!$C$81="Y")*(CW49*(Post_MDep&gt;=1)+CX49*MAX(Post_MDep-1,0))</f>
        <v/>
      </c>
      <c r="DM49" s="599">
        <f>IFERROR(MAX(DJ49*(DH49-DI49)+DK49-DD49-DL49*12,0),"")</f>
        <v/>
      </c>
      <c r="DN49" s="601" t="n"/>
      <c r="DO49" s="37" t="n"/>
      <c r="DP49" s="37" t="n"/>
      <c r="DQ49" s="37" t="n"/>
      <c r="DR49" s="37" t="n"/>
      <c r="DS49" s="37" t="n"/>
      <c r="DT49" s="37" t="n"/>
      <c r="DU49" s="37" t="n"/>
      <c r="DV49" s="37" t="n"/>
      <c r="DW49" s="37" t="n"/>
      <c r="DX49" s="599" t="n"/>
      <c r="DY49" s="131" t="n"/>
      <c r="DZ49" s="601" t="n"/>
      <c r="EA49" s="37" t="n"/>
      <c r="EB49" s="37" t="n"/>
      <c r="EC49" s="37" t="n"/>
      <c r="ED49" s="599" t="n"/>
      <c r="EE49" s="595" t="n"/>
      <c r="EF49" s="25" t="n"/>
    </row>
    <row r="50">
      <c r="C50" s="596">
        <f>C49+D50-D49</f>
        <v/>
      </c>
      <c r="D50" s="160">
        <f>AU50</f>
        <v/>
      </c>
      <c r="E50" s="87">
        <f>IF(DoC=V50,"Calc Date",IF(V50&lt;DoC,"PL","FL"))</f>
        <v/>
      </c>
      <c r="F50" s="310">
        <f>F49+1</f>
        <v/>
      </c>
      <c r="G50" s="31">
        <f>VLOOKUP(F50,C$10:D$148,2)</f>
        <v/>
      </c>
      <c r="H50" s="313">
        <f>H49</f>
        <v/>
      </c>
      <c r="I50" s="281">
        <f>I49</f>
        <v/>
      </c>
      <c r="J50" s="589">
        <f>I50*index/VLOOKUP($H50,CPI!A:E,4,FALSE)</f>
        <v/>
      </c>
      <c r="K50" s="589">
        <f>IF(L50="Linear",(J50-J49)/(G50-G49),0)</f>
        <v/>
      </c>
      <c r="L50" s="311" t="inlineStr">
        <is>
          <t>Flat</t>
        </is>
      </c>
      <c r="M50" s="137" t="n"/>
      <c r="N50" s="310">
        <f>N49+1</f>
        <v/>
      </c>
      <c r="O50" s="31">
        <f>O49+N50-N49</f>
        <v/>
      </c>
      <c r="P50" s="313">
        <f>P49</f>
        <v/>
      </c>
      <c r="Q50" s="281">
        <f>Q49</f>
        <v/>
      </c>
      <c r="R50" s="589">
        <f>Q50*index/VLOOKUP($P50,CPI!A:E,4,FALSE)</f>
        <v/>
      </c>
      <c r="S50" s="589">
        <f>IF(T50="Linear",(R50-R49)/(O50-O49),0)</f>
        <v/>
      </c>
      <c r="T50" s="311" t="inlineStr">
        <is>
          <t>Flat</t>
        </is>
      </c>
      <c r="U50" s="144" t="n"/>
      <c r="V50" s="6">
        <f>IF(AND($V49=DoA,MONTH(V49)&lt;3),DATE(YEAR(DoA),3,1),IF(AND(IFERROR(DATEDIF(V49,DoC,"M"),12)&lt;12,IFERROR(DATEDIF(V49,DoC,"M"),12)&gt;0),DoC,DATE(YEAR(V49)+(1-AND(YEAR(DoC)=Current,V49=DoC)-AND(V49=DoA,MONTH(V49)&lt;3)),3,1)))</f>
        <v/>
      </c>
      <c r="W50" s="31">
        <f>IF(V50=DoR_Pre,IF(MONTH(DoR_Pre)&gt;3,YEAR(DoR_Pre)+1,YEAR(DoR_Pre)),IF(MONTH(V50)&gt;3,Current,YEAR(V50)))</f>
        <v/>
      </c>
      <c r="X50" s="597">
        <f>IF(W50=Current,ROUND((V50-V49)/365.25,5),_xlfn.IFNA(INDEX(Summary!$A$5:$A$22,MATCH('LOE Sc1'!W50,Summary!$C$5:$C$22,0)),IF(W50=Ret_Yr_pre,ROUND((DoR_Pre-V49)/365.25,5),ROUND((V50-V49)/365.25,2))))</f>
        <v/>
      </c>
      <c r="Y50" s="55">
        <f>IF(AND(V50=DoC,MONTH(DoC)&lt;&gt;3),ROUNDDOWN(DATEDIF(DoB,V51,"M")/12,),ROUNDDOWN(DATEDIF(DoB,V50,"M")/12,))</f>
        <v/>
      </c>
      <c r="Z50" s="590" t="n"/>
      <c r="AA50" s="25">
        <f>MAX(RetAge_Pre-Y50,0)</f>
        <v/>
      </c>
      <c r="AB50" s="26">
        <f t="array" ref="AB50">IF(W50&gt;Ret_Yr_pre,0,_xlfn.IFNA(VLOOKUP(Y50,F$11:J$1000,5,),IF(AND(W50=Current,V50&gt;DoC,MONTH(DoC)&lt;&gt;3),AB49,AB49+INDEX(K$11:K$1000,MATCH(Y50,F$11:F$1000,1)+1))))</f>
        <v/>
      </c>
      <c r="AC50" s="590">
        <f>IF(V50&lt;DoC,AB50*VLOOKUP(YEAR(V50),CPI!A:E,4,FALSE)/index,AB50*real_i^INT(BP50))</f>
        <v/>
      </c>
      <c r="AD50" s="590">
        <f>$AC50/12*Bonus</f>
        <v/>
      </c>
      <c r="AE50" s="590">
        <f>IF($E50="FL",MedSub*m^INT(BP50),MedSub)*IF(Summary!$C$31="Y",1,0)*(W50&lt;=Ret_Yr_pre)*(Summary!C$31="Y")</f>
        <v/>
      </c>
      <c r="AF50" s="590">
        <f>IF(Summary!$C$30="Y",IF(E50&lt;&gt;"PL",VLOOKUP(Current,'Housing Allowance'!$A:$B,2,),VLOOKUP(YEAR($V50),'Housing Allowance'!$A:$B,2,)),0)*(W50&lt;=Ret_Yr_pre)</f>
        <v/>
      </c>
      <c r="AG50" s="590">
        <f>AC50*overtime</f>
        <v/>
      </c>
      <c r="AH50" s="590">
        <f>AC50*allow_1</f>
        <v/>
      </c>
      <c r="AI50" s="590">
        <f>(AB50&lt;&gt;0)*12*allow_2</f>
        <v/>
      </c>
      <c r="AJ50" s="590" t="n"/>
      <c r="AK50" s="581">
        <f>IF(YEAR(W50)&lt;=Ret_Yr_pre,SUM(AC50:AJ50),0)*IF($W50=Ret_Yr_pre,X50,1)</f>
        <v/>
      </c>
      <c r="AL50" s="581">
        <f>IF($W50&gt;=Ret_Yr_pre,pens_Pre*(GEPF_pre="Y"),0)*IF($W50=Ret_Yr_pre,1-$X50,1)*IF(Ret_Yr_pre&lt;Current,(_xlfn.IFNA(VLOOKUP($D50,CPI!$A:$E,2,FALSE),VLOOKUP(Current,CPI!$A:$E,2,FALSE))/VLOOKUP(Ret_Yr_pre,CPI!$A:$E,2,FALSE)),1)</f>
        <v/>
      </c>
      <c r="AM50" s="590">
        <f>$AC50*ee*IF($W50=Ret_Yr_pre,$X50,1)</f>
        <v/>
      </c>
      <c r="AN50" s="590">
        <f>$AC50*er*IF($W50=Ret_Yr_pre,$X50,1)</f>
        <v/>
      </c>
      <c r="AO50" s="590">
        <f>IF('LOE Sc1'!$W50=Ret_Yr_pre,Gratuity_Pre*(GEPF_pre="Y"),0)</f>
        <v/>
      </c>
      <c r="AP50" s="581">
        <f>AK50+AL50-$AM50-AN50*(GEPF_pre="Y")</f>
        <v/>
      </c>
      <c r="AQ50" s="590">
        <f>IF(DF50&lt;0,0,DF50)</f>
        <v/>
      </c>
      <c r="AR50" s="581">
        <f>(AP50-AQ50+AM50*(AM$7="Y")+AN50*(AN$7="Y"))*IF(W50&lt;Ret_Yr_pre,X50,1)+AO50</f>
        <v/>
      </c>
      <c r="AS50" s="595" t="n"/>
      <c r="AT50" s="6">
        <f>V50</f>
        <v/>
      </c>
      <c r="AU50" s="31">
        <f>W50</f>
        <v/>
      </c>
      <c r="AV50" s="598">
        <f>IF(AU50=Current,ROUND((AT50-AT49)/365.25,5),_xlfn.IFNA(INDEX(Summary!$A$55:$A$72,MATCH('LOE Sc1'!AU50,Summary!$C$55:$C$72,0)),IF(AU50=Ret_Yr_post,ROUND((DoR_Post-AT49)/365.25,5),ROUND((AT50-AT49)/365.25,2))))</f>
        <v/>
      </c>
      <c r="AW50" s="55">
        <f>Y50</f>
        <v/>
      </c>
      <c r="AX50" s="26">
        <f t="array" ref="AX50">IF(AU50&gt;Ret_Yr_post,0,_xlfn.IFNA(VLOOKUP(AW50,N$11:S$1000,5,),IF(AND(AU50=Current,AT50&gt;DoC,MONTH(DoC)&lt;&gt;3),AX49,AX49+INDEX(S$11:S$1000,MATCH(AW50,N$11:N$1000,1)+1))))</f>
        <v/>
      </c>
      <c r="AY50" s="590">
        <f>IF($V50&lt;DoC,AX50*VLOOKUP(YEAR($V50),CPI_Table,4,FALSE)/index,AX50*real_i^INT(BP50))</f>
        <v/>
      </c>
      <c r="AZ50" s="590">
        <f>$AY50/12*Bonus_Post*($AW50&lt;=RetAge_Post)</f>
        <v/>
      </c>
      <c r="BA50" s="590">
        <f>IF($E50="FL",MedSub*m^INT(BP50),MedSub)*IF(Summary!$C$81="Y",1,0)*($AU50&lt;=Ret_Yr_post)*(Summary!$C$81="Y")</f>
        <v/>
      </c>
      <c r="BB50" s="590">
        <f>IF(Summary!$C$80="Y",IF($E50&lt;&gt;"PL",VLOOKUP(Current,'Housing Allowance'!$A:$B,2,),VLOOKUP(YEAR($AT50),'Housing Allowance'!$A:$B,2,)),0)*($AU50&lt;=Ret_Yr_post)</f>
        <v/>
      </c>
      <c r="BC50" s="590">
        <f>AY50*overtime_post</f>
        <v/>
      </c>
      <c r="BD50" s="590">
        <f>$AY50*allow_1_post</f>
        <v/>
      </c>
      <c r="BE50" s="590">
        <f>($AY50&lt;&gt;0)*allow_2_post*12</f>
        <v/>
      </c>
      <c r="BF50" s="590" t="n"/>
      <c r="BG50" s="581">
        <f>IF(YEAR($V50)&lt;=Ret_Yr_post,SUM(AY50:BF50),0)*IF($W50=Ret_Yr_post,AV50,1)</f>
        <v/>
      </c>
      <c r="BH50" s="581">
        <f>IF($W50&gt;=Ret_Yr_post,pens_Post*(GEPF_pre="Y"),0)*IF($W50=Ret_Yr_post,1-$AV50,1)*IF(Ret_Yr_post&lt;Current,(_xlfn.IFNA(VLOOKUP($D50,CPI!$A:$E,2,FALSE),VLOOKUP(Current,CPI!$A:$E,2,FALSE))/VLOOKUP(Ret_Yr_post,CPI!$A:$E,2,FALSE)),1)</f>
        <v/>
      </c>
      <c r="BI50" s="590">
        <f>$AY50*ee_post*IF($W50=Ret_Yr_post,$AV50,1)</f>
        <v/>
      </c>
      <c r="BJ50" s="590">
        <f>$AY50*er_post*IF($W50=Ret_Yr_post,$AV50,1)</f>
        <v/>
      </c>
      <c r="BK50" s="590">
        <f>IF('LOE Sc1'!$W50=Ret_Yr_post,Gratuity_Post*(GEPF_post="Y"),0)</f>
        <v/>
      </c>
      <c r="BL50" s="581">
        <f>BG50+BH50-BI50-BJ50*(GEPF_post="Y")</f>
        <v/>
      </c>
      <c r="BM50" s="590">
        <f>IF(DM50&lt;0,0,DM50)</f>
        <v/>
      </c>
      <c r="BN50" s="581">
        <f>(BL50-BM50+BI50*(BI$7="Y")+BJ50*(BJ$7="Y"))*IF($W50&lt;Ret_Yr_post,AV50,1)+BK50</f>
        <v/>
      </c>
      <c r="BO50" s="591" t="n"/>
      <c r="BP50" s="592">
        <f>IF($E50="FL",IF($X50&lt;=DoC,DATEDIF(DoC,$V50,"M")/12,0),0)</f>
        <v/>
      </c>
      <c r="BQ50" s="592">
        <f>IF($E50="FL",(1+CPI)^INT(BP50),0)</f>
        <v/>
      </c>
      <c r="BR50" s="592">
        <f>IF($E50="FL",IF(($BP50-0.5)&gt;=0,1/(1+d)^($BP50-0.5),1/(1+d)^($BP50)),0)</f>
        <v/>
      </c>
      <c r="BS50" s="592" t="n"/>
      <c r="BT50" s="25">
        <f>IF(gender="M",VLOOKUP($Y50+pre_mort+IF(MONTH(DoC)&lt;MONTH(DoB),IF(MONTH(DoC)&lt;3,0,-1),IF(MONTH(DoB)&lt;3,-1,0)),'SALT LIFE TABLES'!$A$7:$E$106,2),VLOOKUP($Y50+pre_mort+IF(MONTH(DoC)&lt;MONTH(DoB),IF(MONTH(DoC)&lt;3,0,-1),IF(MONTH(DoB)&lt;3,-1,0)),'SALT LIFE TABLES'!$A$7:$E$106,4))</f>
        <v/>
      </c>
      <c r="BU50" s="592">
        <f>IF($E50="PL",1,BT50/BU$7)</f>
        <v/>
      </c>
      <c r="BV50" s="593" t="n"/>
      <c r="BW50" s="25">
        <f>IF(gender="M",VLOOKUP($Y50+post_mort+IF(MONTH(DoC)&lt;MONTH(DoB),IF(MONTH(DoC)&lt;3,0,-1),IF(MONTH(DoB)&lt;3,-1,0)),'SALT LIFE TABLES'!$A$7:$E$106,2),VLOOKUP($Y50+post_mort+IF(MONTH(DoC)&lt;MONTH(DoB),IF(MONTH(DoC)&lt;3,0,-1),IF(MONTH(DoB)&lt;3,-1,0)),'SALT LIFE TABLES'!$A$7:$E$106,4))</f>
        <v/>
      </c>
      <c r="BX50" s="592">
        <f>IF($E50="PL",1,BW50/BX$7)</f>
        <v/>
      </c>
      <c r="BY50" s="594" t="n"/>
      <c r="BZ50" s="592" t="n"/>
      <c r="CA50" s="592">
        <f>IF($E50="FL",$AR50*$BQ50*$BR50*$BU50,$AR50)</f>
        <v/>
      </c>
      <c r="CB50" s="592">
        <f>IF($E50="FL",$BN50*$BQ50*$BR50*$BX50,$BN50)</f>
        <v/>
      </c>
      <c r="CC50" s="592" t="n"/>
      <c r="CD50" s="592">
        <f>IF($E50="FL",$CA50*(1-pre_FL),$CA50*(1-pre_PL))</f>
        <v/>
      </c>
      <c r="CE50" s="592">
        <f>IF($E50="FL",$CB50*(1-post_FL),$CB50*(1-post_PL))</f>
        <v/>
      </c>
      <c r="CF50" s="592" t="n"/>
      <c r="CG50" s="599">
        <f>CD50-CE50</f>
        <v/>
      </c>
      <c r="CH50" s="599">
        <f>MIN(CG50,IF(W50=Ret_Yr_pre,1,$X50)*Cap)</f>
        <v/>
      </c>
      <c r="CI50" s="128" t="n"/>
      <c r="CJ50" s="37">
        <f>IF(D50&gt;Current,Current,D50)</f>
        <v/>
      </c>
      <c r="CK50" s="37">
        <f>MATCH($CJ50,Tax_Tables[Tax Year],0)</f>
        <v/>
      </c>
      <c r="CL50" s="600" t="n">
        <v>0</v>
      </c>
      <c r="CM50" s="600">
        <f t="array" ref="CM50">INDEX(Tax_Tables[[Limits]:[Limits]],$CK50+CM$8)</f>
        <v/>
      </c>
      <c r="CN50" s="600">
        <f t="array" ref="CN50">INDEX(Tax_Tables[[Limits]:[Limits]],$CK50+CN$8)</f>
        <v/>
      </c>
      <c r="CO50" s="600">
        <f t="array" ref="CO50">INDEX(Tax_Tables[[Limits]:[Limits]],$CK50+CO$8)</f>
        <v/>
      </c>
      <c r="CP50" s="600">
        <f t="array" ref="CP50">INDEX(Tax_Tables[[Limits]:[Limits]],$CK50+CP$8)</f>
        <v/>
      </c>
      <c r="CQ50" s="600">
        <f t="array" ref="CQ50">INDEX(Tax_Tables[[Limits]:[Limits]],$CK50+CQ$8)</f>
        <v/>
      </c>
      <c r="CR50" s="600">
        <f t="array" ref="CR50">INDEX(Tax_Tables[[Limits]:[Limits]],$CK50+CR$8)</f>
        <v/>
      </c>
      <c r="CS50" s="37">
        <f>INDEX(Rebate[&lt;65],MATCH($CJ50,Rebate[[Tax Year]:[Tax Year]],0))</f>
        <v/>
      </c>
      <c r="CT50" s="37">
        <f>INDEX(Rebate[&lt;75],MATCH($CJ50,Rebate[[Tax Year]:[Tax Year]],0))</f>
        <v/>
      </c>
      <c r="CU50" s="37">
        <f>INDEX(Rebate[&gt;75],MATCH($CJ50,Rebate[[Tax Year]:[Tax Year]],0))</f>
        <v/>
      </c>
      <c r="CV50" s="37">
        <f>INDEX(Tax_Credit[Principal],MATCH($CJ50,Tax_Credit[[Tax Year]:[Tax Year]],0))</f>
        <v/>
      </c>
      <c r="CW50" s="37">
        <f>INDEX(Tax_Credit[First Dependant],MATCH($CJ50,Tax_Credit[[Tax Year]:[Tax Year]],0))</f>
        <v/>
      </c>
      <c r="CX50" s="37">
        <f>INDEX(Tax_Credit[Each Additional],MATCH($CJ50,Tax_Credit[[Tax Year]:[Tax Year]],0))</f>
        <v/>
      </c>
      <c r="CY50" s="484">
        <f>Y50</f>
        <v/>
      </c>
      <c r="CZ50" s="601">
        <f>AP50</f>
        <v/>
      </c>
      <c r="DA50" s="37">
        <f t="array" ref="DA50">INDEX($CL50:$CR50,0,MATCH($CZ50,$CL50:$CR50,1))</f>
        <v/>
      </c>
      <c r="DB50" s="37">
        <f t="array" ref="DB50">IFERROR(INDEX(Tax_Tables[Percentages],$CK50+MATCH($DA50,$CL50:$CR50,0)-1),"")</f>
        <v/>
      </c>
      <c r="DC50" s="37">
        <f t="array" ref="DC50">IFERROR(INDEX(Tax_Tables[Tax],$CK50+MATCH($DA50,$CL50:$CR50,0)-1),"")</f>
        <v/>
      </c>
      <c r="DD50" s="37">
        <f>IF(CY50&lt;65,CS50,IF(CY50&lt;75,CT50,CU50))</f>
        <v/>
      </c>
      <c r="DE50" s="37">
        <f>CV50*(Summary!$C$31="Y")+(Summary!$C$31="Y")*(CW50*(Pre_MDep&gt;=1)+CX50*MAX(Pre_MDep-1,0))</f>
        <v/>
      </c>
      <c r="DF50" s="599">
        <f>IFERROR(MAX(DB50*(CZ50-DA50)+DC50-DD50-DE50*12,0),"")</f>
        <v/>
      </c>
      <c r="DG50" s="602" t="n"/>
      <c r="DH50" s="601">
        <f>BL50</f>
        <v/>
      </c>
      <c r="DI50" s="37">
        <f t="array" ref="DI50">INDEX($CL50:$CR50,0,MATCH($DH50,$CL50:$CR50,1))</f>
        <v/>
      </c>
      <c r="DJ50" s="37">
        <f t="array" ref="DJ50">IFERROR(INDEX(Tax_Tables[Percentages],$CK50+MATCH($DI50,$CL50:$CR50,0)-1),"")</f>
        <v/>
      </c>
      <c r="DK50" s="37">
        <f t="array" ref="DK50">IFERROR(INDEX(Tax_Tables[Tax],$CK50+MATCH($DI50,$CL50:$CR50,0)-1),"")</f>
        <v/>
      </c>
      <c r="DL50" s="37">
        <f>CV50*(Summary!$C$81="Y")+(Summary!$C$81="Y")*(CW50*(Post_MDep&gt;=1)+CX50*MAX(Post_MDep-1,0))</f>
        <v/>
      </c>
      <c r="DM50" s="599">
        <f>IFERROR(MAX(DJ50*(DH50-DI50)+DK50-DD50-DL50*12,0),"")</f>
        <v/>
      </c>
      <c r="DN50" s="601" t="n"/>
      <c r="DO50" s="37" t="n"/>
      <c r="DP50" s="37" t="n"/>
      <c r="DQ50" s="37" t="n"/>
      <c r="DR50" s="37" t="n"/>
      <c r="DS50" s="37" t="n"/>
      <c r="DT50" s="37" t="n"/>
      <c r="DU50" s="37" t="n"/>
      <c r="DV50" s="37" t="n"/>
      <c r="DW50" s="37" t="n"/>
      <c r="DX50" s="599" t="n"/>
      <c r="DY50" s="131" t="n"/>
      <c r="DZ50" s="601" t="n"/>
      <c r="EA50" s="37" t="n"/>
      <c r="EB50" s="37" t="n"/>
      <c r="EC50" s="37" t="n"/>
      <c r="ED50" s="599" t="n"/>
      <c r="EE50" s="595" t="n"/>
      <c r="EF50" s="25" t="n"/>
    </row>
    <row r="51">
      <c r="C51" s="596">
        <f>C50+D51-D50</f>
        <v/>
      </c>
      <c r="D51" s="160">
        <f>AU51</f>
        <v/>
      </c>
      <c r="E51" s="87">
        <f>IF(DoC=V51,"Calc Date",IF(V51&lt;DoC,"PL","FL"))</f>
        <v/>
      </c>
      <c r="F51" s="310">
        <f>F50+1</f>
        <v/>
      </c>
      <c r="G51" s="31">
        <f>VLOOKUP(F51,C$10:D$148,2)</f>
        <v/>
      </c>
      <c r="H51" s="313">
        <f>H50</f>
        <v/>
      </c>
      <c r="I51" s="281">
        <f>I50</f>
        <v/>
      </c>
      <c r="J51" s="589">
        <f>I51*index/VLOOKUP($H51,CPI!A:E,4,FALSE)</f>
        <v/>
      </c>
      <c r="K51" s="589">
        <f>IF(L51="Linear",(J51-J50)/(G51-G50),0)</f>
        <v/>
      </c>
      <c r="L51" s="311" t="inlineStr">
        <is>
          <t>Flat</t>
        </is>
      </c>
      <c r="M51" s="137" t="n"/>
      <c r="N51" s="310">
        <f>N50+1</f>
        <v/>
      </c>
      <c r="O51" s="31">
        <f>O50+N51-N50</f>
        <v/>
      </c>
      <c r="P51" s="313">
        <f>P50</f>
        <v/>
      </c>
      <c r="Q51" s="281">
        <f>Q50</f>
        <v/>
      </c>
      <c r="R51" s="589">
        <f>Q51*index/VLOOKUP($P51,CPI!A:E,4,FALSE)</f>
        <v/>
      </c>
      <c r="S51" s="589">
        <f>IF(T51="Linear",(R51-R50)/(O51-O50),0)</f>
        <v/>
      </c>
      <c r="T51" s="311" t="inlineStr">
        <is>
          <t>Flat</t>
        </is>
      </c>
      <c r="U51" s="144" t="n"/>
      <c r="V51" s="6">
        <f>IF(AND($V50=DoA,MONTH(V50)&lt;3),DATE(YEAR(DoA),3,1),IF(AND(IFERROR(DATEDIF(V50,DoC,"M"),12)&lt;12,IFERROR(DATEDIF(V50,DoC,"M"),12)&gt;0),DoC,DATE(YEAR(V50)+(1-AND(YEAR(DoC)=Current,V50=DoC)-AND(V50=DoA,MONTH(V50)&lt;3)),3,1)))</f>
        <v/>
      </c>
      <c r="W51" s="31">
        <f>IF(V51=DoR_Pre,IF(MONTH(DoR_Pre)&gt;3,YEAR(DoR_Pre)+1,YEAR(DoR_Pre)),IF(MONTH(V51)&gt;3,Current,YEAR(V51)))</f>
        <v/>
      </c>
      <c r="X51" s="597">
        <f>IF(W51=Current,ROUND((V51-V50)/365.25,5),_xlfn.IFNA(INDEX(Summary!$A$5:$A$22,MATCH('LOE Sc1'!W51,Summary!$C$5:$C$22,0)),IF(W51=Ret_Yr_pre,ROUND((DoR_Pre-V50)/365.25,5),ROUND((V51-V50)/365.25,2))))</f>
        <v/>
      </c>
      <c r="Y51" s="55">
        <f>IF(AND(V51=DoC,MONTH(DoC)&lt;&gt;3),ROUNDDOWN(DATEDIF(DoB,V52,"M")/12,),ROUNDDOWN(DATEDIF(DoB,V51,"M")/12,))</f>
        <v/>
      </c>
      <c r="Z51" s="590" t="n"/>
      <c r="AA51" s="25">
        <f>MAX(RetAge_Pre-Y51,0)</f>
        <v/>
      </c>
      <c r="AB51" s="26">
        <f t="array" ref="AB51">IF(W51&gt;Ret_Yr_pre,0,_xlfn.IFNA(VLOOKUP(Y51,F$11:J$1000,5,),IF(AND(W51=Current,V51&gt;DoC,MONTH(DoC)&lt;&gt;3),AB50,AB50+INDEX(K$11:K$1000,MATCH(Y51,F$11:F$1000,1)+1))))</f>
        <v/>
      </c>
      <c r="AC51" s="590">
        <f>IF(V51&lt;DoC,AB51*VLOOKUP(YEAR(V51),CPI!A:E,4,FALSE)/index,AB51*real_i^INT(BP51))</f>
        <v/>
      </c>
      <c r="AD51" s="590">
        <f>$AC51/12*Bonus</f>
        <v/>
      </c>
      <c r="AE51" s="590">
        <f>IF($E51="FL",MedSub*m^INT(BP51),MedSub)*IF(Summary!$C$31="Y",1,0)*(W51&lt;=Ret_Yr_pre)*(Summary!C$31="Y")</f>
        <v/>
      </c>
      <c r="AF51" s="590">
        <f>IF(Summary!$C$30="Y",IF(E51&lt;&gt;"PL",VLOOKUP(Current,'Housing Allowance'!$A:$B,2,),VLOOKUP(YEAR($V51),'Housing Allowance'!$A:$B,2,)),0)*(W51&lt;=Ret_Yr_pre)</f>
        <v/>
      </c>
      <c r="AG51" s="590">
        <f>AC51*overtime</f>
        <v/>
      </c>
      <c r="AH51" s="590">
        <f>AC51*allow_1</f>
        <v/>
      </c>
      <c r="AI51" s="590">
        <f>(AB51&lt;&gt;0)*12*allow_2</f>
        <v/>
      </c>
      <c r="AJ51" s="590" t="n"/>
      <c r="AK51" s="581">
        <f>IF(YEAR(W51)&lt;=Ret_Yr_pre,SUM(AC51:AJ51),0)*IF($W51=Ret_Yr_pre,X51,1)</f>
        <v/>
      </c>
      <c r="AL51" s="581">
        <f>IF($W51&gt;=Ret_Yr_pre,pens_Pre*(GEPF_pre="Y"),0)*IF($W51=Ret_Yr_pre,1-$X51,1)*IF(Ret_Yr_pre&lt;Current,(_xlfn.IFNA(VLOOKUP($D51,CPI!$A:$E,2,FALSE),VLOOKUP(Current,CPI!$A:$E,2,FALSE))/VLOOKUP(Ret_Yr_pre,CPI!$A:$E,2,FALSE)),1)</f>
        <v/>
      </c>
      <c r="AM51" s="590">
        <f>$AC51*ee*IF($W51=Ret_Yr_pre,$X51,1)</f>
        <v/>
      </c>
      <c r="AN51" s="590">
        <f>$AC51*er*IF($W51=Ret_Yr_pre,$X51,1)</f>
        <v/>
      </c>
      <c r="AO51" s="590">
        <f>IF('LOE Sc1'!$W51=Ret_Yr_pre,Gratuity_Pre*(GEPF_pre="Y"),0)</f>
        <v/>
      </c>
      <c r="AP51" s="581">
        <f>AK51+AL51-$AM51-AN51*(GEPF_pre="Y")</f>
        <v/>
      </c>
      <c r="AQ51" s="590">
        <f>IF(DF51&lt;0,0,DF51)</f>
        <v/>
      </c>
      <c r="AR51" s="581">
        <f>(AP51-AQ51+AM51*(AM$7="Y")+AN51*(AN$7="Y"))*IF(W51&lt;Ret_Yr_pre,X51,1)+AO51</f>
        <v/>
      </c>
      <c r="AS51" s="595" t="n"/>
      <c r="AT51" s="6">
        <f>V51</f>
        <v/>
      </c>
      <c r="AU51" s="31">
        <f>W51</f>
        <v/>
      </c>
      <c r="AV51" s="598">
        <f>IF(AU51=Current,ROUND((AT51-AT50)/365.25,5),_xlfn.IFNA(INDEX(Summary!$A$55:$A$72,MATCH('LOE Sc1'!AU51,Summary!$C$55:$C$72,0)),IF(AU51=Ret_Yr_post,ROUND((DoR_Post-AT50)/365.25,5),ROUND((AT51-AT50)/365.25,2))))</f>
        <v/>
      </c>
      <c r="AW51" s="55">
        <f>Y51</f>
        <v/>
      </c>
      <c r="AX51" s="26">
        <f t="array" ref="AX51">IF(AU51&gt;Ret_Yr_post,0,_xlfn.IFNA(VLOOKUP(AW51,N$11:S$1000,5,),IF(AND(AU51=Current,AT51&gt;DoC,MONTH(DoC)&lt;&gt;3),AX50,AX50+INDEX(S$11:S$1000,MATCH(AW51,N$11:N$1000,1)+1))))</f>
        <v/>
      </c>
      <c r="AY51" s="590">
        <f>IF($V51&lt;DoC,AX51*VLOOKUP(YEAR($V51),CPI_Table,4,FALSE)/index,AX51*real_i^INT(BP51))</f>
        <v/>
      </c>
      <c r="AZ51" s="590">
        <f>$AY51/12*Bonus_Post*($AW51&lt;=RetAge_Post)</f>
        <v/>
      </c>
      <c r="BA51" s="590">
        <f>IF($E51="FL",MedSub*m^INT(BP51),MedSub)*IF(Summary!$C$81="Y",1,0)*($AU51&lt;=Ret_Yr_post)*(Summary!$C$81="Y")</f>
        <v/>
      </c>
      <c r="BB51" s="590">
        <f>IF(Summary!$C$80="Y",IF($E51&lt;&gt;"PL",VLOOKUP(Current,'Housing Allowance'!$A:$B,2,),VLOOKUP(YEAR($AT51),'Housing Allowance'!$A:$B,2,)),0)*($AU51&lt;=Ret_Yr_post)</f>
        <v/>
      </c>
      <c r="BC51" s="590">
        <f>AY51*overtime_post</f>
        <v/>
      </c>
      <c r="BD51" s="590">
        <f>$AY51*allow_1_post</f>
        <v/>
      </c>
      <c r="BE51" s="590">
        <f>($AY51&lt;&gt;0)*allow_2_post*12</f>
        <v/>
      </c>
      <c r="BF51" s="590" t="n"/>
      <c r="BG51" s="581">
        <f>IF(YEAR($V51)&lt;=Ret_Yr_post,SUM(AY51:BF51),0)*IF($W51=Ret_Yr_post,AV51,1)</f>
        <v/>
      </c>
      <c r="BH51" s="581">
        <f>IF($W51&gt;=Ret_Yr_post,pens_Post*(GEPF_pre="Y"),0)*IF($W51=Ret_Yr_post,1-$AV51,1)*IF(Ret_Yr_post&lt;Current,(_xlfn.IFNA(VLOOKUP($D51,CPI!$A:$E,2,FALSE),VLOOKUP(Current,CPI!$A:$E,2,FALSE))/VLOOKUP(Ret_Yr_post,CPI!$A:$E,2,FALSE)),1)</f>
        <v/>
      </c>
      <c r="BI51" s="590">
        <f>$AY51*ee_post*IF($W51=Ret_Yr_post,$AV51,1)</f>
        <v/>
      </c>
      <c r="BJ51" s="590">
        <f>$AY51*er_post*IF($W51=Ret_Yr_post,$AV51,1)</f>
        <v/>
      </c>
      <c r="BK51" s="590">
        <f>IF('LOE Sc1'!$W51=Ret_Yr_post,Gratuity_Post*(GEPF_post="Y"),0)</f>
        <v/>
      </c>
      <c r="BL51" s="581">
        <f>BG51+BH51-BI51-BJ51*(GEPF_post="Y")</f>
        <v/>
      </c>
      <c r="BM51" s="590">
        <f>IF(DM51&lt;0,0,DM51)</f>
        <v/>
      </c>
      <c r="BN51" s="581">
        <f>(BL51-BM51+BI51*(BI$7="Y")+BJ51*(BJ$7="Y"))*IF($W51&lt;Ret_Yr_post,AV51,1)+BK51</f>
        <v/>
      </c>
      <c r="BO51" s="591" t="n"/>
      <c r="BP51" s="592">
        <f>IF($E51="FL",IF($X51&lt;=DoC,DATEDIF(DoC,$V51,"M")/12,0),0)</f>
        <v/>
      </c>
      <c r="BQ51" s="592">
        <f>IF($E51="FL",(1+CPI)^INT(BP51),0)</f>
        <v/>
      </c>
      <c r="BR51" s="592">
        <f>IF($E51="FL",IF(($BP51-0.5)&gt;=0,1/(1+d)^($BP51-0.5),1/(1+d)^($BP51)),0)</f>
        <v/>
      </c>
      <c r="BS51" s="592" t="n"/>
      <c r="BT51" s="25">
        <f>IF(gender="M",VLOOKUP($Y51+pre_mort+IF(MONTH(DoC)&lt;MONTH(DoB),IF(MONTH(DoC)&lt;3,0,-1),IF(MONTH(DoB)&lt;3,-1,0)),'SALT LIFE TABLES'!$A$7:$E$106,2),VLOOKUP($Y51+pre_mort+IF(MONTH(DoC)&lt;MONTH(DoB),IF(MONTH(DoC)&lt;3,0,-1),IF(MONTH(DoB)&lt;3,-1,0)),'SALT LIFE TABLES'!$A$7:$E$106,4))</f>
        <v/>
      </c>
      <c r="BU51" s="592">
        <f>IF($E51="PL",1,BT51/BU$7)</f>
        <v/>
      </c>
      <c r="BV51" s="593" t="n"/>
      <c r="BW51" s="25">
        <f>IF(gender="M",VLOOKUP($Y51+post_mort+IF(MONTH(DoC)&lt;MONTH(DoB),IF(MONTH(DoC)&lt;3,0,-1),IF(MONTH(DoB)&lt;3,-1,0)),'SALT LIFE TABLES'!$A$7:$E$106,2),VLOOKUP($Y51+post_mort+IF(MONTH(DoC)&lt;MONTH(DoB),IF(MONTH(DoC)&lt;3,0,-1),IF(MONTH(DoB)&lt;3,-1,0)),'SALT LIFE TABLES'!$A$7:$E$106,4))</f>
        <v/>
      </c>
      <c r="BX51" s="592">
        <f>IF($E51="PL",1,BW51/BX$7)</f>
        <v/>
      </c>
      <c r="BY51" s="594" t="n"/>
      <c r="BZ51" s="592" t="n"/>
      <c r="CA51" s="592">
        <f>IF($E51="FL",$AR51*$BQ51*$BR51*$BU51,$AR51)</f>
        <v/>
      </c>
      <c r="CB51" s="592">
        <f>IF($E51="FL",$BN51*$BQ51*$BR51*$BX51,$BN51)</f>
        <v/>
      </c>
      <c r="CC51" s="592" t="n"/>
      <c r="CD51" s="592">
        <f>IF($E51="FL",$CA51*(1-pre_FL),$CA51*(1-pre_PL))</f>
        <v/>
      </c>
      <c r="CE51" s="592">
        <f>IF($E51="FL",$CB51*(1-post_FL),$CB51*(1-post_PL))</f>
        <v/>
      </c>
      <c r="CF51" s="592" t="n"/>
      <c r="CG51" s="599">
        <f>CD51-CE51</f>
        <v/>
      </c>
      <c r="CH51" s="599">
        <f>MIN(CG51,IF(W51=Ret_Yr_pre,1,$X51)*Cap)</f>
        <v/>
      </c>
      <c r="CI51" s="128" t="n"/>
      <c r="CJ51" s="37">
        <f>IF(D51&gt;Current,Current,D51)</f>
        <v/>
      </c>
      <c r="CK51" s="37">
        <f>MATCH($CJ51,Tax_Tables[Tax Year],0)</f>
        <v/>
      </c>
      <c r="CL51" s="600" t="n">
        <v>0</v>
      </c>
      <c r="CM51" s="600">
        <f t="array" ref="CM51">INDEX(Tax_Tables[[Limits]:[Limits]],$CK51+CM$8)</f>
        <v/>
      </c>
      <c r="CN51" s="600">
        <f t="array" ref="CN51">INDEX(Tax_Tables[[Limits]:[Limits]],$CK51+CN$8)</f>
        <v/>
      </c>
      <c r="CO51" s="600">
        <f t="array" ref="CO51">INDEX(Tax_Tables[[Limits]:[Limits]],$CK51+CO$8)</f>
        <v/>
      </c>
      <c r="CP51" s="600">
        <f t="array" ref="CP51">INDEX(Tax_Tables[[Limits]:[Limits]],$CK51+CP$8)</f>
        <v/>
      </c>
      <c r="CQ51" s="600">
        <f t="array" ref="CQ51">INDEX(Tax_Tables[[Limits]:[Limits]],$CK51+CQ$8)</f>
        <v/>
      </c>
      <c r="CR51" s="600">
        <f t="array" ref="CR51">INDEX(Tax_Tables[[Limits]:[Limits]],$CK51+CR$8)</f>
        <v/>
      </c>
      <c r="CS51" s="37">
        <f>INDEX(Rebate[&lt;65],MATCH($CJ51,Rebate[[Tax Year]:[Tax Year]],0))</f>
        <v/>
      </c>
      <c r="CT51" s="37">
        <f>INDEX(Rebate[&lt;75],MATCH($CJ51,Rebate[[Tax Year]:[Tax Year]],0))</f>
        <v/>
      </c>
      <c r="CU51" s="37">
        <f>INDEX(Rebate[&gt;75],MATCH($CJ51,Rebate[[Tax Year]:[Tax Year]],0))</f>
        <v/>
      </c>
      <c r="CV51" s="37">
        <f>INDEX(Tax_Credit[Principal],MATCH($CJ51,Tax_Credit[[Tax Year]:[Tax Year]],0))</f>
        <v/>
      </c>
      <c r="CW51" s="37">
        <f>INDEX(Tax_Credit[First Dependant],MATCH($CJ51,Tax_Credit[[Tax Year]:[Tax Year]],0))</f>
        <v/>
      </c>
      <c r="CX51" s="37">
        <f>INDEX(Tax_Credit[Each Additional],MATCH($CJ51,Tax_Credit[[Tax Year]:[Tax Year]],0))</f>
        <v/>
      </c>
      <c r="CY51" s="484">
        <f>Y51</f>
        <v/>
      </c>
      <c r="CZ51" s="601">
        <f>AP51</f>
        <v/>
      </c>
      <c r="DA51" s="37">
        <f t="array" ref="DA51">INDEX($CL51:$CR51,0,MATCH($CZ51,$CL51:$CR51,1))</f>
        <v/>
      </c>
      <c r="DB51" s="37">
        <f t="array" ref="DB51">IFERROR(INDEX(Tax_Tables[Percentages],$CK51+MATCH($DA51,$CL51:$CR51,0)-1),"")</f>
        <v/>
      </c>
      <c r="DC51" s="37">
        <f t="array" ref="DC51">IFERROR(INDEX(Tax_Tables[Tax],$CK51+MATCH($DA51,$CL51:$CR51,0)-1),"")</f>
        <v/>
      </c>
      <c r="DD51" s="37">
        <f>IF(CY51&lt;65,CS51,IF(CY51&lt;75,CT51,CU51))</f>
        <v/>
      </c>
      <c r="DE51" s="37">
        <f>CV51*(Summary!$C$31="Y")+(Summary!$C$31="Y")*(CW51*(Pre_MDep&gt;=1)+CX51*MAX(Pre_MDep-1,0))</f>
        <v/>
      </c>
      <c r="DF51" s="599">
        <f>IFERROR(MAX(DB51*(CZ51-DA51)+DC51-DD51-DE51*12,0),"")</f>
        <v/>
      </c>
      <c r="DG51" s="602" t="n"/>
      <c r="DH51" s="601">
        <f>BL51</f>
        <v/>
      </c>
      <c r="DI51" s="37">
        <f t="array" ref="DI51">INDEX($CL51:$CR51,0,MATCH($DH51,$CL51:$CR51,1))</f>
        <v/>
      </c>
      <c r="DJ51" s="37">
        <f t="array" ref="DJ51">IFERROR(INDEX(Tax_Tables[Percentages],$CK51+MATCH($DI51,$CL51:$CR51,0)-1),"")</f>
        <v/>
      </c>
      <c r="DK51" s="37">
        <f t="array" ref="DK51">IFERROR(INDEX(Tax_Tables[Tax],$CK51+MATCH($DI51,$CL51:$CR51,0)-1),"")</f>
        <v/>
      </c>
      <c r="DL51" s="37">
        <f>CV51*(Summary!$C$81="Y")+(Summary!$C$81="Y")*(CW51*(Post_MDep&gt;=1)+CX51*MAX(Post_MDep-1,0))</f>
        <v/>
      </c>
      <c r="DM51" s="599">
        <f>IFERROR(MAX(DJ51*(DH51-DI51)+DK51-DD51-DL51*12,0),"")</f>
        <v/>
      </c>
      <c r="DN51" s="601" t="n"/>
      <c r="DO51" s="37" t="n"/>
      <c r="DP51" s="37" t="n"/>
      <c r="DQ51" s="37" t="n"/>
      <c r="DR51" s="37" t="n"/>
      <c r="DS51" s="37" t="n"/>
      <c r="DT51" s="37" t="n"/>
      <c r="DU51" s="37" t="n"/>
      <c r="DV51" s="37" t="n"/>
      <c r="DW51" s="37" t="n"/>
      <c r="DX51" s="599" t="n"/>
      <c r="DY51" s="131" t="n"/>
      <c r="DZ51" s="601" t="n"/>
      <c r="EA51" s="37" t="n"/>
      <c r="EB51" s="37" t="n"/>
      <c r="EC51" s="37" t="n"/>
      <c r="ED51" s="599" t="n"/>
      <c r="EE51" s="595" t="n"/>
      <c r="EF51" s="25" t="n"/>
    </row>
    <row r="52">
      <c r="C52" s="596">
        <f>C51+D52-D51</f>
        <v/>
      </c>
      <c r="D52" s="160">
        <f>AU52</f>
        <v/>
      </c>
      <c r="E52" s="87">
        <f>IF(DoC=V52,"Calc Date",IF(V52&lt;DoC,"PL","FL"))</f>
        <v/>
      </c>
      <c r="F52" s="310">
        <f>F51+1</f>
        <v/>
      </c>
      <c r="G52" s="31">
        <f>VLOOKUP(F52,C$10:D$148,2)</f>
        <v/>
      </c>
      <c r="H52" s="313">
        <f>H51</f>
        <v/>
      </c>
      <c r="I52" s="281">
        <f>I51</f>
        <v/>
      </c>
      <c r="J52" s="589">
        <f>I52*index/VLOOKUP($H52,CPI!A:E,4,FALSE)</f>
        <v/>
      </c>
      <c r="K52" s="589">
        <f>IF(L52="Linear",(J52-J51)/(G52-G51),0)</f>
        <v/>
      </c>
      <c r="L52" s="311" t="inlineStr">
        <is>
          <t>Flat</t>
        </is>
      </c>
      <c r="M52" s="137" t="n"/>
      <c r="N52" s="310">
        <f>N51+1</f>
        <v/>
      </c>
      <c r="O52" s="31">
        <f>O51+N52-N51</f>
        <v/>
      </c>
      <c r="P52" s="313">
        <f>P51</f>
        <v/>
      </c>
      <c r="Q52" s="281">
        <f>Q51</f>
        <v/>
      </c>
      <c r="R52" s="589">
        <f>Q52*index/VLOOKUP($P52,CPI!A:E,4,FALSE)</f>
        <v/>
      </c>
      <c r="S52" s="589">
        <f>IF(T52="Linear",(R52-R51)/(O52-O51),0)</f>
        <v/>
      </c>
      <c r="T52" s="311" t="inlineStr">
        <is>
          <t>Flat</t>
        </is>
      </c>
      <c r="U52" s="144" t="n"/>
      <c r="V52" s="6">
        <f>IF(AND($V51=DoA,MONTH(V51)&lt;3),DATE(YEAR(DoA),3,1),IF(AND(IFERROR(DATEDIF(V51,DoC,"M"),12)&lt;12,IFERROR(DATEDIF(V51,DoC,"M"),12)&gt;0),DoC,DATE(YEAR(V51)+(1-AND(YEAR(DoC)=Current,V51=DoC)-AND(V51=DoA,MONTH(V51)&lt;3)),3,1)))</f>
        <v/>
      </c>
      <c r="W52" s="31">
        <f>IF(V52=DoR_Pre,IF(MONTH(DoR_Pre)&gt;3,YEAR(DoR_Pre)+1,YEAR(DoR_Pre)),IF(MONTH(V52)&gt;3,Current,YEAR(V52)))</f>
        <v/>
      </c>
      <c r="X52" s="597">
        <f>IF(W52=Current,ROUND((V52-V51)/365.25,5),_xlfn.IFNA(INDEX(Summary!$A$5:$A$22,MATCH('LOE Sc1'!W52,Summary!$C$5:$C$22,0)),IF(W52=Ret_Yr_pre,ROUND((DoR_Pre-V51)/365.25,5),ROUND((V52-V51)/365.25,2))))</f>
        <v/>
      </c>
      <c r="Y52" s="55">
        <f>IF(AND(V52=DoC,MONTH(DoC)&lt;&gt;3),ROUNDDOWN(DATEDIF(DoB,V53,"M")/12,),ROUNDDOWN(DATEDIF(DoB,V52,"M")/12,))</f>
        <v/>
      </c>
      <c r="Z52" s="590" t="n"/>
      <c r="AA52" s="25">
        <f>MAX(RetAge_Pre-Y52,0)</f>
        <v/>
      </c>
      <c r="AB52" s="26">
        <f t="array" ref="AB52">IF(W52&gt;Ret_Yr_pre,0,_xlfn.IFNA(VLOOKUP(Y52,F$11:J$1000,5,),IF(AND(W52=Current,V52&gt;DoC,MONTH(DoC)&lt;&gt;3),AB51,AB51+INDEX(K$11:K$1000,MATCH(Y52,F$11:F$1000,1)+1))))</f>
        <v/>
      </c>
      <c r="AC52" s="590">
        <f>IF(V52&lt;DoC,AB52*VLOOKUP(YEAR(V52),CPI!A:E,4,FALSE)/index,AB52*real_i^INT(BP52))</f>
        <v/>
      </c>
      <c r="AD52" s="590">
        <f>$AC52/12*Bonus</f>
        <v/>
      </c>
      <c r="AE52" s="590">
        <f>IF($E52="FL",MedSub*m^INT(BP52),MedSub)*IF(Summary!$C$31="Y",1,0)*(W52&lt;=Ret_Yr_pre)*(Summary!C$31="Y")</f>
        <v/>
      </c>
      <c r="AF52" s="590">
        <f>IF(Summary!$C$30="Y",IF(E52&lt;&gt;"PL",VLOOKUP(Current,'Housing Allowance'!$A:$B,2,),VLOOKUP(YEAR($V52),'Housing Allowance'!$A:$B,2,)),0)*(W52&lt;=Ret_Yr_pre)</f>
        <v/>
      </c>
      <c r="AG52" s="590">
        <f>AC52*overtime</f>
        <v/>
      </c>
      <c r="AH52" s="590">
        <f>AC52*allow_1</f>
        <v/>
      </c>
      <c r="AI52" s="590">
        <f>(AB52&lt;&gt;0)*12*allow_2</f>
        <v/>
      </c>
      <c r="AJ52" s="590" t="n"/>
      <c r="AK52" s="581">
        <f>IF(YEAR(W52)&lt;=Ret_Yr_pre,SUM(AC52:AJ52),0)*IF($W52=Ret_Yr_pre,X52,1)</f>
        <v/>
      </c>
      <c r="AL52" s="581">
        <f>IF($W52&gt;=Ret_Yr_pre,pens_Pre*(GEPF_pre="Y"),0)*IF($W52=Ret_Yr_pre,1-$X52,1)*IF(Ret_Yr_pre&lt;Current,(_xlfn.IFNA(VLOOKUP($D52,CPI!$A:$E,2,FALSE),VLOOKUP(Current,CPI!$A:$E,2,FALSE))/VLOOKUP(Ret_Yr_pre,CPI!$A:$E,2,FALSE)),1)</f>
        <v/>
      </c>
      <c r="AM52" s="590">
        <f>$AC52*ee*IF($W52=Ret_Yr_pre,$X52,1)</f>
        <v/>
      </c>
      <c r="AN52" s="590">
        <f>$AC52*er*IF($W52=Ret_Yr_pre,$X52,1)</f>
        <v/>
      </c>
      <c r="AO52" s="590">
        <f>IF('LOE Sc1'!$W52=Ret_Yr_pre,Gratuity_Pre*(GEPF_pre="Y"),0)</f>
        <v/>
      </c>
      <c r="AP52" s="581">
        <f>AK52+AL52-$AM52-AN52*(GEPF_pre="Y")</f>
        <v/>
      </c>
      <c r="AQ52" s="590">
        <f>IF(DF52&lt;0,0,DF52)</f>
        <v/>
      </c>
      <c r="AR52" s="581">
        <f>(AP52-AQ52+AM52*(AM$7="Y")+AN52*(AN$7="Y"))*IF(W52&lt;Ret_Yr_pre,X52,1)+AO52</f>
        <v/>
      </c>
      <c r="AS52" s="595" t="n"/>
      <c r="AT52" s="6">
        <f>V52</f>
        <v/>
      </c>
      <c r="AU52" s="31">
        <f>W52</f>
        <v/>
      </c>
      <c r="AV52" s="598">
        <f>IF(AU52=Current,ROUND((AT52-AT51)/365.25,5),_xlfn.IFNA(INDEX(Summary!$A$55:$A$72,MATCH('LOE Sc1'!AU52,Summary!$C$55:$C$72,0)),IF(AU52=Ret_Yr_post,ROUND((DoR_Post-AT51)/365.25,5),ROUND((AT52-AT51)/365.25,2))))</f>
        <v/>
      </c>
      <c r="AW52" s="55">
        <f>Y52</f>
        <v/>
      </c>
      <c r="AX52" s="26">
        <f t="array" ref="AX52">IF(AU52&gt;Ret_Yr_post,0,_xlfn.IFNA(VLOOKUP(AW52,N$11:S$1000,5,),IF(AND(AU52=Current,AT52&gt;DoC,MONTH(DoC)&lt;&gt;3),AX51,AX51+INDEX(S$11:S$1000,MATCH(AW52,N$11:N$1000,1)+1))))</f>
        <v/>
      </c>
      <c r="AY52" s="590">
        <f>IF($V52&lt;DoC,AX52*VLOOKUP(YEAR($V52),CPI_Table,4,FALSE)/index,AX52*real_i^INT(BP52))</f>
        <v/>
      </c>
      <c r="AZ52" s="590">
        <f>$AY52/12*Bonus_Post*($AW52&lt;=RetAge_Post)</f>
        <v/>
      </c>
      <c r="BA52" s="590">
        <f>IF($E52="FL",MedSub*m^INT(BP52),MedSub)*IF(Summary!$C$81="Y",1,0)*($AU52&lt;=Ret_Yr_post)*(Summary!$C$81="Y")</f>
        <v/>
      </c>
      <c r="BB52" s="590">
        <f>IF(Summary!$C$80="Y",IF($E52&lt;&gt;"PL",VLOOKUP(Current,'Housing Allowance'!$A:$B,2,),VLOOKUP(YEAR($AT52),'Housing Allowance'!$A:$B,2,)),0)*($AU52&lt;=Ret_Yr_post)</f>
        <v/>
      </c>
      <c r="BC52" s="590">
        <f>AY52*overtime_post</f>
        <v/>
      </c>
      <c r="BD52" s="590">
        <f>$AY52*allow_1_post</f>
        <v/>
      </c>
      <c r="BE52" s="590">
        <f>($AY52&lt;&gt;0)*allow_2_post*12</f>
        <v/>
      </c>
      <c r="BF52" s="590" t="n"/>
      <c r="BG52" s="581">
        <f>IF(YEAR($V52)&lt;=Ret_Yr_post,SUM(AY52:BF52),0)*IF($W52=Ret_Yr_post,AV52,1)</f>
        <v/>
      </c>
      <c r="BH52" s="581">
        <f>IF($W52&gt;=Ret_Yr_post,pens_Post*(GEPF_pre="Y"),0)*IF($W52=Ret_Yr_post,1-$AV52,1)*IF(Ret_Yr_post&lt;Current,(_xlfn.IFNA(VLOOKUP($D52,CPI!$A:$E,2,FALSE),VLOOKUP(Current,CPI!$A:$E,2,FALSE))/VLOOKUP(Ret_Yr_post,CPI!$A:$E,2,FALSE)),1)</f>
        <v/>
      </c>
      <c r="BI52" s="590">
        <f>$AY52*ee_post*IF($W52=Ret_Yr_post,$AV52,1)</f>
        <v/>
      </c>
      <c r="BJ52" s="590">
        <f>$AY52*er_post*IF($W52=Ret_Yr_post,$AV52,1)</f>
        <v/>
      </c>
      <c r="BK52" s="590">
        <f>IF('LOE Sc1'!$W52=Ret_Yr_post,Gratuity_Post*(GEPF_post="Y"),0)</f>
        <v/>
      </c>
      <c r="BL52" s="581">
        <f>BG52+BH52-BI52-BJ52*(GEPF_post="Y")</f>
        <v/>
      </c>
      <c r="BM52" s="590">
        <f>IF(DM52&lt;0,0,DM52)</f>
        <v/>
      </c>
      <c r="BN52" s="581">
        <f>(BL52-BM52+BI52*(BI$7="Y")+BJ52*(BJ$7="Y"))*IF($W52&lt;Ret_Yr_post,AV52,1)+BK52</f>
        <v/>
      </c>
      <c r="BO52" s="591" t="n"/>
      <c r="BP52" s="592">
        <f>IF($E52="FL",IF($X52&lt;=DoC,DATEDIF(DoC,$V52,"M")/12,0),0)</f>
        <v/>
      </c>
      <c r="BQ52" s="592">
        <f>IF($E52="FL",(1+CPI)^INT(BP52),0)</f>
        <v/>
      </c>
      <c r="BR52" s="592">
        <f>IF($E52="FL",IF(($BP52-0.5)&gt;=0,1/(1+d)^($BP52-0.5),1/(1+d)^($BP52)),0)</f>
        <v/>
      </c>
      <c r="BS52" s="592" t="n"/>
      <c r="BT52" s="25">
        <f>IF(gender="M",VLOOKUP($Y52+pre_mort+IF(MONTH(DoC)&lt;MONTH(DoB),IF(MONTH(DoC)&lt;3,0,-1),IF(MONTH(DoB)&lt;3,-1,0)),'SALT LIFE TABLES'!$A$7:$E$106,2),VLOOKUP($Y52+pre_mort+IF(MONTH(DoC)&lt;MONTH(DoB),IF(MONTH(DoC)&lt;3,0,-1),IF(MONTH(DoB)&lt;3,-1,0)),'SALT LIFE TABLES'!$A$7:$E$106,4))</f>
        <v/>
      </c>
      <c r="BU52" s="592">
        <f>IF($E52="PL",1,BT52/BU$7)</f>
        <v/>
      </c>
      <c r="BV52" s="593" t="n"/>
      <c r="BW52" s="25">
        <f>IF(gender="M",VLOOKUP($Y52+post_mort+IF(MONTH(DoC)&lt;MONTH(DoB),IF(MONTH(DoC)&lt;3,0,-1),IF(MONTH(DoB)&lt;3,-1,0)),'SALT LIFE TABLES'!$A$7:$E$106,2),VLOOKUP($Y52+post_mort+IF(MONTH(DoC)&lt;MONTH(DoB),IF(MONTH(DoC)&lt;3,0,-1),IF(MONTH(DoB)&lt;3,-1,0)),'SALT LIFE TABLES'!$A$7:$E$106,4))</f>
        <v/>
      </c>
      <c r="BX52" s="592">
        <f>IF($E52="PL",1,BW52/BX$7)</f>
        <v/>
      </c>
      <c r="BY52" s="594" t="n"/>
      <c r="BZ52" s="592" t="n"/>
      <c r="CA52" s="592">
        <f>IF($E52="FL",$AR52*$BQ52*$BR52*$BU52,$AR52)</f>
        <v/>
      </c>
      <c r="CB52" s="592">
        <f>IF($E52="FL",$BN52*$BQ52*$BR52*$BX52,$BN52)</f>
        <v/>
      </c>
      <c r="CC52" s="592" t="n"/>
      <c r="CD52" s="592">
        <f>IF($E52="FL",$CA52*(1-pre_FL),$CA52*(1-pre_PL))</f>
        <v/>
      </c>
      <c r="CE52" s="592">
        <f>IF($E52="FL",$CB52*(1-post_FL),$CB52*(1-post_PL))</f>
        <v/>
      </c>
      <c r="CF52" s="592" t="n"/>
      <c r="CG52" s="599">
        <f>CD52-CE52</f>
        <v/>
      </c>
      <c r="CH52" s="599">
        <f>MIN(CG52,IF(W52=Ret_Yr_pre,1,$X52)*Cap)</f>
        <v/>
      </c>
      <c r="CI52" s="128" t="n"/>
      <c r="CJ52" s="37">
        <f>IF(D52&gt;Current,Current,D52)</f>
        <v/>
      </c>
      <c r="CK52" s="37">
        <f>MATCH($CJ52,Tax_Tables[Tax Year],0)</f>
        <v/>
      </c>
      <c r="CL52" s="600" t="n">
        <v>0</v>
      </c>
      <c r="CM52" s="600">
        <f t="array" ref="CM52">INDEX(Tax_Tables[[Limits]:[Limits]],$CK52+CM$8)</f>
        <v/>
      </c>
      <c r="CN52" s="600">
        <f t="array" ref="CN52">INDEX(Tax_Tables[[Limits]:[Limits]],$CK52+CN$8)</f>
        <v/>
      </c>
      <c r="CO52" s="600">
        <f t="array" ref="CO52">INDEX(Tax_Tables[[Limits]:[Limits]],$CK52+CO$8)</f>
        <v/>
      </c>
      <c r="CP52" s="600">
        <f t="array" ref="CP52">INDEX(Tax_Tables[[Limits]:[Limits]],$CK52+CP$8)</f>
        <v/>
      </c>
      <c r="CQ52" s="600">
        <f t="array" ref="CQ52">INDEX(Tax_Tables[[Limits]:[Limits]],$CK52+CQ$8)</f>
        <v/>
      </c>
      <c r="CR52" s="600">
        <f t="array" ref="CR52">INDEX(Tax_Tables[[Limits]:[Limits]],$CK52+CR$8)</f>
        <v/>
      </c>
      <c r="CS52" s="37">
        <f>INDEX(Rebate[&lt;65],MATCH($CJ52,Rebate[[Tax Year]:[Tax Year]],0))</f>
        <v/>
      </c>
      <c r="CT52" s="37">
        <f>INDEX(Rebate[&lt;75],MATCH($CJ52,Rebate[[Tax Year]:[Tax Year]],0))</f>
        <v/>
      </c>
      <c r="CU52" s="37">
        <f>INDEX(Rebate[&gt;75],MATCH($CJ52,Rebate[[Tax Year]:[Tax Year]],0))</f>
        <v/>
      </c>
      <c r="CV52" s="37">
        <f>INDEX(Tax_Credit[Principal],MATCH($CJ52,Tax_Credit[[Tax Year]:[Tax Year]],0))</f>
        <v/>
      </c>
      <c r="CW52" s="37">
        <f>INDEX(Tax_Credit[First Dependant],MATCH($CJ52,Tax_Credit[[Tax Year]:[Tax Year]],0))</f>
        <v/>
      </c>
      <c r="CX52" s="37">
        <f>INDEX(Tax_Credit[Each Additional],MATCH($CJ52,Tax_Credit[[Tax Year]:[Tax Year]],0))</f>
        <v/>
      </c>
      <c r="CY52" s="484">
        <f>Y52</f>
        <v/>
      </c>
      <c r="CZ52" s="601">
        <f>AP52</f>
        <v/>
      </c>
      <c r="DA52" s="37">
        <f t="array" ref="DA52">INDEX($CL52:$CR52,0,MATCH($CZ52,$CL52:$CR52,1))</f>
        <v/>
      </c>
      <c r="DB52" s="37">
        <f t="array" ref="DB52">IFERROR(INDEX(Tax_Tables[Percentages],$CK52+MATCH($DA52,$CL52:$CR52,0)-1),"")</f>
        <v/>
      </c>
      <c r="DC52" s="37">
        <f t="array" ref="DC52">IFERROR(INDEX(Tax_Tables[Tax],$CK52+MATCH($DA52,$CL52:$CR52,0)-1),"")</f>
        <v/>
      </c>
      <c r="DD52" s="37">
        <f>IF(CY52&lt;65,CS52,IF(CY52&lt;75,CT52,CU52))</f>
        <v/>
      </c>
      <c r="DE52" s="37">
        <f>CV52*(Summary!$C$31="Y")+(Summary!$C$31="Y")*(CW52*(Pre_MDep&gt;=1)+CX52*MAX(Pre_MDep-1,0))</f>
        <v/>
      </c>
      <c r="DF52" s="599">
        <f>IFERROR(MAX(DB52*(CZ52-DA52)+DC52-DD52-DE52*12,0),"")</f>
        <v/>
      </c>
      <c r="DG52" s="602" t="n"/>
      <c r="DH52" s="601">
        <f>BL52</f>
        <v/>
      </c>
      <c r="DI52" s="37">
        <f t="array" ref="DI52">INDEX($CL52:$CR52,0,MATCH($DH52,$CL52:$CR52,1))</f>
        <v/>
      </c>
      <c r="DJ52" s="37">
        <f t="array" ref="DJ52">IFERROR(INDEX(Tax_Tables[Percentages],$CK52+MATCH($DI52,$CL52:$CR52,0)-1),"")</f>
        <v/>
      </c>
      <c r="DK52" s="37">
        <f t="array" ref="DK52">IFERROR(INDEX(Tax_Tables[Tax],$CK52+MATCH($DI52,$CL52:$CR52,0)-1),"")</f>
        <v/>
      </c>
      <c r="DL52" s="37">
        <f>CV52*(Summary!$C$81="Y")+(Summary!$C$81="Y")*(CW52*(Post_MDep&gt;=1)+CX52*MAX(Post_MDep-1,0))</f>
        <v/>
      </c>
      <c r="DM52" s="599">
        <f>IFERROR(MAX(DJ52*(DH52-DI52)+DK52-DD52-DL52*12,0),"")</f>
        <v/>
      </c>
      <c r="DN52" s="601" t="n"/>
      <c r="DO52" s="37" t="n"/>
      <c r="DP52" s="37" t="n"/>
      <c r="DQ52" s="37" t="n"/>
      <c r="DR52" s="37" t="n"/>
      <c r="DS52" s="37" t="n"/>
      <c r="DT52" s="37" t="n"/>
      <c r="DU52" s="37" t="n"/>
      <c r="DV52" s="37" t="n"/>
      <c r="DW52" s="37" t="n"/>
      <c r="DX52" s="599" t="n"/>
      <c r="DY52" s="131" t="n"/>
      <c r="DZ52" s="601" t="n"/>
      <c r="EA52" s="37" t="n"/>
      <c r="EB52" s="37" t="n"/>
      <c r="EC52" s="37" t="n"/>
      <c r="ED52" s="599" t="n"/>
      <c r="EE52" s="595" t="n"/>
      <c r="EF52" s="25" t="n"/>
    </row>
    <row r="53">
      <c r="C53" s="596">
        <f>C52+D53-D52</f>
        <v/>
      </c>
      <c r="D53" s="160">
        <f>AU53</f>
        <v/>
      </c>
      <c r="E53" s="87">
        <f>IF(DoC=V53,"Calc Date",IF(V53&lt;DoC,"PL","FL"))</f>
        <v/>
      </c>
      <c r="F53" s="310">
        <f>F52+1</f>
        <v/>
      </c>
      <c r="G53" s="31">
        <f>VLOOKUP(F53,C$10:D$148,2)</f>
        <v/>
      </c>
      <c r="H53" s="313">
        <f>H52</f>
        <v/>
      </c>
      <c r="I53" s="281">
        <f>I52</f>
        <v/>
      </c>
      <c r="J53" s="589">
        <f>I53*index/VLOOKUP($H53,CPI!A:E,4,FALSE)</f>
        <v/>
      </c>
      <c r="K53" s="589">
        <f>IF(L53="Linear",(J53-J52)/(G53-G52),0)</f>
        <v/>
      </c>
      <c r="L53" s="311" t="inlineStr">
        <is>
          <t>Flat</t>
        </is>
      </c>
      <c r="M53" s="137" t="n"/>
      <c r="N53" s="310">
        <f>N52+1</f>
        <v/>
      </c>
      <c r="O53" s="31">
        <f>O52+N53-N52</f>
        <v/>
      </c>
      <c r="P53" s="313">
        <f>P52</f>
        <v/>
      </c>
      <c r="Q53" s="281">
        <f>Q52</f>
        <v/>
      </c>
      <c r="R53" s="589">
        <f>Q53*index/VLOOKUP($P53,CPI!A:E,4,FALSE)</f>
        <v/>
      </c>
      <c r="S53" s="589">
        <f>IF(T53="Linear",(R53-R52)/(O53-O52),0)</f>
        <v/>
      </c>
      <c r="T53" s="311" t="inlineStr">
        <is>
          <t>Flat</t>
        </is>
      </c>
      <c r="U53" s="144" t="n"/>
      <c r="V53" s="6">
        <f>IF(AND($V52=DoA,MONTH(V52)&lt;3),DATE(YEAR(DoA),3,1),IF(AND(IFERROR(DATEDIF(V52,DoC,"M"),12)&lt;12,IFERROR(DATEDIF(V52,DoC,"M"),12)&gt;0),DoC,DATE(YEAR(V52)+(1-AND(YEAR(DoC)=Current,V52=DoC)-AND(V52=DoA,MONTH(V52)&lt;3)),3,1)))</f>
        <v/>
      </c>
      <c r="W53" s="31">
        <f>IF(V53=DoR_Pre,IF(MONTH(DoR_Pre)&gt;3,YEAR(DoR_Pre)+1,YEAR(DoR_Pre)),IF(MONTH(V53)&gt;3,Current,YEAR(V53)))</f>
        <v/>
      </c>
      <c r="X53" s="597">
        <f>IF(W53=Current,ROUND((V53-V52)/365.25,5),_xlfn.IFNA(INDEX(Summary!$A$5:$A$22,MATCH('LOE Sc1'!W53,Summary!$C$5:$C$22,0)),IF(W53=Ret_Yr_pre,ROUND((DoR_Pre-V52)/365.25,5),ROUND((V53-V52)/365.25,2))))</f>
        <v/>
      </c>
      <c r="Y53" s="55">
        <f>IF(AND(V53=DoC,MONTH(DoC)&lt;&gt;3),ROUNDDOWN(DATEDIF(DoB,V54,"M")/12,),ROUNDDOWN(DATEDIF(DoB,V53,"M")/12,))</f>
        <v/>
      </c>
      <c r="Z53" s="590" t="n"/>
      <c r="AA53" s="25">
        <f>MAX(RetAge_Pre-Y53,0)</f>
        <v/>
      </c>
      <c r="AB53" s="26">
        <f t="array" ref="AB53">IF(W53&gt;Ret_Yr_pre,0,_xlfn.IFNA(VLOOKUP(Y53,F$11:J$1000,5,),IF(AND(W53=Current,V53&gt;DoC,MONTH(DoC)&lt;&gt;3),AB52,AB52+INDEX(K$11:K$1000,MATCH(Y53,F$11:F$1000,1)+1))))</f>
        <v/>
      </c>
      <c r="AC53" s="590">
        <f>IF(V53&lt;DoC,AB53*VLOOKUP(YEAR(V53),CPI!A:E,4,FALSE)/index,AB53*real_i^INT(BP53))</f>
        <v/>
      </c>
      <c r="AD53" s="590">
        <f>$AC53/12*Bonus</f>
        <v/>
      </c>
      <c r="AE53" s="590">
        <f>IF($E53="FL",MedSub*m^INT(BP53),MedSub)*IF(Summary!$C$31="Y",1,0)*(W53&lt;=Ret_Yr_pre)*(Summary!C$31="Y")</f>
        <v/>
      </c>
      <c r="AF53" s="590">
        <f>IF(Summary!$C$30="Y",IF(E53&lt;&gt;"PL",VLOOKUP(Current,'Housing Allowance'!$A:$B,2,),VLOOKUP(YEAR($V53),'Housing Allowance'!$A:$B,2,)),0)*(W53&lt;=Ret_Yr_pre)</f>
        <v/>
      </c>
      <c r="AG53" s="590">
        <f>AC53*overtime</f>
        <v/>
      </c>
      <c r="AH53" s="590">
        <f>AC53*allow_1</f>
        <v/>
      </c>
      <c r="AI53" s="590">
        <f>(AB53&lt;&gt;0)*12*allow_2</f>
        <v/>
      </c>
      <c r="AJ53" s="590" t="n"/>
      <c r="AK53" s="581">
        <f>IF(YEAR(W53)&lt;=Ret_Yr_pre,SUM(AC53:AJ53),0)*IF($W53=Ret_Yr_pre,X53,1)</f>
        <v/>
      </c>
      <c r="AL53" s="581">
        <f>IF($W53&gt;=Ret_Yr_pre,pens_Pre*(GEPF_pre="Y"),0)*IF($W53=Ret_Yr_pre,1-$X53,1)*IF(Ret_Yr_pre&lt;Current,(_xlfn.IFNA(VLOOKUP($D53,CPI!$A:$E,2,FALSE),VLOOKUP(Current,CPI!$A:$E,2,FALSE))/VLOOKUP(Ret_Yr_pre,CPI!$A:$E,2,FALSE)),1)</f>
        <v/>
      </c>
      <c r="AM53" s="590">
        <f>$AC53*ee*IF($W53=Ret_Yr_pre,$X53,1)</f>
        <v/>
      </c>
      <c r="AN53" s="590">
        <f>$AC53*er*IF($W53=Ret_Yr_pre,$X53,1)</f>
        <v/>
      </c>
      <c r="AO53" s="590">
        <f>IF('LOE Sc1'!$W53=Ret_Yr_pre,Gratuity_Pre*(GEPF_pre="Y"),0)</f>
        <v/>
      </c>
      <c r="AP53" s="581">
        <f>AK53+AL53-$AM53-AN53*(GEPF_pre="Y")</f>
        <v/>
      </c>
      <c r="AQ53" s="590">
        <f>IF(DF53&lt;0,0,DF53)</f>
        <v/>
      </c>
      <c r="AR53" s="581">
        <f>(AP53-AQ53+AM53*(AM$7="Y")+AN53*(AN$7="Y"))*IF(W53&lt;Ret_Yr_pre,X53,1)+AO53</f>
        <v/>
      </c>
      <c r="AS53" s="595" t="n"/>
      <c r="AT53" s="6">
        <f>V53</f>
        <v/>
      </c>
      <c r="AU53" s="31">
        <f>W53</f>
        <v/>
      </c>
      <c r="AV53" s="598">
        <f>IF(AU53=Current,ROUND((AT53-AT52)/365.25,5),_xlfn.IFNA(INDEX(Summary!$A$55:$A$72,MATCH('LOE Sc1'!AU53,Summary!$C$55:$C$72,0)),IF(AU53=Ret_Yr_post,ROUND((DoR_Post-AT52)/365.25,5),ROUND((AT53-AT52)/365.25,2))))</f>
        <v/>
      </c>
      <c r="AW53" s="55">
        <f>Y53</f>
        <v/>
      </c>
      <c r="AX53" s="26">
        <f t="array" ref="AX53">IF(AU53&gt;Ret_Yr_post,0,_xlfn.IFNA(VLOOKUP(AW53,N$11:S$1000,5,),IF(AND(AU53=Current,AT53&gt;DoC,MONTH(DoC)&lt;&gt;3),AX52,AX52+INDEX(S$11:S$1000,MATCH(AW53,N$11:N$1000,1)+1))))</f>
        <v/>
      </c>
      <c r="AY53" s="590">
        <f>IF($V53&lt;DoC,AX53*VLOOKUP(YEAR($V53),CPI_Table,4,FALSE)/index,AX53*real_i^INT(BP53))</f>
        <v/>
      </c>
      <c r="AZ53" s="590">
        <f>$AY53/12*Bonus_Post*($AW53&lt;=RetAge_Post)</f>
        <v/>
      </c>
      <c r="BA53" s="590">
        <f>IF($E53="FL",MedSub*m^INT(BP53),MedSub)*IF(Summary!$C$81="Y",1,0)*($AU53&lt;=Ret_Yr_post)*(Summary!$C$81="Y")</f>
        <v/>
      </c>
      <c r="BB53" s="590">
        <f>IF(Summary!$C$80="Y",IF($E53&lt;&gt;"PL",VLOOKUP(Current,'Housing Allowance'!$A:$B,2,),VLOOKUP(YEAR($AT53),'Housing Allowance'!$A:$B,2,)),0)*($AU53&lt;=Ret_Yr_post)</f>
        <v/>
      </c>
      <c r="BC53" s="590">
        <f>AY53*overtime_post</f>
        <v/>
      </c>
      <c r="BD53" s="590">
        <f>$AY53*allow_1_post</f>
        <v/>
      </c>
      <c r="BE53" s="590">
        <f>($AY53&lt;&gt;0)*allow_2_post*12</f>
        <v/>
      </c>
      <c r="BF53" s="590" t="n"/>
      <c r="BG53" s="581">
        <f>IF(YEAR($V53)&lt;=Ret_Yr_post,SUM(AY53:BF53),0)*IF($W53=Ret_Yr_post,AV53,1)</f>
        <v/>
      </c>
      <c r="BH53" s="581">
        <f>IF($W53&gt;=Ret_Yr_post,pens_Post*(GEPF_pre="Y"),0)*IF($W53=Ret_Yr_post,1-$AV53,1)*IF(Ret_Yr_post&lt;Current,(_xlfn.IFNA(VLOOKUP($D53,CPI!$A:$E,2,FALSE),VLOOKUP(Current,CPI!$A:$E,2,FALSE))/VLOOKUP(Ret_Yr_post,CPI!$A:$E,2,FALSE)),1)</f>
        <v/>
      </c>
      <c r="BI53" s="590">
        <f>$AY53*ee_post*IF($W53=Ret_Yr_post,$AV53,1)</f>
        <v/>
      </c>
      <c r="BJ53" s="590">
        <f>$AY53*er_post*IF($W53=Ret_Yr_post,$AV53,1)</f>
        <v/>
      </c>
      <c r="BK53" s="590">
        <f>IF('LOE Sc1'!$W53=Ret_Yr_post,Gratuity_Post*(GEPF_post="Y"),0)</f>
        <v/>
      </c>
      <c r="BL53" s="581">
        <f>BG53+BH53-BI53-BJ53*(GEPF_post="Y")</f>
        <v/>
      </c>
      <c r="BM53" s="590">
        <f>IF(DM53&lt;0,0,DM53)</f>
        <v/>
      </c>
      <c r="BN53" s="581">
        <f>(BL53-BM53+BI53*(BI$7="Y")+BJ53*(BJ$7="Y"))*IF($W53&lt;Ret_Yr_post,AV53,1)+BK53</f>
        <v/>
      </c>
      <c r="BO53" s="591" t="n"/>
      <c r="BP53" s="592">
        <f>IF($E53="FL",IF($X53&lt;=DoC,DATEDIF(DoC,$V53,"M")/12,0),0)</f>
        <v/>
      </c>
      <c r="BQ53" s="592">
        <f>IF($E53="FL",(1+CPI)^INT(BP53),0)</f>
        <v/>
      </c>
      <c r="BR53" s="592">
        <f>IF($E53="FL",IF(($BP53-0.5)&gt;=0,1/(1+d)^($BP53-0.5),1/(1+d)^($BP53)),0)</f>
        <v/>
      </c>
      <c r="BS53" s="592" t="n"/>
      <c r="BT53" s="25">
        <f>IF(gender="M",VLOOKUP($Y53+pre_mort+IF(MONTH(DoC)&lt;MONTH(DoB),IF(MONTH(DoC)&lt;3,0,-1),IF(MONTH(DoB)&lt;3,-1,0)),'SALT LIFE TABLES'!$A$7:$E$106,2),VLOOKUP($Y53+pre_mort+IF(MONTH(DoC)&lt;MONTH(DoB),IF(MONTH(DoC)&lt;3,0,-1),IF(MONTH(DoB)&lt;3,-1,0)),'SALT LIFE TABLES'!$A$7:$E$106,4))</f>
        <v/>
      </c>
      <c r="BU53" s="592">
        <f>IF($E53="PL",1,BT53/BU$7)</f>
        <v/>
      </c>
      <c r="BV53" s="593" t="n"/>
      <c r="BW53" s="25">
        <f>IF(gender="M",VLOOKUP($Y53+post_mort+IF(MONTH(DoC)&lt;MONTH(DoB),IF(MONTH(DoC)&lt;3,0,-1),IF(MONTH(DoB)&lt;3,-1,0)),'SALT LIFE TABLES'!$A$7:$E$106,2),VLOOKUP($Y53+post_mort+IF(MONTH(DoC)&lt;MONTH(DoB),IF(MONTH(DoC)&lt;3,0,-1),IF(MONTH(DoB)&lt;3,-1,0)),'SALT LIFE TABLES'!$A$7:$E$106,4))</f>
        <v/>
      </c>
      <c r="BX53" s="592">
        <f>IF($E53="PL",1,BW53/BX$7)</f>
        <v/>
      </c>
      <c r="BY53" s="594" t="n"/>
      <c r="BZ53" s="592" t="n"/>
      <c r="CA53" s="592">
        <f>IF($E53="FL",$AR53*$BQ53*$BR53*$BU53,$AR53)</f>
        <v/>
      </c>
      <c r="CB53" s="592">
        <f>IF($E53="FL",$BN53*$BQ53*$BR53*$BX53,$BN53)</f>
        <v/>
      </c>
      <c r="CC53" s="592" t="n"/>
      <c r="CD53" s="592">
        <f>IF($E53="FL",$CA53*(1-pre_FL),$CA53*(1-pre_PL))</f>
        <v/>
      </c>
      <c r="CE53" s="592">
        <f>IF($E53="FL",$CB53*(1-post_FL),$CB53*(1-post_PL))</f>
        <v/>
      </c>
      <c r="CF53" s="592" t="n"/>
      <c r="CG53" s="599">
        <f>CD53-CE53</f>
        <v/>
      </c>
      <c r="CH53" s="599">
        <f>MIN(CG53,IF(W53=Ret_Yr_pre,1,$X53)*Cap)</f>
        <v/>
      </c>
      <c r="CI53" s="128" t="n"/>
      <c r="CJ53" s="37">
        <f>IF(D53&gt;Current,Current,D53)</f>
        <v/>
      </c>
      <c r="CK53" s="37">
        <f>MATCH($CJ53,Tax_Tables[Tax Year],0)</f>
        <v/>
      </c>
      <c r="CL53" s="600" t="n">
        <v>0</v>
      </c>
      <c r="CM53" s="600">
        <f t="array" ref="CM53">INDEX(Tax_Tables[[Limits]:[Limits]],$CK53+CM$8)</f>
        <v/>
      </c>
      <c r="CN53" s="600">
        <f t="array" ref="CN53">INDEX(Tax_Tables[[Limits]:[Limits]],$CK53+CN$8)</f>
        <v/>
      </c>
      <c r="CO53" s="600">
        <f t="array" ref="CO53">INDEX(Tax_Tables[[Limits]:[Limits]],$CK53+CO$8)</f>
        <v/>
      </c>
      <c r="CP53" s="600">
        <f t="array" ref="CP53">INDEX(Tax_Tables[[Limits]:[Limits]],$CK53+CP$8)</f>
        <v/>
      </c>
      <c r="CQ53" s="600">
        <f t="array" ref="CQ53">INDEX(Tax_Tables[[Limits]:[Limits]],$CK53+CQ$8)</f>
        <v/>
      </c>
      <c r="CR53" s="600">
        <f t="array" ref="CR53">INDEX(Tax_Tables[[Limits]:[Limits]],$CK53+CR$8)</f>
        <v/>
      </c>
      <c r="CS53" s="37">
        <f>INDEX(Rebate[&lt;65],MATCH($CJ53,Rebate[[Tax Year]:[Tax Year]],0))</f>
        <v/>
      </c>
      <c r="CT53" s="37">
        <f>INDEX(Rebate[&lt;75],MATCH($CJ53,Rebate[[Tax Year]:[Tax Year]],0))</f>
        <v/>
      </c>
      <c r="CU53" s="37">
        <f>INDEX(Rebate[&gt;75],MATCH($CJ53,Rebate[[Tax Year]:[Tax Year]],0))</f>
        <v/>
      </c>
      <c r="CV53" s="37">
        <f>INDEX(Tax_Credit[Principal],MATCH($CJ53,Tax_Credit[[Tax Year]:[Tax Year]],0))</f>
        <v/>
      </c>
      <c r="CW53" s="37">
        <f>INDEX(Tax_Credit[First Dependant],MATCH($CJ53,Tax_Credit[[Tax Year]:[Tax Year]],0))</f>
        <v/>
      </c>
      <c r="CX53" s="37">
        <f>INDEX(Tax_Credit[Each Additional],MATCH($CJ53,Tax_Credit[[Tax Year]:[Tax Year]],0))</f>
        <v/>
      </c>
      <c r="CY53" s="484">
        <f>Y53</f>
        <v/>
      </c>
      <c r="CZ53" s="601">
        <f>AP53</f>
        <v/>
      </c>
      <c r="DA53" s="37">
        <f t="array" ref="DA53">INDEX($CL53:$CR53,0,MATCH($CZ53,$CL53:$CR53,1))</f>
        <v/>
      </c>
      <c r="DB53" s="37">
        <f t="array" ref="DB53">IFERROR(INDEX(Tax_Tables[Percentages],$CK53+MATCH($DA53,$CL53:$CR53,0)-1),"")</f>
        <v/>
      </c>
      <c r="DC53" s="37">
        <f t="array" ref="DC53">IFERROR(INDEX(Tax_Tables[Tax],$CK53+MATCH($DA53,$CL53:$CR53,0)-1),"")</f>
        <v/>
      </c>
      <c r="DD53" s="37">
        <f>IF(CY53&lt;65,CS53,IF(CY53&lt;75,CT53,CU53))</f>
        <v/>
      </c>
      <c r="DE53" s="37">
        <f>CV53*(Summary!$C$31="Y")+(Summary!$C$31="Y")*(CW53*(Pre_MDep&gt;=1)+CX53*MAX(Pre_MDep-1,0))</f>
        <v/>
      </c>
      <c r="DF53" s="599">
        <f>IFERROR(MAX(DB53*(CZ53-DA53)+DC53-DD53-DE53*12,0),"")</f>
        <v/>
      </c>
      <c r="DG53" s="602" t="n"/>
      <c r="DH53" s="601">
        <f>BL53</f>
        <v/>
      </c>
      <c r="DI53" s="37">
        <f t="array" ref="DI53">INDEX($CL53:$CR53,0,MATCH($DH53,$CL53:$CR53,1))</f>
        <v/>
      </c>
      <c r="DJ53" s="37">
        <f t="array" ref="DJ53">IFERROR(INDEX(Tax_Tables[Percentages],$CK53+MATCH($DI53,$CL53:$CR53,0)-1),"")</f>
        <v/>
      </c>
      <c r="DK53" s="37">
        <f t="array" ref="DK53">IFERROR(INDEX(Tax_Tables[Tax],$CK53+MATCH($DI53,$CL53:$CR53,0)-1),"")</f>
        <v/>
      </c>
      <c r="DL53" s="37">
        <f>CV53*(Summary!$C$81="Y")+(Summary!$C$81="Y")*(CW53*(Post_MDep&gt;=1)+CX53*MAX(Post_MDep-1,0))</f>
        <v/>
      </c>
      <c r="DM53" s="599">
        <f>IFERROR(MAX(DJ53*(DH53-DI53)+DK53-DD53-DL53*12,0),"")</f>
        <v/>
      </c>
      <c r="DN53" s="601" t="n"/>
      <c r="DO53" s="37" t="n"/>
      <c r="DP53" s="37" t="n"/>
      <c r="DQ53" s="37" t="n"/>
      <c r="DR53" s="37" t="n"/>
      <c r="DS53" s="37" t="n"/>
      <c r="DT53" s="37" t="n"/>
      <c r="DU53" s="37" t="n"/>
      <c r="DV53" s="37" t="n"/>
      <c r="DW53" s="37" t="n"/>
      <c r="DX53" s="599" t="n"/>
      <c r="DY53" s="131" t="n"/>
      <c r="DZ53" s="601" t="n"/>
      <c r="EA53" s="37" t="n"/>
      <c r="EB53" s="37" t="n"/>
      <c r="EC53" s="37" t="n"/>
      <c r="ED53" s="599" t="n"/>
      <c r="EE53" s="595" t="n"/>
      <c r="EF53" s="25" t="n"/>
    </row>
    <row r="54">
      <c r="C54" s="596">
        <f>C53+D54-D53</f>
        <v/>
      </c>
      <c r="D54" s="160">
        <f>AU54</f>
        <v/>
      </c>
      <c r="E54" s="87">
        <f>IF(DoC=V54,"Calc Date",IF(V54&lt;DoC,"PL","FL"))</f>
        <v/>
      </c>
      <c r="F54" s="310">
        <f>F53+1</f>
        <v/>
      </c>
      <c r="G54" s="31">
        <f>VLOOKUP(F54,C$10:D$148,2)</f>
        <v/>
      </c>
      <c r="H54" s="313">
        <f>H53</f>
        <v/>
      </c>
      <c r="I54" s="281">
        <f>I53</f>
        <v/>
      </c>
      <c r="J54" s="589">
        <f>I54*index/VLOOKUP($H54,CPI!A:E,4,FALSE)</f>
        <v/>
      </c>
      <c r="K54" s="589">
        <f>IF(L54="Linear",(J54-J53)/(G54-G53),0)</f>
        <v/>
      </c>
      <c r="L54" s="311" t="inlineStr">
        <is>
          <t>Flat</t>
        </is>
      </c>
      <c r="M54" s="137" t="n"/>
      <c r="N54" s="310">
        <f>N53+1</f>
        <v/>
      </c>
      <c r="O54" s="31">
        <f>O53+N54-N53</f>
        <v/>
      </c>
      <c r="P54" s="313">
        <f>P53</f>
        <v/>
      </c>
      <c r="Q54" s="281">
        <f>Q53</f>
        <v/>
      </c>
      <c r="R54" s="589">
        <f>Q54*index/VLOOKUP($P54,CPI!A:E,4,FALSE)</f>
        <v/>
      </c>
      <c r="S54" s="589">
        <f>IF(T54="Linear",(R54-R53)/(O54-O53),0)</f>
        <v/>
      </c>
      <c r="T54" s="311" t="inlineStr">
        <is>
          <t>Flat</t>
        </is>
      </c>
      <c r="U54" s="144" t="n"/>
      <c r="V54" s="6">
        <f>IF(AND($V53=DoA,MONTH(V53)&lt;3),DATE(YEAR(DoA),3,1),IF(AND(IFERROR(DATEDIF(V53,DoC,"M"),12)&lt;12,IFERROR(DATEDIF(V53,DoC,"M"),12)&gt;0),DoC,DATE(YEAR(V53)+(1-AND(YEAR(DoC)=Current,V53=DoC)-AND(V53=DoA,MONTH(V53)&lt;3)),3,1)))</f>
        <v/>
      </c>
      <c r="W54" s="31">
        <f>IF(V54=DoR_Pre,IF(MONTH(DoR_Pre)&gt;3,YEAR(DoR_Pre)+1,YEAR(DoR_Pre)),IF(MONTH(V54)&gt;3,Current,YEAR(V54)))</f>
        <v/>
      </c>
      <c r="X54" s="597">
        <f>IF(W54=Current,ROUND((V54-V53)/365.25,5),_xlfn.IFNA(INDEX(Summary!$A$5:$A$22,MATCH('LOE Sc1'!W54,Summary!$C$5:$C$22,0)),IF(W54=Ret_Yr_pre,ROUND((DoR_Pre-V53)/365.25,5),ROUND((V54-V53)/365.25,2))))</f>
        <v/>
      </c>
      <c r="Y54" s="55">
        <f>IF(AND(V54=DoC,MONTH(DoC)&lt;&gt;3),ROUNDDOWN(DATEDIF(DoB,V55,"M")/12,),ROUNDDOWN(DATEDIF(DoB,V54,"M")/12,))</f>
        <v/>
      </c>
      <c r="Z54" s="590" t="n"/>
      <c r="AA54" s="25">
        <f>MAX(RetAge_Pre-Y54,0)</f>
        <v/>
      </c>
      <c r="AB54" s="26">
        <f t="array" ref="AB54">IF(W54&gt;Ret_Yr_pre,0,_xlfn.IFNA(VLOOKUP(Y54,F$11:J$1000,5,),IF(AND(W54=Current,V54&gt;DoC,MONTH(DoC)&lt;&gt;3),AB53,AB53+INDEX(K$11:K$1000,MATCH(Y54,F$11:F$1000,1)+1))))</f>
        <v/>
      </c>
      <c r="AC54" s="590">
        <f>IF(V54&lt;DoC,AB54*VLOOKUP(YEAR(V54),CPI!A:E,4,FALSE)/index,AB54*real_i^INT(BP54))</f>
        <v/>
      </c>
      <c r="AD54" s="590">
        <f>$AC54/12*Bonus</f>
        <v/>
      </c>
      <c r="AE54" s="590">
        <f>IF($E54="FL",MedSub*m^INT(BP54),MedSub)*IF(Summary!$C$31="Y",1,0)*(W54&lt;=Ret_Yr_pre)*(Summary!C$31="Y")</f>
        <v/>
      </c>
      <c r="AF54" s="590">
        <f>IF(Summary!$C$30="Y",IF(E54&lt;&gt;"PL",VLOOKUP(Current,'Housing Allowance'!$A:$B,2,),VLOOKUP(YEAR($V54),'Housing Allowance'!$A:$B,2,)),0)*(W54&lt;=Ret_Yr_pre)</f>
        <v/>
      </c>
      <c r="AG54" s="590">
        <f>AC54*overtime</f>
        <v/>
      </c>
      <c r="AH54" s="590">
        <f>AC54*allow_1</f>
        <v/>
      </c>
      <c r="AI54" s="590">
        <f>(AB54&lt;&gt;0)*12*allow_2</f>
        <v/>
      </c>
      <c r="AJ54" s="590" t="n"/>
      <c r="AK54" s="581">
        <f>IF(YEAR(W54)&lt;=Ret_Yr_pre,SUM(AC54:AJ54),0)*IF($W54=Ret_Yr_pre,X54,1)</f>
        <v/>
      </c>
      <c r="AL54" s="581">
        <f>IF($W54&gt;=Ret_Yr_pre,pens_Pre*(GEPF_pre="Y"),0)*IF($W54=Ret_Yr_pre,1-$X54,1)*IF(Ret_Yr_pre&lt;Current,(_xlfn.IFNA(VLOOKUP($D54,CPI!$A:$E,2,FALSE),VLOOKUP(Current,CPI!$A:$E,2,FALSE))/VLOOKUP(Ret_Yr_pre,CPI!$A:$E,2,FALSE)),1)</f>
        <v/>
      </c>
      <c r="AM54" s="590">
        <f>$AC54*ee*IF($W54=Ret_Yr_pre,$X54,1)</f>
        <v/>
      </c>
      <c r="AN54" s="590">
        <f>$AC54*er*IF($W54=Ret_Yr_pre,$X54,1)</f>
        <v/>
      </c>
      <c r="AO54" s="590">
        <f>IF('LOE Sc1'!$W54=Ret_Yr_pre,Gratuity_Pre*(GEPF_pre="Y"),0)</f>
        <v/>
      </c>
      <c r="AP54" s="581">
        <f>AK54+AL54-$AM54-AN54*(GEPF_pre="Y")</f>
        <v/>
      </c>
      <c r="AQ54" s="590">
        <f>IF(DF54&lt;0,0,DF54)</f>
        <v/>
      </c>
      <c r="AR54" s="581">
        <f>(AP54-AQ54+AM54*(AM$7="Y")+AN54*(AN$7="Y"))*IF(W54&lt;Ret_Yr_pre,X54,1)+AO54</f>
        <v/>
      </c>
      <c r="AS54" s="595" t="n"/>
      <c r="AT54" s="6">
        <f>V54</f>
        <v/>
      </c>
      <c r="AU54" s="31">
        <f>W54</f>
        <v/>
      </c>
      <c r="AV54" s="598">
        <f>IF(AU54=Current,ROUND((AT54-AT53)/365.25,5),_xlfn.IFNA(INDEX(Summary!$A$55:$A$72,MATCH('LOE Sc1'!AU54,Summary!$C$55:$C$72,0)),IF(AU54=Ret_Yr_post,ROUND((DoR_Post-AT53)/365.25,5),ROUND((AT54-AT53)/365.25,2))))</f>
        <v/>
      </c>
      <c r="AW54" s="55">
        <f>Y54</f>
        <v/>
      </c>
      <c r="AX54" s="26">
        <f t="array" ref="AX54">IF(AU54&gt;Ret_Yr_post,0,_xlfn.IFNA(VLOOKUP(AW54,N$11:S$1000,5,),IF(AND(AU54=Current,AT54&gt;DoC,MONTH(DoC)&lt;&gt;3),AX53,AX53+INDEX(S$11:S$1000,MATCH(AW54,N$11:N$1000,1)+1))))</f>
        <v/>
      </c>
      <c r="AY54" s="590">
        <f>IF($V54&lt;DoC,AX54*VLOOKUP(YEAR($V54),CPI_Table,4,FALSE)/index,AX54*real_i^INT(BP54))</f>
        <v/>
      </c>
      <c r="AZ54" s="590">
        <f>$AY54/12*Bonus_Post*($AW54&lt;=RetAge_Post)</f>
        <v/>
      </c>
      <c r="BA54" s="590">
        <f>IF($E54="FL",MedSub*m^INT(BP54),MedSub)*IF(Summary!$C$81="Y",1,0)*($AU54&lt;=Ret_Yr_post)*(Summary!$C$81="Y")</f>
        <v/>
      </c>
      <c r="BB54" s="590">
        <f>IF(Summary!$C$80="Y",IF($E54&lt;&gt;"PL",VLOOKUP(Current,'Housing Allowance'!$A:$B,2,),VLOOKUP(YEAR($AT54),'Housing Allowance'!$A:$B,2,)),0)*($AU54&lt;=Ret_Yr_post)</f>
        <v/>
      </c>
      <c r="BC54" s="590">
        <f>AY54*overtime_post</f>
        <v/>
      </c>
      <c r="BD54" s="590">
        <f>$AY54*allow_1_post</f>
        <v/>
      </c>
      <c r="BE54" s="590">
        <f>($AY54&lt;&gt;0)*allow_2_post*12</f>
        <v/>
      </c>
      <c r="BF54" s="590" t="n"/>
      <c r="BG54" s="581">
        <f>IF(YEAR($V54)&lt;=Ret_Yr_post,SUM(AY54:BF54),0)*IF($W54=Ret_Yr_post,AV54,1)</f>
        <v/>
      </c>
      <c r="BH54" s="581">
        <f>IF($W54&gt;=Ret_Yr_post,pens_Post*(GEPF_pre="Y"),0)*IF($W54=Ret_Yr_post,1-$AV54,1)*IF(Ret_Yr_post&lt;Current,(_xlfn.IFNA(VLOOKUP($D54,CPI!$A:$E,2,FALSE),VLOOKUP(Current,CPI!$A:$E,2,FALSE))/VLOOKUP(Ret_Yr_post,CPI!$A:$E,2,FALSE)),1)</f>
        <v/>
      </c>
      <c r="BI54" s="590">
        <f>$AY54*ee_post*IF($W54=Ret_Yr_post,$AV54,1)</f>
        <v/>
      </c>
      <c r="BJ54" s="590">
        <f>$AY54*er_post*IF($W54=Ret_Yr_post,$AV54,1)</f>
        <v/>
      </c>
      <c r="BK54" s="590">
        <f>IF('LOE Sc1'!$W54=Ret_Yr_post,Gratuity_Post*(GEPF_post="Y"),0)</f>
        <v/>
      </c>
      <c r="BL54" s="581">
        <f>BG54+BH54-BI54-BJ54*(GEPF_post="Y")</f>
        <v/>
      </c>
      <c r="BM54" s="590">
        <f>IF(DM54&lt;0,0,DM54)</f>
        <v/>
      </c>
      <c r="BN54" s="581">
        <f>(BL54-BM54+BI54*(BI$7="Y")+BJ54*(BJ$7="Y"))*IF($W54&lt;Ret_Yr_post,AV54,1)+BK54</f>
        <v/>
      </c>
      <c r="BO54" s="591" t="n"/>
      <c r="BP54" s="592">
        <f>IF($E54="FL",IF($X54&lt;=DoC,DATEDIF(DoC,$V54,"M")/12,0),0)</f>
        <v/>
      </c>
      <c r="BQ54" s="592">
        <f>IF($E54="FL",(1+CPI)^INT(BP54),0)</f>
        <v/>
      </c>
      <c r="BR54" s="592">
        <f>IF($E54="FL",IF(($BP54-0.5)&gt;=0,1/(1+d)^($BP54-0.5),1/(1+d)^($BP54)),0)</f>
        <v/>
      </c>
      <c r="BS54" s="592" t="n"/>
      <c r="BT54" s="25">
        <f>IF(gender="M",VLOOKUP($Y54+pre_mort+IF(MONTH(DoC)&lt;MONTH(DoB),IF(MONTH(DoC)&lt;3,0,-1),IF(MONTH(DoB)&lt;3,-1,0)),'SALT LIFE TABLES'!$A$7:$E$106,2),VLOOKUP($Y54+pre_mort+IF(MONTH(DoC)&lt;MONTH(DoB),IF(MONTH(DoC)&lt;3,0,-1),IF(MONTH(DoB)&lt;3,-1,0)),'SALT LIFE TABLES'!$A$7:$E$106,4))</f>
        <v/>
      </c>
      <c r="BU54" s="592">
        <f>IF($E54="PL",1,BT54/BU$7)</f>
        <v/>
      </c>
      <c r="BV54" s="593" t="n"/>
      <c r="BW54" s="25">
        <f>IF(gender="M",VLOOKUP($Y54+post_mort+IF(MONTH(DoC)&lt;MONTH(DoB),IF(MONTH(DoC)&lt;3,0,-1),IF(MONTH(DoB)&lt;3,-1,0)),'SALT LIFE TABLES'!$A$7:$E$106,2),VLOOKUP($Y54+post_mort+IF(MONTH(DoC)&lt;MONTH(DoB),IF(MONTH(DoC)&lt;3,0,-1),IF(MONTH(DoB)&lt;3,-1,0)),'SALT LIFE TABLES'!$A$7:$E$106,4))</f>
        <v/>
      </c>
      <c r="BX54" s="592">
        <f>IF($E54="PL",1,BW54/BX$7)</f>
        <v/>
      </c>
      <c r="BY54" s="594" t="n"/>
      <c r="BZ54" s="592" t="n"/>
      <c r="CA54" s="592">
        <f>IF($E54="FL",$AR54*$BQ54*$BR54*$BU54,$AR54)</f>
        <v/>
      </c>
      <c r="CB54" s="592">
        <f>IF($E54="FL",$BN54*$BQ54*$BR54*$BX54,$BN54)</f>
        <v/>
      </c>
      <c r="CC54" s="592" t="n"/>
      <c r="CD54" s="592">
        <f>IF($E54="FL",$CA54*(1-pre_FL),$CA54*(1-pre_PL))</f>
        <v/>
      </c>
      <c r="CE54" s="592">
        <f>IF($E54="FL",$CB54*(1-post_FL),$CB54*(1-post_PL))</f>
        <v/>
      </c>
      <c r="CF54" s="592" t="n"/>
      <c r="CG54" s="599">
        <f>CD54-CE54</f>
        <v/>
      </c>
      <c r="CH54" s="599">
        <f>MIN(CG54,IF(W54=Ret_Yr_pre,1,$X54)*Cap)</f>
        <v/>
      </c>
      <c r="CI54" s="128" t="n"/>
      <c r="CJ54" s="37">
        <f>IF(D54&gt;Current,Current,D54)</f>
        <v/>
      </c>
      <c r="CK54" s="37">
        <f>MATCH($CJ54,Tax_Tables[Tax Year],0)</f>
        <v/>
      </c>
      <c r="CL54" s="600" t="n">
        <v>0</v>
      </c>
      <c r="CM54" s="600">
        <f t="array" ref="CM54">INDEX(Tax_Tables[[Limits]:[Limits]],$CK54+CM$8)</f>
        <v/>
      </c>
      <c r="CN54" s="600">
        <f t="array" ref="CN54">INDEX(Tax_Tables[[Limits]:[Limits]],$CK54+CN$8)</f>
        <v/>
      </c>
      <c r="CO54" s="600">
        <f t="array" ref="CO54">INDEX(Tax_Tables[[Limits]:[Limits]],$CK54+CO$8)</f>
        <v/>
      </c>
      <c r="CP54" s="600">
        <f t="array" ref="CP54">INDEX(Tax_Tables[[Limits]:[Limits]],$CK54+CP$8)</f>
        <v/>
      </c>
      <c r="CQ54" s="600">
        <f t="array" ref="CQ54">INDEX(Tax_Tables[[Limits]:[Limits]],$CK54+CQ$8)</f>
        <v/>
      </c>
      <c r="CR54" s="600">
        <f t="array" ref="CR54">INDEX(Tax_Tables[[Limits]:[Limits]],$CK54+CR$8)</f>
        <v/>
      </c>
      <c r="CS54" s="37">
        <f>INDEX(Rebate[&lt;65],MATCH($CJ54,Rebate[[Tax Year]:[Tax Year]],0))</f>
        <v/>
      </c>
      <c r="CT54" s="37">
        <f>INDEX(Rebate[&lt;75],MATCH($CJ54,Rebate[[Tax Year]:[Tax Year]],0))</f>
        <v/>
      </c>
      <c r="CU54" s="37">
        <f>INDEX(Rebate[&gt;75],MATCH($CJ54,Rebate[[Tax Year]:[Tax Year]],0))</f>
        <v/>
      </c>
      <c r="CV54" s="37">
        <f>INDEX(Tax_Credit[Principal],MATCH($CJ54,Tax_Credit[[Tax Year]:[Tax Year]],0))</f>
        <v/>
      </c>
      <c r="CW54" s="37">
        <f>INDEX(Tax_Credit[First Dependant],MATCH($CJ54,Tax_Credit[[Tax Year]:[Tax Year]],0))</f>
        <v/>
      </c>
      <c r="CX54" s="37">
        <f>INDEX(Tax_Credit[Each Additional],MATCH($CJ54,Tax_Credit[[Tax Year]:[Tax Year]],0))</f>
        <v/>
      </c>
      <c r="CY54" s="484">
        <f>Y54</f>
        <v/>
      </c>
      <c r="CZ54" s="601">
        <f>AP54</f>
        <v/>
      </c>
      <c r="DA54" s="37">
        <f t="array" ref="DA54">INDEX($CL54:$CR54,0,MATCH($CZ54,$CL54:$CR54,1))</f>
        <v/>
      </c>
      <c r="DB54" s="37">
        <f t="array" ref="DB54">IFERROR(INDEX(Tax_Tables[Percentages],$CK54+MATCH($DA54,$CL54:$CR54,0)-1),"")</f>
        <v/>
      </c>
      <c r="DC54" s="37">
        <f t="array" ref="DC54">IFERROR(INDEX(Tax_Tables[Tax],$CK54+MATCH($DA54,$CL54:$CR54,0)-1),"")</f>
        <v/>
      </c>
      <c r="DD54" s="37">
        <f>IF(CY54&lt;65,CS54,IF(CY54&lt;75,CT54,CU54))</f>
        <v/>
      </c>
      <c r="DE54" s="37">
        <f>CV54*(Summary!$C$31="Y")+(Summary!$C$31="Y")*(CW54*(Pre_MDep&gt;=1)+CX54*MAX(Pre_MDep-1,0))</f>
        <v/>
      </c>
      <c r="DF54" s="599">
        <f>IFERROR(MAX(DB54*(CZ54-DA54)+DC54-DD54-DE54*12,0),"")</f>
        <v/>
      </c>
      <c r="DG54" s="602" t="n"/>
      <c r="DH54" s="601">
        <f>BL54</f>
        <v/>
      </c>
      <c r="DI54" s="37">
        <f t="array" ref="DI54">INDEX($CL54:$CR54,0,MATCH($DH54,$CL54:$CR54,1))</f>
        <v/>
      </c>
      <c r="DJ54" s="37">
        <f t="array" ref="DJ54">IFERROR(INDEX(Tax_Tables[Percentages],$CK54+MATCH($DI54,$CL54:$CR54,0)-1),"")</f>
        <v/>
      </c>
      <c r="DK54" s="37">
        <f t="array" ref="DK54">IFERROR(INDEX(Tax_Tables[Tax],$CK54+MATCH($DI54,$CL54:$CR54,0)-1),"")</f>
        <v/>
      </c>
      <c r="DL54" s="37">
        <f>CV54*(Summary!$C$81="Y")+(Summary!$C$81="Y")*(CW54*(Post_MDep&gt;=1)+CX54*MAX(Post_MDep-1,0))</f>
        <v/>
      </c>
      <c r="DM54" s="599">
        <f>IFERROR(MAX(DJ54*(DH54-DI54)+DK54-DD54-DL54*12,0),"")</f>
        <v/>
      </c>
      <c r="DN54" s="601" t="n"/>
      <c r="DO54" s="37" t="n"/>
      <c r="DP54" s="37" t="n"/>
      <c r="DQ54" s="37" t="n"/>
      <c r="DR54" s="37" t="n"/>
      <c r="DS54" s="37" t="n"/>
      <c r="DT54" s="37" t="n"/>
      <c r="DU54" s="37" t="n"/>
      <c r="DV54" s="37" t="n"/>
      <c r="DW54" s="37" t="n"/>
      <c r="DX54" s="599" t="n"/>
      <c r="DY54" s="131" t="n"/>
      <c r="DZ54" s="601" t="n"/>
      <c r="EA54" s="37" t="n"/>
      <c r="EB54" s="37" t="n"/>
      <c r="EC54" s="37" t="n"/>
      <c r="ED54" s="599" t="n"/>
      <c r="EE54" s="595" t="n"/>
      <c r="EF54" s="25" t="n"/>
    </row>
    <row r="55">
      <c r="C55" s="596">
        <f>C54+D55-D54</f>
        <v/>
      </c>
      <c r="D55" s="160">
        <f>AU55</f>
        <v/>
      </c>
      <c r="E55" s="87">
        <f>IF(DoC=V55,"Calc Date",IF(V55&lt;DoC,"PL","FL"))</f>
        <v/>
      </c>
      <c r="F55" s="310">
        <f>F54+1</f>
        <v/>
      </c>
      <c r="G55" s="31">
        <f>VLOOKUP(F55,C$10:D$148,2)</f>
        <v/>
      </c>
      <c r="H55" s="313">
        <f>H54</f>
        <v/>
      </c>
      <c r="I55" s="281">
        <f>I54</f>
        <v/>
      </c>
      <c r="J55" s="589">
        <f>I55*index/VLOOKUP($H55,CPI!A:E,4,FALSE)</f>
        <v/>
      </c>
      <c r="K55" s="589">
        <f>IF(L55="Linear",(J55-J54)/(G55-G54),0)</f>
        <v/>
      </c>
      <c r="L55" s="311" t="inlineStr">
        <is>
          <t>Flat</t>
        </is>
      </c>
      <c r="M55" s="137" t="n"/>
      <c r="N55" s="310">
        <f>N54+1</f>
        <v/>
      </c>
      <c r="O55" s="31">
        <f>O54+N55-N54</f>
        <v/>
      </c>
      <c r="P55" s="313">
        <f>P54</f>
        <v/>
      </c>
      <c r="Q55" s="281">
        <f>Q54</f>
        <v/>
      </c>
      <c r="R55" s="589">
        <f>Q55*index/VLOOKUP($P55,CPI!A:E,4,FALSE)</f>
        <v/>
      </c>
      <c r="S55" s="589">
        <f>IF(T55="Linear",(R55-R54)/(O55-O54),0)</f>
        <v/>
      </c>
      <c r="T55" s="311" t="inlineStr">
        <is>
          <t>Flat</t>
        </is>
      </c>
      <c r="U55" s="144" t="n"/>
      <c r="V55" s="6">
        <f>IF(AND($V54=DoA,MONTH(V54)&lt;3),DATE(YEAR(DoA),3,1),IF(AND(IFERROR(DATEDIF(V54,DoC,"M"),12)&lt;12,IFERROR(DATEDIF(V54,DoC,"M"),12)&gt;0),DoC,DATE(YEAR(V54)+(1-AND(YEAR(DoC)=Current,V54=DoC)-AND(V54=DoA,MONTH(V54)&lt;3)),3,1)))</f>
        <v/>
      </c>
      <c r="W55" s="31">
        <f>IF(V55=DoR_Pre,IF(MONTH(DoR_Pre)&gt;3,YEAR(DoR_Pre)+1,YEAR(DoR_Pre)),IF(MONTH(V55)&gt;3,Current,YEAR(V55)))</f>
        <v/>
      </c>
      <c r="X55" s="597">
        <f>IF(W55=Current,ROUND((V55-V54)/365.25,5),_xlfn.IFNA(INDEX(Summary!$A$5:$A$22,MATCH('LOE Sc1'!W55,Summary!$C$5:$C$22,0)),IF(W55=Ret_Yr_pre,ROUND((DoR_Pre-V54)/365.25,5),ROUND((V55-V54)/365.25,2))))</f>
        <v/>
      </c>
      <c r="Y55" s="55">
        <f>IF(AND(V55=DoC,MONTH(DoC)&lt;&gt;3),ROUNDDOWN(DATEDIF(DoB,V56,"M")/12,),ROUNDDOWN(DATEDIF(DoB,V55,"M")/12,))</f>
        <v/>
      </c>
      <c r="Z55" s="590" t="n"/>
      <c r="AA55" s="25">
        <f>MAX(RetAge_Pre-Y55,0)</f>
        <v/>
      </c>
      <c r="AB55" s="26">
        <f t="array" ref="AB55">IF(W55&gt;Ret_Yr_pre,0,_xlfn.IFNA(VLOOKUP(Y55,F$11:J$1000,5,),IF(AND(W55=Current,V55&gt;DoC,MONTH(DoC)&lt;&gt;3),AB54,AB54+INDEX(K$11:K$1000,MATCH(Y55,F$11:F$1000,1)+1))))</f>
        <v/>
      </c>
      <c r="AC55" s="590">
        <f>IF(V55&lt;DoC,AB55*VLOOKUP(YEAR(V55),CPI!A:E,4,FALSE)/index,AB55*real_i^INT(BP55))</f>
        <v/>
      </c>
      <c r="AD55" s="590">
        <f>$AC55/12*Bonus</f>
        <v/>
      </c>
      <c r="AE55" s="590">
        <f>IF($E55="FL",MedSub*m^INT(BP55),MedSub)*IF(Summary!$C$31="Y",1,0)*(W55&lt;=Ret_Yr_pre)*(Summary!C$31="Y")</f>
        <v/>
      </c>
      <c r="AF55" s="590">
        <f>IF(Summary!$C$30="Y",IF(E55&lt;&gt;"PL",VLOOKUP(Current,'Housing Allowance'!$A:$B,2,),VLOOKUP(YEAR($V55),'Housing Allowance'!$A:$B,2,)),0)*(W55&lt;=Ret_Yr_pre)</f>
        <v/>
      </c>
      <c r="AG55" s="590">
        <f>AC55*overtime</f>
        <v/>
      </c>
      <c r="AH55" s="590">
        <f>AC55*allow_1</f>
        <v/>
      </c>
      <c r="AI55" s="590">
        <f>(AB55&lt;&gt;0)*12*allow_2</f>
        <v/>
      </c>
      <c r="AJ55" s="590" t="n"/>
      <c r="AK55" s="581">
        <f>IF(YEAR(W55)&lt;=Ret_Yr_pre,SUM(AC55:AJ55),0)*IF($W55=Ret_Yr_pre,X55,1)</f>
        <v/>
      </c>
      <c r="AL55" s="581">
        <f>IF($W55&gt;=Ret_Yr_pre,pens_Pre*(GEPF_pre="Y"),0)*IF($W55=Ret_Yr_pre,1-$X55,1)*IF(Ret_Yr_pre&lt;Current,(_xlfn.IFNA(VLOOKUP($D55,CPI!$A:$E,2,FALSE),VLOOKUP(Current,CPI!$A:$E,2,FALSE))/VLOOKUP(Ret_Yr_pre,CPI!$A:$E,2,FALSE)),1)</f>
        <v/>
      </c>
      <c r="AM55" s="590">
        <f>$AC55*ee*IF($W55=Ret_Yr_pre,$X55,1)</f>
        <v/>
      </c>
      <c r="AN55" s="590">
        <f>$AC55*er*IF($W55=Ret_Yr_pre,$X55,1)</f>
        <v/>
      </c>
      <c r="AO55" s="590">
        <f>IF('LOE Sc1'!$W55=Ret_Yr_pre,Gratuity_Pre*(GEPF_pre="Y"),0)</f>
        <v/>
      </c>
      <c r="AP55" s="581">
        <f>AK55+AL55-$AM55-AN55*(GEPF_pre="Y")</f>
        <v/>
      </c>
      <c r="AQ55" s="590">
        <f>IF(DF55&lt;0,0,DF55)</f>
        <v/>
      </c>
      <c r="AR55" s="581">
        <f>(AP55-AQ55+AM55*(AM$7="Y")+AN55*(AN$7="Y"))*IF(W55&lt;Ret_Yr_pre,X55,1)+AO55</f>
        <v/>
      </c>
      <c r="AS55" s="595" t="n"/>
      <c r="AT55" s="6">
        <f>V55</f>
        <v/>
      </c>
      <c r="AU55" s="31">
        <f>W55</f>
        <v/>
      </c>
      <c r="AV55" s="598">
        <f>IF(AU55=Current,ROUND((AT55-AT54)/365.25,5),_xlfn.IFNA(INDEX(Summary!$A$55:$A$72,MATCH('LOE Sc1'!AU55,Summary!$C$55:$C$72,0)),IF(AU55=Ret_Yr_post,ROUND((DoR_Post-AT54)/365.25,5),ROUND((AT55-AT54)/365.25,2))))</f>
        <v/>
      </c>
      <c r="AW55" s="55">
        <f>Y55</f>
        <v/>
      </c>
      <c r="AX55" s="26">
        <f t="array" ref="AX55">IF(AU55&gt;Ret_Yr_post,0,_xlfn.IFNA(VLOOKUP(AW55,N$11:S$1000,5,),IF(AND(AU55=Current,AT55&gt;DoC,MONTH(DoC)&lt;&gt;3),AX54,AX54+INDEX(S$11:S$1000,MATCH(AW55,N$11:N$1000,1)+1))))</f>
        <v/>
      </c>
      <c r="AY55" s="590">
        <f>IF($V55&lt;DoC,AX55*VLOOKUP(YEAR($V55),CPI_Table,4,FALSE)/index,AX55*real_i^INT(BP55))</f>
        <v/>
      </c>
      <c r="AZ55" s="590">
        <f>$AY55/12*Bonus_Post*($AW55&lt;=RetAge_Post)</f>
        <v/>
      </c>
      <c r="BA55" s="590">
        <f>IF($E55="FL",MedSub*m^INT(BP55),MedSub)*IF(Summary!$C$81="Y",1,0)*($AU55&lt;=Ret_Yr_post)*(Summary!$C$81="Y")</f>
        <v/>
      </c>
      <c r="BB55" s="590">
        <f>IF(Summary!$C$80="Y",IF($E55&lt;&gt;"PL",VLOOKUP(Current,'Housing Allowance'!$A:$B,2,),VLOOKUP(YEAR($AT55),'Housing Allowance'!$A:$B,2,)),0)*($AU55&lt;=Ret_Yr_post)</f>
        <v/>
      </c>
      <c r="BC55" s="590">
        <f>AY55*overtime_post</f>
        <v/>
      </c>
      <c r="BD55" s="590">
        <f>$AY55*allow_1_post</f>
        <v/>
      </c>
      <c r="BE55" s="590">
        <f>($AY55&lt;&gt;0)*allow_2_post*12</f>
        <v/>
      </c>
      <c r="BF55" s="590" t="n"/>
      <c r="BG55" s="581">
        <f>IF(YEAR($V55)&lt;=Ret_Yr_post,SUM(AY55:BF55),0)*IF($W55=Ret_Yr_post,AV55,1)</f>
        <v/>
      </c>
      <c r="BH55" s="581">
        <f>IF($W55&gt;=Ret_Yr_post,pens_Post*(GEPF_pre="Y"),0)*IF($W55=Ret_Yr_post,1-$AV55,1)*IF(Ret_Yr_post&lt;Current,(_xlfn.IFNA(VLOOKUP($D55,CPI!$A:$E,2,FALSE),VLOOKUP(Current,CPI!$A:$E,2,FALSE))/VLOOKUP(Ret_Yr_post,CPI!$A:$E,2,FALSE)),1)</f>
        <v/>
      </c>
      <c r="BI55" s="590">
        <f>$AY55*ee_post*IF($W55=Ret_Yr_post,$AV55,1)</f>
        <v/>
      </c>
      <c r="BJ55" s="590">
        <f>$AY55*er_post*IF($W55=Ret_Yr_post,$AV55,1)</f>
        <v/>
      </c>
      <c r="BK55" s="590">
        <f>IF('LOE Sc1'!$W55=Ret_Yr_post,Gratuity_Post*(GEPF_post="Y"),0)</f>
        <v/>
      </c>
      <c r="BL55" s="581">
        <f>BG55+BH55-BI55-BJ55*(GEPF_post="Y")</f>
        <v/>
      </c>
      <c r="BM55" s="590">
        <f>IF(DM55&lt;0,0,DM55)</f>
        <v/>
      </c>
      <c r="BN55" s="581">
        <f>(BL55-BM55+BI55*(BI$7="Y")+BJ55*(BJ$7="Y"))*IF($W55&lt;Ret_Yr_post,AV55,1)+BK55</f>
        <v/>
      </c>
      <c r="BO55" s="591" t="n"/>
      <c r="BP55" s="592">
        <f>IF($E55="FL",IF($X55&lt;=DoC,DATEDIF(DoC,$V55,"M")/12,0),0)</f>
        <v/>
      </c>
      <c r="BQ55" s="592">
        <f>IF($E55="FL",(1+CPI)^INT(BP55),0)</f>
        <v/>
      </c>
      <c r="BR55" s="592">
        <f>IF($E55="FL",IF(($BP55-0.5)&gt;=0,1/(1+d)^($BP55-0.5),1/(1+d)^($BP55)),0)</f>
        <v/>
      </c>
      <c r="BS55" s="592" t="n"/>
      <c r="BT55" s="25">
        <f>IF(gender="M",VLOOKUP($Y55+pre_mort+IF(MONTH(DoC)&lt;MONTH(DoB),IF(MONTH(DoC)&lt;3,0,-1),IF(MONTH(DoB)&lt;3,-1,0)),'SALT LIFE TABLES'!$A$7:$E$106,2),VLOOKUP($Y55+pre_mort+IF(MONTH(DoC)&lt;MONTH(DoB),IF(MONTH(DoC)&lt;3,0,-1),IF(MONTH(DoB)&lt;3,-1,0)),'SALT LIFE TABLES'!$A$7:$E$106,4))</f>
        <v/>
      </c>
      <c r="BU55" s="592">
        <f>IF($E55="PL",1,BT55/BU$7)</f>
        <v/>
      </c>
      <c r="BV55" s="593" t="n"/>
      <c r="BW55" s="25">
        <f>IF(gender="M",VLOOKUP($Y55+post_mort+IF(MONTH(DoC)&lt;MONTH(DoB),IF(MONTH(DoC)&lt;3,0,-1),IF(MONTH(DoB)&lt;3,-1,0)),'SALT LIFE TABLES'!$A$7:$E$106,2),VLOOKUP($Y55+post_mort+IF(MONTH(DoC)&lt;MONTH(DoB),IF(MONTH(DoC)&lt;3,0,-1),IF(MONTH(DoB)&lt;3,-1,0)),'SALT LIFE TABLES'!$A$7:$E$106,4))</f>
        <v/>
      </c>
      <c r="BX55" s="592">
        <f>IF($E55="PL",1,BW55/BX$7)</f>
        <v/>
      </c>
      <c r="BY55" s="594" t="n"/>
      <c r="BZ55" s="592" t="n"/>
      <c r="CA55" s="592">
        <f>IF($E55="FL",$AR55*$BQ55*$BR55*$BU55,$AR55)</f>
        <v/>
      </c>
      <c r="CB55" s="592">
        <f>IF($E55="FL",$BN55*$BQ55*$BR55*$BX55,$BN55)</f>
        <v/>
      </c>
      <c r="CC55" s="592" t="n"/>
      <c r="CD55" s="592">
        <f>IF($E55="FL",$CA55*(1-pre_FL),$CA55*(1-pre_PL))</f>
        <v/>
      </c>
      <c r="CE55" s="592">
        <f>IF($E55="FL",$CB55*(1-post_FL),$CB55*(1-post_PL))</f>
        <v/>
      </c>
      <c r="CF55" s="592" t="n"/>
      <c r="CG55" s="599">
        <f>CD55-CE55</f>
        <v/>
      </c>
      <c r="CH55" s="599">
        <f>MIN(CG55,IF(W55=Ret_Yr_pre,1,$X55)*Cap)</f>
        <v/>
      </c>
      <c r="CI55" s="128" t="n"/>
      <c r="CJ55" s="37">
        <f>IF(D55&gt;Current,Current,D55)</f>
        <v/>
      </c>
      <c r="CK55" s="37">
        <f>MATCH($CJ55,Tax_Tables[Tax Year],0)</f>
        <v/>
      </c>
      <c r="CL55" s="600" t="n">
        <v>0</v>
      </c>
      <c r="CM55" s="600">
        <f t="array" ref="CM55">INDEX(Tax_Tables[[Limits]:[Limits]],$CK55+CM$8)</f>
        <v/>
      </c>
      <c r="CN55" s="600">
        <f t="array" ref="CN55">INDEX(Tax_Tables[[Limits]:[Limits]],$CK55+CN$8)</f>
        <v/>
      </c>
      <c r="CO55" s="600">
        <f t="array" ref="CO55">INDEX(Tax_Tables[[Limits]:[Limits]],$CK55+CO$8)</f>
        <v/>
      </c>
      <c r="CP55" s="600">
        <f t="array" ref="CP55">INDEX(Tax_Tables[[Limits]:[Limits]],$CK55+CP$8)</f>
        <v/>
      </c>
      <c r="CQ55" s="600">
        <f t="array" ref="CQ55">INDEX(Tax_Tables[[Limits]:[Limits]],$CK55+CQ$8)</f>
        <v/>
      </c>
      <c r="CR55" s="600">
        <f t="array" ref="CR55">INDEX(Tax_Tables[[Limits]:[Limits]],$CK55+CR$8)</f>
        <v/>
      </c>
      <c r="CS55" s="37">
        <f>INDEX(Rebate[&lt;65],MATCH($CJ55,Rebate[[Tax Year]:[Tax Year]],0))</f>
        <v/>
      </c>
      <c r="CT55" s="37">
        <f>INDEX(Rebate[&lt;75],MATCH($CJ55,Rebate[[Tax Year]:[Tax Year]],0))</f>
        <v/>
      </c>
      <c r="CU55" s="37">
        <f>INDEX(Rebate[&gt;75],MATCH($CJ55,Rebate[[Tax Year]:[Tax Year]],0))</f>
        <v/>
      </c>
      <c r="CV55" s="37">
        <f>INDEX(Tax_Credit[Principal],MATCH($CJ55,Tax_Credit[[Tax Year]:[Tax Year]],0))</f>
        <v/>
      </c>
      <c r="CW55" s="37">
        <f>INDEX(Tax_Credit[First Dependant],MATCH($CJ55,Tax_Credit[[Tax Year]:[Tax Year]],0))</f>
        <v/>
      </c>
      <c r="CX55" s="37">
        <f>INDEX(Tax_Credit[Each Additional],MATCH($CJ55,Tax_Credit[[Tax Year]:[Tax Year]],0))</f>
        <v/>
      </c>
      <c r="CY55" s="484">
        <f>Y55</f>
        <v/>
      </c>
      <c r="CZ55" s="601">
        <f>AP55</f>
        <v/>
      </c>
      <c r="DA55" s="37">
        <f t="array" ref="DA55">INDEX($CL55:$CR55,0,MATCH($CZ55,$CL55:$CR55,1))</f>
        <v/>
      </c>
      <c r="DB55" s="37">
        <f t="array" ref="DB55">IFERROR(INDEX(Tax_Tables[Percentages],$CK55+MATCH($DA55,$CL55:$CR55,0)-1),"")</f>
        <v/>
      </c>
      <c r="DC55" s="37">
        <f t="array" ref="DC55">IFERROR(INDEX(Tax_Tables[Tax],$CK55+MATCH($DA55,$CL55:$CR55,0)-1),"")</f>
        <v/>
      </c>
      <c r="DD55" s="37">
        <f>IF(CY55&lt;65,CS55,IF(CY55&lt;75,CT55,CU55))</f>
        <v/>
      </c>
      <c r="DE55" s="37">
        <f>CV55*(Summary!$C$31="Y")+(Summary!$C$31="Y")*(CW55*(Pre_MDep&gt;=1)+CX55*MAX(Pre_MDep-1,0))</f>
        <v/>
      </c>
      <c r="DF55" s="599">
        <f>IFERROR(MAX(DB55*(CZ55-DA55)+DC55-DD55-DE55*12,0),"")</f>
        <v/>
      </c>
      <c r="DG55" s="602" t="n"/>
      <c r="DH55" s="601">
        <f>BL55</f>
        <v/>
      </c>
      <c r="DI55" s="37">
        <f t="array" ref="DI55">INDEX($CL55:$CR55,0,MATCH($DH55,$CL55:$CR55,1))</f>
        <v/>
      </c>
      <c r="DJ55" s="37">
        <f t="array" ref="DJ55">IFERROR(INDEX(Tax_Tables[Percentages],$CK55+MATCH($DI55,$CL55:$CR55,0)-1),"")</f>
        <v/>
      </c>
      <c r="DK55" s="37">
        <f t="array" ref="DK55">IFERROR(INDEX(Tax_Tables[Tax],$CK55+MATCH($DI55,$CL55:$CR55,0)-1),"")</f>
        <v/>
      </c>
      <c r="DL55" s="37">
        <f>CV55*(Summary!$C$81="Y")+(Summary!$C$81="Y")*(CW55*(Post_MDep&gt;=1)+CX55*MAX(Post_MDep-1,0))</f>
        <v/>
      </c>
      <c r="DM55" s="599">
        <f>IFERROR(MAX(DJ55*(DH55-DI55)+DK55-DD55-DL55*12,0),"")</f>
        <v/>
      </c>
      <c r="DN55" s="601" t="n"/>
      <c r="DO55" s="37" t="n"/>
      <c r="DP55" s="37" t="n"/>
      <c r="DQ55" s="37" t="n"/>
      <c r="DR55" s="37" t="n"/>
      <c r="DS55" s="37" t="n"/>
      <c r="DT55" s="37" t="n"/>
      <c r="DU55" s="37" t="n"/>
      <c r="DV55" s="37" t="n"/>
      <c r="DW55" s="37" t="n"/>
      <c r="DX55" s="599" t="n"/>
      <c r="DY55" s="131" t="n"/>
      <c r="DZ55" s="601" t="n"/>
      <c r="EA55" s="37" t="n"/>
      <c r="EB55" s="37" t="n"/>
      <c r="EC55" s="37" t="n"/>
      <c r="ED55" s="599" t="n"/>
      <c r="EE55" s="595" t="n"/>
      <c r="EF55" s="25" t="n"/>
    </row>
    <row r="56">
      <c r="C56" s="596">
        <f>C55+D56-D55</f>
        <v/>
      </c>
      <c r="D56" s="160">
        <f>AU56</f>
        <v/>
      </c>
      <c r="E56" s="87">
        <f>IF(DoC=V56,"Calc Date",IF(V56&lt;DoC,"PL","FL"))</f>
        <v/>
      </c>
      <c r="F56" s="310">
        <f>F55+1</f>
        <v/>
      </c>
      <c r="G56" s="31">
        <f>VLOOKUP(F56,C$10:D$148,2)</f>
        <v/>
      </c>
      <c r="H56" s="313">
        <f>H55</f>
        <v/>
      </c>
      <c r="I56" s="281">
        <f>I55</f>
        <v/>
      </c>
      <c r="J56" s="589">
        <f>I56*index/VLOOKUP($H56,CPI!A:E,4,FALSE)</f>
        <v/>
      </c>
      <c r="K56" s="589">
        <f>IF(L56="Linear",(J56-J55)/(G56-G55),0)</f>
        <v/>
      </c>
      <c r="L56" s="311" t="inlineStr">
        <is>
          <t>Flat</t>
        </is>
      </c>
      <c r="M56" s="137" t="n"/>
      <c r="N56" s="310">
        <f>N55+1</f>
        <v/>
      </c>
      <c r="O56" s="31">
        <f>O55+N56-N55</f>
        <v/>
      </c>
      <c r="P56" s="313">
        <f>P55</f>
        <v/>
      </c>
      <c r="Q56" s="281">
        <f>Q55</f>
        <v/>
      </c>
      <c r="R56" s="589">
        <f>Q56*index/VLOOKUP($P56,CPI!A:E,4,FALSE)</f>
        <v/>
      </c>
      <c r="S56" s="589">
        <f>IF(T56="Linear",(R56-R55)/(O56-O55),0)</f>
        <v/>
      </c>
      <c r="T56" s="311" t="inlineStr">
        <is>
          <t>Flat</t>
        </is>
      </c>
      <c r="U56" s="144" t="n"/>
      <c r="V56" s="6">
        <f>IF(AND($V55=DoA,MONTH(V55)&lt;3),DATE(YEAR(DoA),3,1),IF(AND(IFERROR(DATEDIF(V55,DoC,"M"),12)&lt;12,IFERROR(DATEDIF(V55,DoC,"M"),12)&gt;0),DoC,DATE(YEAR(V55)+(1-AND(YEAR(DoC)=Current,V55=DoC)-AND(V55=DoA,MONTH(V55)&lt;3)),3,1)))</f>
        <v/>
      </c>
      <c r="W56" s="31">
        <f>IF(V56=DoR_Pre,IF(MONTH(DoR_Pre)&gt;3,YEAR(DoR_Pre)+1,YEAR(DoR_Pre)),IF(MONTH(V56)&gt;3,Current,YEAR(V56)))</f>
        <v/>
      </c>
      <c r="X56" s="597">
        <f>IF(W56=Current,ROUND((V56-V55)/365.25,5),_xlfn.IFNA(INDEX(Summary!$A$5:$A$22,MATCH('LOE Sc1'!W56,Summary!$C$5:$C$22,0)),IF(W56=Ret_Yr_pre,ROUND((DoR_Pre-V55)/365.25,5),ROUND((V56-V55)/365.25,2))))</f>
        <v/>
      </c>
      <c r="Y56" s="55">
        <f>IF(AND(V56=DoC,MONTH(DoC)&lt;&gt;3),ROUNDDOWN(DATEDIF(DoB,V57,"M")/12,),ROUNDDOWN(DATEDIF(DoB,V56,"M")/12,))</f>
        <v/>
      </c>
      <c r="Z56" s="590" t="n"/>
      <c r="AA56" s="25">
        <f>MAX(RetAge_Pre-Y56,0)</f>
        <v/>
      </c>
      <c r="AB56" s="26">
        <f t="array" ref="AB56">IF(W56&gt;Ret_Yr_pre,0,_xlfn.IFNA(VLOOKUP(Y56,F$11:J$1000,5,),IF(AND(W56=Current,V56&gt;DoC,MONTH(DoC)&lt;&gt;3),AB55,AB55+INDEX(K$11:K$1000,MATCH(Y56,F$11:F$1000,1)+1))))</f>
        <v/>
      </c>
      <c r="AC56" s="590">
        <f>IF(V56&lt;DoC,AB56*VLOOKUP(YEAR(V56),CPI!A:E,4,FALSE)/index,AB56*real_i^INT(BP56))</f>
        <v/>
      </c>
      <c r="AD56" s="590">
        <f>$AC56/12*Bonus</f>
        <v/>
      </c>
      <c r="AE56" s="590">
        <f>IF($E56="FL",MedSub*m^INT(BP56),MedSub)*IF(Summary!$C$31="Y",1,0)*(W56&lt;=Ret_Yr_pre)*(Summary!C$31="Y")</f>
        <v/>
      </c>
      <c r="AF56" s="590">
        <f>IF(Summary!$C$30="Y",IF(E56&lt;&gt;"PL",VLOOKUP(Current,'Housing Allowance'!$A:$B,2,),VLOOKUP(YEAR($V56),'Housing Allowance'!$A:$B,2,)),0)*(W56&lt;=Ret_Yr_pre)</f>
        <v/>
      </c>
      <c r="AG56" s="590">
        <f>AC56*overtime</f>
        <v/>
      </c>
      <c r="AH56" s="590">
        <f>AC56*allow_1</f>
        <v/>
      </c>
      <c r="AI56" s="590">
        <f>(AB56&lt;&gt;0)*12*allow_2</f>
        <v/>
      </c>
      <c r="AJ56" s="590" t="n"/>
      <c r="AK56" s="581">
        <f>IF(YEAR(W56)&lt;=Ret_Yr_pre,SUM(AC56:AJ56),0)*IF($W56=Ret_Yr_pre,X56,1)</f>
        <v/>
      </c>
      <c r="AL56" s="581">
        <f>IF($W56&gt;=Ret_Yr_pre,pens_Pre*(GEPF_pre="Y"),0)*IF($W56=Ret_Yr_pre,1-$X56,1)*IF(Ret_Yr_pre&lt;Current,(_xlfn.IFNA(VLOOKUP($D56,CPI!$A:$E,2,FALSE),VLOOKUP(Current,CPI!$A:$E,2,FALSE))/VLOOKUP(Ret_Yr_pre,CPI!$A:$E,2,FALSE)),1)</f>
        <v/>
      </c>
      <c r="AM56" s="590">
        <f>$AC56*ee*IF($W56=Ret_Yr_pre,$X56,1)</f>
        <v/>
      </c>
      <c r="AN56" s="590">
        <f>$AC56*er*IF($W56=Ret_Yr_pre,$X56,1)</f>
        <v/>
      </c>
      <c r="AO56" s="590">
        <f>IF('LOE Sc1'!$W56=Ret_Yr_pre,Gratuity_Pre*(GEPF_pre="Y"),0)</f>
        <v/>
      </c>
      <c r="AP56" s="581">
        <f>AK56+AL56-$AM56-AN56*(GEPF_pre="Y")</f>
        <v/>
      </c>
      <c r="AQ56" s="590">
        <f>IF(DF56&lt;0,0,DF56)</f>
        <v/>
      </c>
      <c r="AR56" s="581">
        <f>(AP56-AQ56+AM56*(AM$7="Y")+AN56*(AN$7="Y"))*IF(W56&lt;Ret_Yr_pre,X56,1)+AO56</f>
        <v/>
      </c>
      <c r="AS56" s="595" t="n"/>
      <c r="AT56" s="6">
        <f>V56</f>
        <v/>
      </c>
      <c r="AU56" s="31">
        <f>W56</f>
        <v/>
      </c>
      <c r="AV56" s="598">
        <f>IF(AU56=Current,ROUND((AT56-AT55)/365.25,5),_xlfn.IFNA(INDEX(Summary!$A$55:$A$72,MATCH('LOE Sc1'!AU56,Summary!$C$55:$C$72,0)),IF(AU56=Ret_Yr_post,ROUND((DoR_Post-AT55)/365.25,5),ROUND((AT56-AT55)/365.25,2))))</f>
        <v/>
      </c>
      <c r="AW56" s="55">
        <f>Y56</f>
        <v/>
      </c>
      <c r="AX56" s="26">
        <f t="array" ref="AX56">IF(AU56&gt;Ret_Yr_post,0,_xlfn.IFNA(VLOOKUP(AW56,N$11:S$1000,5,),IF(AND(AU56=Current,AT56&gt;DoC,MONTH(DoC)&lt;&gt;3),AX55,AX55+INDEX(S$11:S$1000,MATCH(AW56,N$11:N$1000,1)+1))))</f>
        <v/>
      </c>
      <c r="AY56" s="590">
        <f>IF($V56&lt;DoC,AX56*VLOOKUP(YEAR($V56),CPI_Table,4,FALSE)/index,AX56*real_i^INT(BP56))</f>
        <v/>
      </c>
      <c r="AZ56" s="590">
        <f>$AY56/12*Bonus_Post*($AW56&lt;=RetAge_Post)</f>
        <v/>
      </c>
      <c r="BA56" s="590">
        <f>IF($E56="FL",MedSub*m^INT(BP56),MedSub)*IF(Summary!$C$81="Y",1,0)*($AU56&lt;=Ret_Yr_post)*(Summary!$C$81="Y")</f>
        <v/>
      </c>
      <c r="BB56" s="590">
        <f>IF(Summary!$C$80="Y",IF($E56&lt;&gt;"PL",VLOOKUP(Current,'Housing Allowance'!$A:$B,2,),VLOOKUP(YEAR($AT56),'Housing Allowance'!$A:$B,2,)),0)*($AU56&lt;=Ret_Yr_post)</f>
        <v/>
      </c>
      <c r="BC56" s="590">
        <f>AY56*overtime_post</f>
        <v/>
      </c>
      <c r="BD56" s="590">
        <f>$AY56*allow_1_post</f>
        <v/>
      </c>
      <c r="BE56" s="590">
        <f>($AY56&lt;&gt;0)*allow_2_post*12</f>
        <v/>
      </c>
      <c r="BF56" s="590" t="n"/>
      <c r="BG56" s="581">
        <f>IF(YEAR($V56)&lt;=Ret_Yr_post,SUM(AY56:BF56),0)*IF($W56=Ret_Yr_post,AV56,1)</f>
        <v/>
      </c>
      <c r="BH56" s="581">
        <f>IF($W56&gt;=Ret_Yr_post,pens_Post*(GEPF_pre="Y"),0)*IF($W56=Ret_Yr_post,1-$AV56,1)*IF(Ret_Yr_post&lt;Current,(_xlfn.IFNA(VLOOKUP($D56,CPI!$A:$E,2,FALSE),VLOOKUP(Current,CPI!$A:$E,2,FALSE))/VLOOKUP(Ret_Yr_post,CPI!$A:$E,2,FALSE)),1)</f>
        <v/>
      </c>
      <c r="BI56" s="590">
        <f>$AY56*ee_post*IF($W56=Ret_Yr_post,$AV56,1)</f>
        <v/>
      </c>
      <c r="BJ56" s="590">
        <f>$AY56*er_post*IF($W56=Ret_Yr_post,$AV56,1)</f>
        <v/>
      </c>
      <c r="BK56" s="590">
        <f>IF('LOE Sc1'!$W56=Ret_Yr_post,Gratuity_Post*(GEPF_post="Y"),0)</f>
        <v/>
      </c>
      <c r="BL56" s="581">
        <f>BG56+BH56-BI56-BJ56*(GEPF_post="Y")</f>
        <v/>
      </c>
      <c r="BM56" s="590">
        <f>IF(DM56&lt;0,0,DM56)</f>
        <v/>
      </c>
      <c r="BN56" s="581">
        <f>(BL56-BM56+BI56*(BI$7="Y")+BJ56*(BJ$7="Y"))*IF($W56&lt;Ret_Yr_post,AV56,1)+BK56</f>
        <v/>
      </c>
      <c r="BO56" s="591" t="n"/>
      <c r="BP56" s="592">
        <f>IF($E56="FL",IF($X56&lt;=DoC,DATEDIF(DoC,$V56,"M")/12,0),0)</f>
        <v/>
      </c>
      <c r="BQ56" s="592">
        <f>IF($E56="FL",(1+CPI)^INT(BP56),0)</f>
        <v/>
      </c>
      <c r="BR56" s="592">
        <f>IF($E56="FL",IF(($BP56-0.5)&gt;=0,1/(1+d)^($BP56-0.5),1/(1+d)^($BP56)),0)</f>
        <v/>
      </c>
      <c r="BS56" s="592" t="n"/>
      <c r="BT56" s="25">
        <f>IF(gender="M",VLOOKUP($Y56+pre_mort+IF(MONTH(DoC)&lt;MONTH(DoB),IF(MONTH(DoC)&lt;3,0,-1),IF(MONTH(DoB)&lt;3,-1,0)),'SALT LIFE TABLES'!$A$7:$E$106,2),VLOOKUP($Y56+pre_mort+IF(MONTH(DoC)&lt;MONTH(DoB),IF(MONTH(DoC)&lt;3,0,-1),IF(MONTH(DoB)&lt;3,-1,0)),'SALT LIFE TABLES'!$A$7:$E$106,4))</f>
        <v/>
      </c>
      <c r="BU56" s="592">
        <f>IF($E56="PL",1,BT56/BU$7)</f>
        <v/>
      </c>
      <c r="BV56" s="593" t="n"/>
      <c r="BW56" s="25">
        <f>IF(gender="M",VLOOKUP($Y56+post_mort+IF(MONTH(DoC)&lt;MONTH(DoB),IF(MONTH(DoC)&lt;3,0,-1),IF(MONTH(DoB)&lt;3,-1,0)),'SALT LIFE TABLES'!$A$7:$E$106,2),VLOOKUP($Y56+post_mort+IF(MONTH(DoC)&lt;MONTH(DoB),IF(MONTH(DoC)&lt;3,0,-1),IF(MONTH(DoB)&lt;3,-1,0)),'SALT LIFE TABLES'!$A$7:$E$106,4))</f>
        <v/>
      </c>
      <c r="BX56" s="592">
        <f>IF($E56="PL",1,BW56/BX$7)</f>
        <v/>
      </c>
      <c r="BY56" s="594" t="n"/>
      <c r="BZ56" s="592" t="n"/>
      <c r="CA56" s="592">
        <f>IF($E56="FL",$AR56*$BQ56*$BR56*$BU56,$AR56)</f>
        <v/>
      </c>
      <c r="CB56" s="592">
        <f>IF($E56="FL",$BN56*$BQ56*$BR56*$BX56,$BN56)</f>
        <v/>
      </c>
      <c r="CC56" s="592" t="n"/>
      <c r="CD56" s="592">
        <f>IF($E56="FL",$CA56*(1-pre_FL),$CA56*(1-pre_PL))</f>
        <v/>
      </c>
      <c r="CE56" s="592">
        <f>IF($E56="FL",$CB56*(1-post_FL),$CB56*(1-post_PL))</f>
        <v/>
      </c>
      <c r="CF56" s="592" t="n"/>
      <c r="CG56" s="599">
        <f>CD56-CE56</f>
        <v/>
      </c>
      <c r="CH56" s="599">
        <f>MIN(CG56,IF(W56=Ret_Yr_pre,1,$X56)*Cap)</f>
        <v/>
      </c>
      <c r="CI56" s="128" t="n"/>
      <c r="CJ56" s="37">
        <f>IF(D56&gt;Current,Current,D56)</f>
        <v/>
      </c>
      <c r="CK56" s="37">
        <f>MATCH($CJ56,Tax_Tables[Tax Year],0)</f>
        <v/>
      </c>
      <c r="CL56" s="600" t="n">
        <v>0</v>
      </c>
      <c r="CM56" s="600">
        <f t="array" ref="CM56">INDEX(Tax_Tables[[Limits]:[Limits]],$CK56+CM$8)</f>
        <v/>
      </c>
      <c r="CN56" s="600">
        <f t="array" ref="CN56">INDEX(Tax_Tables[[Limits]:[Limits]],$CK56+CN$8)</f>
        <v/>
      </c>
      <c r="CO56" s="600">
        <f t="array" ref="CO56">INDEX(Tax_Tables[[Limits]:[Limits]],$CK56+CO$8)</f>
        <v/>
      </c>
      <c r="CP56" s="600">
        <f t="array" ref="CP56">INDEX(Tax_Tables[[Limits]:[Limits]],$CK56+CP$8)</f>
        <v/>
      </c>
      <c r="CQ56" s="600">
        <f t="array" ref="CQ56">INDEX(Tax_Tables[[Limits]:[Limits]],$CK56+CQ$8)</f>
        <v/>
      </c>
      <c r="CR56" s="600">
        <f t="array" ref="CR56">INDEX(Tax_Tables[[Limits]:[Limits]],$CK56+CR$8)</f>
        <v/>
      </c>
      <c r="CS56" s="37">
        <f>INDEX(Rebate[&lt;65],MATCH($CJ56,Rebate[[Tax Year]:[Tax Year]],0))</f>
        <v/>
      </c>
      <c r="CT56" s="37">
        <f>INDEX(Rebate[&lt;75],MATCH($CJ56,Rebate[[Tax Year]:[Tax Year]],0))</f>
        <v/>
      </c>
      <c r="CU56" s="37">
        <f>INDEX(Rebate[&gt;75],MATCH($CJ56,Rebate[[Tax Year]:[Tax Year]],0))</f>
        <v/>
      </c>
      <c r="CV56" s="37">
        <f>INDEX(Tax_Credit[Principal],MATCH($CJ56,Tax_Credit[[Tax Year]:[Tax Year]],0))</f>
        <v/>
      </c>
      <c r="CW56" s="37">
        <f>INDEX(Tax_Credit[First Dependant],MATCH($CJ56,Tax_Credit[[Tax Year]:[Tax Year]],0))</f>
        <v/>
      </c>
      <c r="CX56" s="37">
        <f>INDEX(Tax_Credit[Each Additional],MATCH($CJ56,Tax_Credit[[Tax Year]:[Tax Year]],0))</f>
        <v/>
      </c>
      <c r="CY56" s="484">
        <f>Y56</f>
        <v/>
      </c>
      <c r="CZ56" s="601">
        <f>AP56</f>
        <v/>
      </c>
      <c r="DA56" s="37">
        <f t="array" ref="DA56">INDEX($CL56:$CR56,0,MATCH($CZ56,$CL56:$CR56,1))</f>
        <v/>
      </c>
      <c r="DB56" s="37">
        <f t="array" ref="DB56">IFERROR(INDEX(Tax_Tables[Percentages],$CK56+MATCH($DA56,$CL56:$CR56,0)-1),"")</f>
        <v/>
      </c>
      <c r="DC56" s="37">
        <f t="array" ref="DC56">IFERROR(INDEX(Tax_Tables[Tax],$CK56+MATCH($DA56,$CL56:$CR56,0)-1),"")</f>
        <v/>
      </c>
      <c r="DD56" s="37">
        <f>IF(CY56&lt;65,CS56,IF(CY56&lt;75,CT56,CU56))</f>
        <v/>
      </c>
      <c r="DE56" s="37">
        <f>CV56*(Summary!$C$31="Y")+(Summary!$C$31="Y")*(CW56*(Pre_MDep&gt;=1)+CX56*MAX(Pre_MDep-1,0))</f>
        <v/>
      </c>
      <c r="DF56" s="599">
        <f>IFERROR(MAX(DB56*(CZ56-DA56)+DC56-DD56-DE56*12,0),"")</f>
        <v/>
      </c>
      <c r="DG56" s="602" t="n"/>
      <c r="DH56" s="601">
        <f>BL56</f>
        <v/>
      </c>
      <c r="DI56" s="37">
        <f t="array" ref="DI56">INDEX($CL56:$CR56,0,MATCH($DH56,$CL56:$CR56,1))</f>
        <v/>
      </c>
      <c r="DJ56" s="37">
        <f t="array" ref="DJ56">IFERROR(INDEX(Tax_Tables[Percentages],$CK56+MATCH($DI56,$CL56:$CR56,0)-1),"")</f>
        <v/>
      </c>
      <c r="DK56" s="37">
        <f t="array" ref="DK56">IFERROR(INDEX(Tax_Tables[Tax],$CK56+MATCH($DI56,$CL56:$CR56,0)-1),"")</f>
        <v/>
      </c>
      <c r="DL56" s="37">
        <f>CV56*(Summary!$C$81="Y")+(Summary!$C$81="Y")*(CW56*(Post_MDep&gt;=1)+CX56*MAX(Post_MDep-1,0))</f>
        <v/>
      </c>
      <c r="DM56" s="599">
        <f>IFERROR(MAX(DJ56*(DH56-DI56)+DK56-DD56-DL56*12,0),"")</f>
        <v/>
      </c>
      <c r="DN56" s="601" t="n"/>
      <c r="DO56" s="37" t="n"/>
      <c r="DP56" s="37" t="n"/>
      <c r="DQ56" s="37" t="n"/>
      <c r="DR56" s="37" t="n"/>
      <c r="DS56" s="37" t="n"/>
      <c r="DT56" s="37" t="n"/>
      <c r="DU56" s="37" t="n"/>
      <c r="DV56" s="37" t="n"/>
      <c r="DW56" s="37" t="n"/>
      <c r="DX56" s="599" t="n"/>
      <c r="DY56" s="131" t="n"/>
      <c r="DZ56" s="601" t="n"/>
      <c r="EA56" s="37" t="n"/>
      <c r="EB56" s="37" t="n"/>
      <c r="EC56" s="37" t="n"/>
      <c r="ED56" s="599" t="n"/>
      <c r="EE56" s="595" t="n"/>
      <c r="EF56" s="25" t="n"/>
    </row>
    <row r="57">
      <c r="C57" s="596">
        <f>C56+D57-D56</f>
        <v/>
      </c>
      <c r="D57" s="160">
        <f>AU57</f>
        <v/>
      </c>
      <c r="E57" s="87">
        <f>IF(DoC=V57,"Calc Date",IF(V57&lt;DoC,"PL","FL"))</f>
        <v/>
      </c>
      <c r="F57" s="310">
        <f>F56+1</f>
        <v/>
      </c>
      <c r="G57" s="31">
        <f>VLOOKUP(F57,C$10:D$148,2)</f>
        <v/>
      </c>
      <c r="H57" s="313">
        <f>H56</f>
        <v/>
      </c>
      <c r="I57" s="281">
        <f>I56</f>
        <v/>
      </c>
      <c r="J57" s="589">
        <f>I57*index/VLOOKUP($H57,CPI!A:E,4,FALSE)</f>
        <v/>
      </c>
      <c r="K57" s="589">
        <f>IF(L57="Linear",(J57-J56)/(G57-G56),0)</f>
        <v/>
      </c>
      <c r="L57" s="311" t="inlineStr">
        <is>
          <t>Flat</t>
        </is>
      </c>
      <c r="M57" s="137" t="n"/>
      <c r="N57" s="310">
        <f>N56+1</f>
        <v/>
      </c>
      <c r="O57" s="31">
        <f>O56+N57-N56</f>
        <v/>
      </c>
      <c r="P57" s="313">
        <f>P56</f>
        <v/>
      </c>
      <c r="Q57" s="281">
        <f>Q56</f>
        <v/>
      </c>
      <c r="R57" s="589">
        <f>Q57*index/VLOOKUP($P57,CPI!A:E,4,FALSE)</f>
        <v/>
      </c>
      <c r="S57" s="589">
        <f>IF(T57="Linear",(R57-R56)/(O57-O56),0)</f>
        <v/>
      </c>
      <c r="T57" s="311" t="inlineStr">
        <is>
          <t>Flat</t>
        </is>
      </c>
      <c r="U57" s="144" t="n"/>
      <c r="V57" s="6">
        <f>IF(AND($V56=DoA,MONTH(V56)&lt;3),DATE(YEAR(DoA),3,1),IF(AND(IFERROR(DATEDIF(V56,DoC,"M"),12)&lt;12,IFERROR(DATEDIF(V56,DoC,"M"),12)&gt;0),DoC,DATE(YEAR(V56)+(1-AND(YEAR(DoC)=Current,V56=DoC)-AND(V56=DoA,MONTH(V56)&lt;3)),3,1)))</f>
        <v/>
      </c>
      <c r="W57" s="31">
        <f>IF(V57=DoR_Pre,IF(MONTH(DoR_Pre)&gt;3,YEAR(DoR_Pre)+1,YEAR(DoR_Pre)),IF(MONTH(V57)&gt;3,Current,YEAR(V57)))</f>
        <v/>
      </c>
      <c r="X57" s="597">
        <f>IF(W57=Current,ROUND((V57-V56)/365.25,5),_xlfn.IFNA(INDEX(Summary!$A$5:$A$22,MATCH('LOE Sc1'!W57,Summary!$C$5:$C$22,0)),IF(W57=Ret_Yr_pre,ROUND((DoR_Pre-V56)/365.25,5),ROUND((V57-V56)/365.25,2))))</f>
        <v/>
      </c>
      <c r="Y57" s="55">
        <f>IF(AND(V57=DoC,MONTH(DoC)&lt;&gt;3),ROUNDDOWN(DATEDIF(DoB,V58,"M")/12,),ROUNDDOWN(DATEDIF(DoB,V57,"M")/12,))</f>
        <v/>
      </c>
      <c r="Z57" s="590" t="n"/>
      <c r="AA57" s="25">
        <f>MAX(RetAge_Pre-Y57,0)</f>
        <v/>
      </c>
      <c r="AB57" s="26">
        <f t="array" ref="AB57">IF(W57&gt;Ret_Yr_pre,0,_xlfn.IFNA(VLOOKUP(Y57,F$11:J$1000,5,),IF(AND(W57=Current,V57&gt;DoC,MONTH(DoC)&lt;&gt;3),AB56,AB56+INDEX(K$11:K$1000,MATCH(Y57,F$11:F$1000,1)+1))))</f>
        <v/>
      </c>
      <c r="AC57" s="590">
        <f>IF(V57&lt;DoC,AB57*VLOOKUP(YEAR(V57),CPI!A:E,4,FALSE)/index,AB57*real_i^INT(BP57))</f>
        <v/>
      </c>
      <c r="AD57" s="590">
        <f>$AC57/12*Bonus</f>
        <v/>
      </c>
      <c r="AE57" s="590">
        <f>IF($E57="FL",MedSub*m^INT(BP57),MedSub)*IF(Summary!$C$31="Y",1,0)*(W57&lt;=Ret_Yr_pre)*(Summary!C$31="Y")</f>
        <v/>
      </c>
      <c r="AF57" s="590">
        <f>IF(Summary!$C$30="Y",IF(E57&lt;&gt;"PL",VLOOKUP(Current,'Housing Allowance'!$A:$B,2,),VLOOKUP(YEAR($V57),'Housing Allowance'!$A:$B,2,)),0)*(W57&lt;=Ret_Yr_pre)</f>
        <v/>
      </c>
      <c r="AG57" s="590">
        <f>AC57*overtime</f>
        <v/>
      </c>
      <c r="AH57" s="590">
        <f>AC57*allow_1</f>
        <v/>
      </c>
      <c r="AI57" s="590">
        <f>(AB57&lt;&gt;0)*12*allow_2</f>
        <v/>
      </c>
      <c r="AJ57" s="590" t="n"/>
      <c r="AK57" s="581">
        <f>IF(YEAR(W57)&lt;=Ret_Yr_pre,SUM(AC57:AJ57),0)*IF($W57=Ret_Yr_pre,X57,1)</f>
        <v/>
      </c>
      <c r="AL57" s="581">
        <f>IF($W57&gt;=Ret_Yr_pre,pens_Pre*(GEPF_pre="Y"),0)*IF($W57=Ret_Yr_pre,1-$X57,1)*IF(Ret_Yr_pre&lt;Current,(_xlfn.IFNA(VLOOKUP($D57,CPI!$A:$E,2,FALSE),VLOOKUP(Current,CPI!$A:$E,2,FALSE))/VLOOKUP(Ret_Yr_pre,CPI!$A:$E,2,FALSE)),1)</f>
        <v/>
      </c>
      <c r="AM57" s="590">
        <f>$AC57*ee*IF($W57=Ret_Yr_pre,$X57,1)</f>
        <v/>
      </c>
      <c r="AN57" s="590">
        <f>$AC57*er*IF($W57=Ret_Yr_pre,$X57,1)</f>
        <v/>
      </c>
      <c r="AO57" s="590">
        <f>IF('LOE Sc1'!$W57=Ret_Yr_pre,Gratuity_Pre*(GEPF_pre="Y"),0)</f>
        <v/>
      </c>
      <c r="AP57" s="581">
        <f>AK57+AL57-$AM57-AN57*(GEPF_pre="Y")</f>
        <v/>
      </c>
      <c r="AQ57" s="590">
        <f>IF(DF57&lt;0,0,DF57)</f>
        <v/>
      </c>
      <c r="AR57" s="581">
        <f>(AP57-AQ57+AM57*(AM$7="Y")+AN57*(AN$7="Y"))*IF(W57&lt;Ret_Yr_pre,X57,1)+AO57</f>
        <v/>
      </c>
      <c r="AS57" s="595" t="n"/>
      <c r="AT57" s="6">
        <f>V57</f>
        <v/>
      </c>
      <c r="AU57" s="31">
        <f>W57</f>
        <v/>
      </c>
      <c r="AV57" s="598">
        <f>IF(AU57=Current,ROUND((AT57-AT56)/365.25,5),_xlfn.IFNA(INDEX(Summary!$A$55:$A$72,MATCH('LOE Sc1'!AU57,Summary!$C$55:$C$72,0)),IF(AU57=Ret_Yr_post,ROUND((DoR_Post-AT56)/365.25,5),ROUND((AT57-AT56)/365.25,2))))</f>
        <v/>
      </c>
      <c r="AW57" s="55">
        <f>Y57</f>
        <v/>
      </c>
      <c r="AX57" s="26">
        <f t="array" ref="AX57">IF(AU57&gt;Ret_Yr_post,0,_xlfn.IFNA(VLOOKUP(AW57,N$11:S$1000,5,),IF(AND(AU57=Current,AT57&gt;DoC,MONTH(DoC)&lt;&gt;3),AX56,AX56+INDEX(S$11:S$1000,MATCH(AW57,N$11:N$1000,1)+1))))</f>
        <v/>
      </c>
      <c r="AY57" s="590">
        <f>IF($V57&lt;DoC,AX57*VLOOKUP(YEAR($V57),CPI_Table,4,FALSE)/index,AX57*real_i^INT(BP57))</f>
        <v/>
      </c>
      <c r="AZ57" s="590">
        <f>$AY57/12*Bonus_Post*($AW57&lt;=RetAge_Post)</f>
        <v/>
      </c>
      <c r="BA57" s="590">
        <f>IF($E57="FL",MedSub*m^INT(BP57),MedSub)*IF(Summary!$C$81="Y",1,0)*($AU57&lt;=Ret_Yr_post)*(Summary!$C$81="Y")</f>
        <v/>
      </c>
      <c r="BB57" s="590">
        <f>IF(Summary!$C$80="Y",IF($E57&lt;&gt;"PL",VLOOKUP(Current,'Housing Allowance'!$A:$B,2,),VLOOKUP(YEAR($AT57),'Housing Allowance'!$A:$B,2,)),0)*($AU57&lt;=Ret_Yr_post)</f>
        <v/>
      </c>
      <c r="BC57" s="590">
        <f>AY57*overtime_post</f>
        <v/>
      </c>
      <c r="BD57" s="590">
        <f>$AY57*allow_1_post</f>
        <v/>
      </c>
      <c r="BE57" s="590">
        <f>($AY57&lt;&gt;0)*allow_2_post*12</f>
        <v/>
      </c>
      <c r="BF57" s="590" t="n"/>
      <c r="BG57" s="581">
        <f>IF(YEAR($V57)&lt;=Ret_Yr_post,SUM(AY57:BF57),0)*IF($W57=Ret_Yr_post,AV57,1)</f>
        <v/>
      </c>
      <c r="BH57" s="581">
        <f>IF($W57&gt;=Ret_Yr_post,pens_Post*(GEPF_pre="Y"),0)*IF($W57=Ret_Yr_post,1-$AV57,1)*IF(Ret_Yr_post&lt;Current,(_xlfn.IFNA(VLOOKUP($D57,CPI!$A:$E,2,FALSE),VLOOKUP(Current,CPI!$A:$E,2,FALSE))/VLOOKUP(Ret_Yr_post,CPI!$A:$E,2,FALSE)),1)</f>
        <v/>
      </c>
      <c r="BI57" s="590">
        <f>$AY57*ee_post*IF($W57=Ret_Yr_post,$AV57,1)</f>
        <v/>
      </c>
      <c r="BJ57" s="590">
        <f>$AY57*er_post*IF($W57=Ret_Yr_post,$AV57,1)</f>
        <v/>
      </c>
      <c r="BK57" s="590">
        <f>IF('LOE Sc1'!$W57=Ret_Yr_post,Gratuity_Post*(GEPF_post="Y"),0)</f>
        <v/>
      </c>
      <c r="BL57" s="581">
        <f>BG57+BH57-BI57-BJ57*(GEPF_post="Y")</f>
        <v/>
      </c>
      <c r="BM57" s="590">
        <f>IF(DM57&lt;0,0,DM57)</f>
        <v/>
      </c>
      <c r="BN57" s="581">
        <f>(BL57-BM57+BI57*(BI$7="Y")+BJ57*(BJ$7="Y"))*IF($W57&lt;Ret_Yr_post,AV57,1)+BK57</f>
        <v/>
      </c>
      <c r="BO57" s="591" t="n"/>
      <c r="BP57" s="592">
        <f>IF($E57="FL",IF($X57&lt;=DoC,DATEDIF(DoC,$V57,"M")/12,0),0)</f>
        <v/>
      </c>
      <c r="BQ57" s="592">
        <f>IF($E57="FL",(1+CPI)^INT(BP57),0)</f>
        <v/>
      </c>
      <c r="BR57" s="592">
        <f>IF($E57="FL",IF(($BP57-0.5)&gt;=0,1/(1+d)^($BP57-0.5),1/(1+d)^($BP57)),0)</f>
        <v/>
      </c>
      <c r="BS57" s="592" t="n"/>
      <c r="BT57" s="25">
        <f>IF(gender="M",VLOOKUP($Y57+pre_mort+IF(MONTH(DoC)&lt;MONTH(DoB),IF(MONTH(DoC)&lt;3,0,-1),IF(MONTH(DoB)&lt;3,-1,0)),'SALT LIFE TABLES'!$A$7:$E$106,2),VLOOKUP($Y57+pre_mort+IF(MONTH(DoC)&lt;MONTH(DoB),IF(MONTH(DoC)&lt;3,0,-1),IF(MONTH(DoB)&lt;3,-1,0)),'SALT LIFE TABLES'!$A$7:$E$106,4))</f>
        <v/>
      </c>
      <c r="BU57" s="592">
        <f>IF($E57="PL",1,BT57/BU$7)</f>
        <v/>
      </c>
      <c r="BV57" s="593" t="n"/>
      <c r="BW57" s="25">
        <f>IF(gender="M",VLOOKUP($Y57+post_mort+IF(MONTH(DoC)&lt;MONTH(DoB),IF(MONTH(DoC)&lt;3,0,-1),IF(MONTH(DoB)&lt;3,-1,0)),'SALT LIFE TABLES'!$A$7:$E$106,2),VLOOKUP($Y57+post_mort+IF(MONTH(DoC)&lt;MONTH(DoB),IF(MONTH(DoC)&lt;3,0,-1),IF(MONTH(DoB)&lt;3,-1,0)),'SALT LIFE TABLES'!$A$7:$E$106,4))</f>
        <v/>
      </c>
      <c r="BX57" s="592">
        <f>IF($E57="PL",1,BW57/BX$7)</f>
        <v/>
      </c>
      <c r="BY57" s="594" t="n"/>
      <c r="BZ57" s="592" t="n"/>
      <c r="CA57" s="592">
        <f>IF($E57="FL",$AR57*$BQ57*$BR57*$BU57,$AR57)</f>
        <v/>
      </c>
      <c r="CB57" s="592">
        <f>IF($E57="FL",$BN57*$BQ57*$BR57*$BX57,$BN57)</f>
        <v/>
      </c>
      <c r="CC57" s="592" t="n"/>
      <c r="CD57" s="592">
        <f>IF($E57="FL",$CA57*(1-pre_FL),$CA57*(1-pre_PL))</f>
        <v/>
      </c>
      <c r="CE57" s="592">
        <f>IF($E57="FL",$CB57*(1-post_FL),$CB57*(1-post_PL))</f>
        <v/>
      </c>
      <c r="CF57" s="592" t="n"/>
      <c r="CG57" s="599">
        <f>CD57-CE57</f>
        <v/>
      </c>
      <c r="CH57" s="599">
        <f>MIN(CG57,IF(W57=Ret_Yr_pre,1,$X57)*Cap)</f>
        <v/>
      </c>
      <c r="CI57" s="128" t="n"/>
      <c r="CJ57" s="37">
        <f>IF(D57&gt;Current,Current,D57)</f>
        <v/>
      </c>
      <c r="CK57" s="37">
        <f>MATCH($CJ57,Tax_Tables[Tax Year],0)</f>
        <v/>
      </c>
      <c r="CL57" s="600" t="n">
        <v>0</v>
      </c>
      <c r="CM57" s="600">
        <f t="array" ref="CM57">INDEX(Tax_Tables[[Limits]:[Limits]],$CK57+CM$8)</f>
        <v/>
      </c>
      <c r="CN57" s="600">
        <f t="array" ref="CN57">INDEX(Tax_Tables[[Limits]:[Limits]],$CK57+CN$8)</f>
        <v/>
      </c>
      <c r="CO57" s="600">
        <f t="array" ref="CO57">INDEX(Tax_Tables[[Limits]:[Limits]],$CK57+CO$8)</f>
        <v/>
      </c>
      <c r="CP57" s="600">
        <f t="array" ref="CP57">INDEX(Tax_Tables[[Limits]:[Limits]],$CK57+CP$8)</f>
        <v/>
      </c>
      <c r="CQ57" s="600">
        <f t="array" ref="CQ57">INDEX(Tax_Tables[[Limits]:[Limits]],$CK57+CQ$8)</f>
        <v/>
      </c>
      <c r="CR57" s="600">
        <f t="array" ref="CR57">INDEX(Tax_Tables[[Limits]:[Limits]],$CK57+CR$8)</f>
        <v/>
      </c>
      <c r="CS57" s="37">
        <f>INDEX(Rebate[&lt;65],MATCH($CJ57,Rebate[[Tax Year]:[Tax Year]],0))</f>
        <v/>
      </c>
      <c r="CT57" s="37">
        <f>INDEX(Rebate[&lt;75],MATCH($CJ57,Rebate[[Tax Year]:[Tax Year]],0))</f>
        <v/>
      </c>
      <c r="CU57" s="37">
        <f>INDEX(Rebate[&gt;75],MATCH($CJ57,Rebate[[Tax Year]:[Tax Year]],0))</f>
        <v/>
      </c>
      <c r="CV57" s="37">
        <f>INDEX(Tax_Credit[Principal],MATCH($CJ57,Tax_Credit[[Tax Year]:[Tax Year]],0))</f>
        <v/>
      </c>
      <c r="CW57" s="37">
        <f>INDEX(Tax_Credit[First Dependant],MATCH($CJ57,Tax_Credit[[Tax Year]:[Tax Year]],0))</f>
        <v/>
      </c>
      <c r="CX57" s="37">
        <f>INDEX(Tax_Credit[Each Additional],MATCH($CJ57,Tax_Credit[[Tax Year]:[Tax Year]],0))</f>
        <v/>
      </c>
      <c r="CY57" s="484">
        <f>Y57</f>
        <v/>
      </c>
      <c r="CZ57" s="601">
        <f>AP57</f>
        <v/>
      </c>
      <c r="DA57" s="37">
        <f t="array" ref="DA57">INDEX($CL57:$CR57,0,MATCH($CZ57,$CL57:$CR57,1))</f>
        <v/>
      </c>
      <c r="DB57" s="37">
        <f t="array" ref="DB57">IFERROR(INDEX(Tax_Tables[Percentages],$CK57+MATCH($DA57,$CL57:$CR57,0)-1),"")</f>
        <v/>
      </c>
      <c r="DC57" s="37">
        <f t="array" ref="DC57">IFERROR(INDEX(Tax_Tables[Tax],$CK57+MATCH($DA57,$CL57:$CR57,0)-1),"")</f>
        <v/>
      </c>
      <c r="DD57" s="37">
        <f>IF(CY57&lt;65,CS57,IF(CY57&lt;75,CT57,CU57))</f>
        <v/>
      </c>
      <c r="DE57" s="37">
        <f>CV57*(Summary!$C$31="Y")+(Summary!$C$31="Y")*(CW57*(Pre_MDep&gt;=1)+CX57*MAX(Pre_MDep-1,0))</f>
        <v/>
      </c>
      <c r="DF57" s="599">
        <f>IFERROR(MAX(DB57*(CZ57-DA57)+DC57-DD57-DE57*12,0),"")</f>
        <v/>
      </c>
      <c r="DG57" s="602" t="n"/>
      <c r="DH57" s="601">
        <f>BL57</f>
        <v/>
      </c>
      <c r="DI57" s="37">
        <f t="array" ref="DI57">INDEX($CL57:$CR57,0,MATCH($DH57,$CL57:$CR57,1))</f>
        <v/>
      </c>
      <c r="DJ57" s="37">
        <f t="array" ref="DJ57">IFERROR(INDEX(Tax_Tables[Percentages],$CK57+MATCH($DI57,$CL57:$CR57,0)-1),"")</f>
        <v/>
      </c>
      <c r="DK57" s="37">
        <f t="array" ref="DK57">IFERROR(INDEX(Tax_Tables[Tax],$CK57+MATCH($DI57,$CL57:$CR57,0)-1),"")</f>
        <v/>
      </c>
      <c r="DL57" s="37">
        <f>CV57*(Summary!$C$81="Y")+(Summary!$C$81="Y")*(CW57*(Post_MDep&gt;=1)+CX57*MAX(Post_MDep-1,0))</f>
        <v/>
      </c>
      <c r="DM57" s="599">
        <f>IFERROR(MAX(DJ57*(DH57-DI57)+DK57-DD57-DL57*12,0),"")</f>
        <v/>
      </c>
      <c r="DN57" s="601" t="n"/>
      <c r="DO57" s="37" t="n"/>
      <c r="DP57" s="37" t="n"/>
      <c r="DQ57" s="37" t="n"/>
      <c r="DR57" s="37" t="n"/>
      <c r="DS57" s="37" t="n"/>
      <c r="DT57" s="37" t="n"/>
      <c r="DU57" s="37" t="n"/>
      <c r="DV57" s="37" t="n"/>
      <c r="DW57" s="37" t="n"/>
      <c r="DX57" s="599" t="n"/>
      <c r="DY57" s="131" t="n"/>
      <c r="DZ57" s="601" t="n"/>
      <c r="EA57" s="37" t="n"/>
      <c r="EB57" s="37" t="n"/>
      <c r="EC57" s="37" t="n"/>
      <c r="ED57" s="599" t="n"/>
      <c r="EE57" s="595" t="n"/>
      <c r="EF57" s="25" t="n"/>
    </row>
    <row r="58">
      <c r="C58" s="596">
        <f>C57+D58-D57</f>
        <v/>
      </c>
      <c r="D58" s="160">
        <f>AU58</f>
        <v/>
      </c>
      <c r="E58" s="87">
        <f>IF(DoC=V58,"Calc Date",IF(V58&lt;DoC,"PL","FL"))</f>
        <v/>
      </c>
      <c r="F58" s="310">
        <f>F57+1</f>
        <v/>
      </c>
      <c r="G58" s="31">
        <f>VLOOKUP(F58,C$10:D$148,2)</f>
        <v/>
      </c>
      <c r="H58" s="313">
        <f>H57</f>
        <v/>
      </c>
      <c r="I58" s="281">
        <f>I57</f>
        <v/>
      </c>
      <c r="J58" s="589">
        <f>I58*index/VLOOKUP($H58,CPI!A:E,4,FALSE)</f>
        <v/>
      </c>
      <c r="K58" s="589">
        <f>IF(L58="Linear",(J58-J57)/(G58-G57),0)</f>
        <v/>
      </c>
      <c r="L58" s="311" t="inlineStr">
        <is>
          <t>Flat</t>
        </is>
      </c>
      <c r="M58" s="137" t="n"/>
      <c r="N58" s="310">
        <f>N57+1</f>
        <v/>
      </c>
      <c r="O58" s="31">
        <f>O57+N58-N57</f>
        <v/>
      </c>
      <c r="P58" s="313">
        <f>P57</f>
        <v/>
      </c>
      <c r="Q58" s="281">
        <f>Q57</f>
        <v/>
      </c>
      <c r="R58" s="589">
        <f>Q58*index/VLOOKUP($P58,CPI!A:E,4,FALSE)</f>
        <v/>
      </c>
      <c r="S58" s="589">
        <f>IF(T58="Linear",(R58-R57)/(O58-O57),0)</f>
        <v/>
      </c>
      <c r="T58" s="311" t="inlineStr">
        <is>
          <t>Flat</t>
        </is>
      </c>
      <c r="U58" s="144" t="n"/>
      <c r="V58" s="6">
        <f>IF(AND($V57=DoA,MONTH(V57)&lt;3),DATE(YEAR(DoA),3,1),IF(AND(IFERROR(DATEDIF(V57,DoC,"M"),12)&lt;12,IFERROR(DATEDIF(V57,DoC,"M"),12)&gt;0),DoC,DATE(YEAR(V57)+(1-AND(YEAR(DoC)=Current,V57=DoC)-AND(V57=DoA,MONTH(V57)&lt;3)),3,1)))</f>
        <v/>
      </c>
      <c r="W58" s="31">
        <f>IF(V58=DoR_Pre,IF(MONTH(DoR_Pre)&gt;3,YEAR(DoR_Pre)+1,YEAR(DoR_Pre)),IF(MONTH(V58)&gt;3,Current,YEAR(V58)))</f>
        <v/>
      </c>
      <c r="X58" s="597">
        <f>IF(W58=Current,ROUND((V58-V57)/365.25,5),_xlfn.IFNA(INDEX(Summary!$A$5:$A$22,MATCH('LOE Sc1'!W58,Summary!$C$5:$C$22,0)),IF(W58=Ret_Yr_pre,ROUND((DoR_Pre-V57)/365.25,5),ROUND((V58-V57)/365.25,2))))</f>
        <v/>
      </c>
      <c r="Y58" s="55">
        <f>IF(AND(V58=DoC,MONTH(DoC)&lt;&gt;3),ROUNDDOWN(DATEDIF(DoB,V59,"M")/12,),ROUNDDOWN(DATEDIF(DoB,V58,"M")/12,))</f>
        <v/>
      </c>
      <c r="Z58" s="590" t="n"/>
      <c r="AA58" s="25">
        <f>MAX(RetAge_Pre-Y58,0)</f>
        <v/>
      </c>
      <c r="AB58" s="26">
        <f t="array" ref="AB58">IF(W58&gt;Ret_Yr_pre,0,_xlfn.IFNA(VLOOKUP(Y58,F$11:J$1000,5,),IF(AND(W58=Current,V58&gt;DoC,MONTH(DoC)&lt;&gt;3),AB57,AB57+INDEX(K$11:K$1000,MATCH(Y58,F$11:F$1000,1)+1))))</f>
        <v/>
      </c>
      <c r="AC58" s="590">
        <f>IF(V58&lt;DoC,AB58*VLOOKUP(YEAR(V58),CPI!A:E,4,FALSE)/index,AB58*real_i^INT(BP58))</f>
        <v/>
      </c>
      <c r="AD58" s="590">
        <f>$AC58/12*Bonus</f>
        <v/>
      </c>
      <c r="AE58" s="590">
        <f>IF($E58="FL",MedSub*m^INT(BP58),MedSub)*IF(Summary!$C$31="Y",1,0)*(W58&lt;=Ret_Yr_pre)*(Summary!C$31="Y")</f>
        <v/>
      </c>
      <c r="AF58" s="590">
        <f>IF(Summary!$C$30="Y",IF(E58&lt;&gt;"PL",VLOOKUP(Current,'Housing Allowance'!$A:$B,2,),VLOOKUP(YEAR($V58),'Housing Allowance'!$A:$B,2,)),0)*(W58&lt;=Ret_Yr_pre)</f>
        <v/>
      </c>
      <c r="AG58" s="590">
        <f>AC58*overtime</f>
        <v/>
      </c>
      <c r="AH58" s="590">
        <f>AC58*allow_1</f>
        <v/>
      </c>
      <c r="AI58" s="590">
        <f>(AB58&lt;&gt;0)*12*allow_2</f>
        <v/>
      </c>
      <c r="AJ58" s="590" t="n"/>
      <c r="AK58" s="581">
        <f>IF(YEAR(W58)&lt;=Ret_Yr_pre,SUM(AC58:AJ58),0)*IF($W58=Ret_Yr_pre,X58,1)</f>
        <v/>
      </c>
      <c r="AL58" s="581">
        <f>IF($W58&gt;=Ret_Yr_pre,pens_Pre*(GEPF_pre="Y"),0)*IF($W58=Ret_Yr_pre,1-$X58,1)*IF(Ret_Yr_pre&lt;Current,(_xlfn.IFNA(VLOOKUP($D58,CPI!$A:$E,2,FALSE),VLOOKUP(Current,CPI!$A:$E,2,FALSE))/VLOOKUP(Ret_Yr_pre,CPI!$A:$E,2,FALSE)),1)</f>
        <v/>
      </c>
      <c r="AM58" s="590">
        <f>$AC58*ee*IF($W58=Ret_Yr_pre,$X58,1)</f>
        <v/>
      </c>
      <c r="AN58" s="590">
        <f>$AC58*er*IF($W58=Ret_Yr_pre,$X58,1)</f>
        <v/>
      </c>
      <c r="AO58" s="590">
        <f>IF('LOE Sc1'!$W58=Ret_Yr_pre,Gratuity_Pre*(GEPF_pre="Y"),0)</f>
        <v/>
      </c>
      <c r="AP58" s="581">
        <f>AK58+AL58-$AM58-AN58*(GEPF_pre="Y")</f>
        <v/>
      </c>
      <c r="AQ58" s="590">
        <f>IF(DF58&lt;0,0,DF58)</f>
        <v/>
      </c>
      <c r="AR58" s="581">
        <f>(AP58-AQ58+AM58*(AM$7="Y")+AN58*(AN$7="Y"))*IF(W58&lt;Ret_Yr_pre,X58,1)+AO58</f>
        <v/>
      </c>
      <c r="AS58" s="595" t="n"/>
      <c r="AT58" s="6">
        <f>V58</f>
        <v/>
      </c>
      <c r="AU58" s="31">
        <f>W58</f>
        <v/>
      </c>
      <c r="AV58" s="598">
        <f>IF(AU58=Current,ROUND((AT58-AT57)/365.25,5),_xlfn.IFNA(INDEX(Summary!$A$55:$A$72,MATCH('LOE Sc1'!AU58,Summary!$C$55:$C$72,0)),IF(AU58=Ret_Yr_post,ROUND((DoR_Post-AT57)/365.25,5),ROUND((AT58-AT57)/365.25,2))))</f>
        <v/>
      </c>
      <c r="AW58" s="55">
        <f>Y58</f>
        <v/>
      </c>
      <c r="AX58" s="26">
        <f t="array" ref="AX58">IF(AU58&gt;Ret_Yr_post,0,_xlfn.IFNA(VLOOKUP(AW58,N$11:S$1000,5,),IF(AND(AU58=Current,AT58&gt;DoC,MONTH(DoC)&lt;&gt;3),AX57,AX57+INDEX(S$11:S$1000,MATCH(AW58,N$11:N$1000,1)+1))))</f>
        <v/>
      </c>
      <c r="AY58" s="590">
        <f>IF($V58&lt;DoC,AX58*VLOOKUP(YEAR($V58),CPI_Table,4,FALSE)/index,AX58*real_i^INT(BP58))</f>
        <v/>
      </c>
      <c r="AZ58" s="590">
        <f>$AY58/12*Bonus_Post*($AW58&lt;=RetAge_Post)</f>
        <v/>
      </c>
      <c r="BA58" s="590">
        <f>IF($E58="FL",MedSub*m^INT(BP58),MedSub)*IF(Summary!$C$81="Y",1,0)*($AU58&lt;=Ret_Yr_post)*(Summary!$C$81="Y")</f>
        <v/>
      </c>
      <c r="BB58" s="590">
        <f>IF(Summary!$C$80="Y",IF($E58&lt;&gt;"PL",VLOOKUP(Current,'Housing Allowance'!$A:$B,2,),VLOOKUP(YEAR($AT58),'Housing Allowance'!$A:$B,2,)),0)*($AU58&lt;=Ret_Yr_post)</f>
        <v/>
      </c>
      <c r="BC58" s="590">
        <f>AY58*overtime_post</f>
        <v/>
      </c>
      <c r="BD58" s="590">
        <f>$AY58*allow_1_post</f>
        <v/>
      </c>
      <c r="BE58" s="590">
        <f>($AY58&lt;&gt;0)*allow_2_post*12</f>
        <v/>
      </c>
      <c r="BF58" s="590" t="n"/>
      <c r="BG58" s="581">
        <f>IF(YEAR($V58)&lt;=Ret_Yr_post,SUM(AY58:BF58),0)*IF($W58=Ret_Yr_post,AV58,1)</f>
        <v/>
      </c>
      <c r="BH58" s="581">
        <f>IF($W58&gt;=Ret_Yr_post,pens_Post*(GEPF_pre="Y"),0)*IF($W58=Ret_Yr_post,1-$AV58,1)*IF(Ret_Yr_post&lt;Current,(_xlfn.IFNA(VLOOKUP($D58,CPI!$A:$E,2,FALSE),VLOOKUP(Current,CPI!$A:$E,2,FALSE))/VLOOKUP(Ret_Yr_post,CPI!$A:$E,2,FALSE)),1)</f>
        <v/>
      </c>
      <c r="BI58" s="590">
        <f>$AY58*ee_post*IF($W58=Ret_Yr_post,$AV58,1)</f>
        <v/>
      </c>
      <c r="BJ58" s="590">
        <f>$AY58*er_post*IF($W58=Ret_Yr_post,$AV58,1)</f>
        <v/>
      </c>
      <c r="BK58" s="590">
        <f>IF('LOE Sc1'!$W58=Ret_Yr_post,Gratuity_Post*(GEPF_post="Y"),0)</f>
        <v/>
      </c>
      <c r="BL58" s="581">
        <f>BG58+BH58-BI58-BJ58*(GEPF_post="Y")</f>
        <v/>
      </c>
      <c r="BM58" s="590">
        <f>IF(DM58&lt;0,0,DM58)</f>
        <v/>
      </c>
      <c r="BN58" s="581">
        <f>(BL58-BM58+BI58*(BI$7="Y")+BJ58*(BJ$7="Y"))*IF($W58&lt;Ret_Yr_post,AV58,1)+BK58</f>
        <v/>
      </c>
      <c r="BO58" s="591" t="n"/>
      <c r="BP58" s="592">
        <f>IF($E58="FL",IF($X58&lt;=DoC,DATEDIF(DoC,$V58,"M")/12,0),0)</f>
        <v/>
      </c>
      <c r="BQ58" s="592">
        <f>IF($E58="FL",(1+CPI)^INT(BP58),0)</f>
        <v/>
      </c>
      <c r="BR58" s="592">
        <f>IF($E58="FL",IF(($BP58-0.5)&gt;=0,1/(1+d)^($BP58-0.5),1/(1+d)^($BP58)),0)</f>
        <v/>
      </c>
      <c r="BS58" s="592" t="n"/>
      <c r="BT58" s="25">
        <f>IF(gender="M",VLOOKUP($Y58+pre_mort+IF(MONTH(DoC)&lt;MONTH(DoB),IF(MONTH(DoC)&lt;3,0,-1),IF(MONTH(DoB)&lt;3,-1,0)),'SALT LIFE TABLES'!$A$7:$E$106,2),VLOOKUP($Y58+pre_mort+IF(MONTH(DoC)&lt;MONTH(DoB),IF(MONTH(DoC)&lt;3,0,-1),IF(MONTH(DoB)&lt;3,-1,0)),'SALT LIFE TABLES'!$A$7:$E$106,4))</f>
        <v/>
      </c>
      <c r="BU58" s="592">
        <f>IF($E58="PL",1,BT58/BU$7)</f>
        <v/>
      </c>
      <c r="BV58" s="593" t="n"/>
      <c r="BW58" s="25">
        <f>IF(gender="M",VLOOKUP($Y58+post_mort+IF(MONTH(DoC)&lt;MONTH(DoB),IF(MONTH(DoC)&lt;3,0,-1),IF(MONTH(DoB)&lt;3,-1,0)),'SALT LIFE TABLES'!$A$7:$E$106,2),VLOOKUP($Y58+post_mort+IF(MONTH(DoC)&lt;MONTH(DoB),IF(MONTH(DoC)&lt;3,0,-1),IF(MONTH(DoB)&lt;3,-1,0)),'SALT LIFE TABLES'!$A$7:$E$106,4))</f>
        <v/>
      </c>
      <c r="BX58" s="592">
        <f>IF($E58="PL",1,BW58/BX$7)</f>
        <v/>
      </c>
      <c r="BY58" s="594" t="n"/>
      <c r="BZ58" s="592" t="n"/>
      <c r="CA58" s="592">
        <f>IF($E58="FL",$AR58*$BQ58*$BR58*$BU58,$AR58)</f>
        <v/>
      </c>
      <c r="CB58" s="592">
        <f>IF($E58="FL",$BN58*$BQ58*$BR58*$BX58,$BN58)</f>
        <v/>
      </c>
      <c r="CC58" s="592" t="n"/>
      <c r="CD58" s="592">
        <f>IF($E58="FL",$CA58*(1-pre_FL),$CA58*(1-pre_PL))</f>
        <v/>
      </c>
      <c r="CE58" s="592">
        <f>IF($E58="FL",$CB58*(1-post_FL),$CB58*(1-post_PL))</f>
        <v/>
      </c>
      <c r="CF58" s="592" t="n"/>
      <c r="CG58" s="599">
        <f>CD58-CE58</f>
        <v/>
      </c>
      <c r="CH58" s="599">
        <f>MIN(CG58,IF(W58=Ret_Yr_pre,1,$X58)*Cap)</f>
        <v/>
      </c>
      <c r="CI58" s="128" t="n"/>
      <c r="CJ58" s="37">
        <f>IF(D58&gt;Current,Current,D58)</f>
        <v/>
      </c>
      <c r="CK58" s="37">
        <f>MATCH($CJ58,Tax_Tables[Tax Year],0)</f>
        <v/>
      </c>
      <c r="CL58" s="600" t="n">
        <v>0</v>
      </c>
      <c r="CM58" s="600">
        <f t="array" ref="CM58">INDEX(Tax_Tables[[Limits]:[Limits]],$CK58+CM$8)</f>
        <v/>
      </c>
      <c r="CN58" s="600">
        <f t="array" ref="CN58">INDEX(Tax_Tables[[Limits]:[Limits]],$CK58+CN$8)</f>
        <v/>
      </c>
      <c r="CO58" s="600">
        <f t="array" ref="CO58">INDEX(Tax_Tables[[Limits]:[Limits]],$CK58+CO$8)</f>
        <v/>
      </c>
      <c r="CP58" s="600">
        <f t="array" ref="CP58">INDEX(Tax_Tables[[Limits]:[Limits]],$CK58+CP$8)</f>
        <v/>
      </c>
      <c r="CQ58" s="600">
        <f t="array" ref="CQ58">INDEX(Tax_Tables[[Limits]:[Limits]],$CK58+CQ$8)</f>
        <v/>
      </c>
      <c r="CR58" s="600">
        <f t="array" ref="CR58">INDEX(Tax_Tables[[Limits]:[Limits]],$CK58+CR$8)</f>
        <v/>
      </c>
      <c r="CS58" s="37">
        <f>INDEX(Rebate[&lt;65],MATCH($CJ58,Rebate[[Tax Year]:[Tax Year]],0))</f>
        <v/>
      </c>
      <c r="CT58" s="37">
        <f>INDEX(Rebate[&lt;75],MATCH($CJ58,Rebate[[Tax Year]:[Tax Year]],0))</f>
        <v/>
      </c>
      <c r="CU58" s="37">
        <f>INDEX(Rebate[&gt;75],MATCH($CJ58,Rebate[[Tax Year]:[Tax Year]],0))</f>
        <v/>
      </c>
      <c r="CV58" s="37">
        <f>INDEX(Tax_Credit[Principal],MATCH($CJ58,Tax_Credit[[Tax Year]:[Tax Year]],0))</f>
        <v/>
      </c>
      <c r="CW58" s="37">
        <f>INDEX(Tax_Credit[First Dependant],MATCH($CJ58,Tax_Credit[[Tax Year]:[Tax Year]],0))</f>
        <v/>
      </c>
      <c r="CX58" s="37">
        <f>INDEX(Tax_Credit[Each Additional],MATCH($CJ58,Tax_Credit[[Tax Year]:[Tax Year]],0))</f>
        <v/>
      </c>
      <c r="CY58" s="484">
        <f>Y58</f>
        <v/>
      </c>
      <c r="CZ58" s="601">
        <f>AP58</f>
        <v/>
      </c>
      <c r="DA58" s="37">
        <f t="array" ref="DA58">INDEX($CL58:$CR58,0,MATCH($CZ58,$CL58:$CR58,1))</f>
        <v/>
      </c>
      <c r="DB58" s="37">
        <f t="array" ref="DB58">IFERROR(INDEX(Tax_Tables[Percentages],$CK58+MATCH($DA58,$CL58:$CR58,0)-1),"")</f>
        <v/>
      </c>
      <c r="DC58" s="37">
        <f t="array" ref="DC58">IFERROR(INDEX(Tax_Tables[Tax],$CK58+MATCH($DA58,$CL58:$CR58,0)-1),"")</f>
        <v/>
      </c>
      <c r="DD58" s="37">
        <f>IF(CY58&lt;65,CS58,IF(CY58&lt;75,CT58,CU58))</f>
        <v/>
      </c>
      <c r="DE58" s="37">
        <f>CV58*(Summary!$C$31="Y")+(Summary!$C$31="Y")*(CW58*(Pre_MDep&gt;=1)+CX58*MAX(Pre_MDep-1,0))</f>
        <v/>
      </c>
      <c r="DF58" s="599">
        <f>IFERROR(MAX(DB58*(CZ58-DA58)+DC58-DD58-DE58*12,0),"")</f>
        <v/>
      </c>
      <c r="DG58" s="602" t="n"/>
      <c r="DH58" s="601">
        <f>BL58</f>
        <v/>
      </c>
      <c r="DI58" s="37">
        <f t="array" ref="DI58">INDEX($CL58:$CR58,0,MATCH($DH58,$CL58:$CR58,1))</f>
        <v/>
      </c>
      <c r="DJ58" s="37">
        <f t="array" ref="DJ58">IFERROR(INDEX(Tax_Tables[Percentages],$CK58+MATCH($DI58,$CL58:$CR58,0)-1),"")</f>
        <v/>
      </c>
      <c r="DK58" s="37">
        <f t="array" ref="DK58">IFERROR(INDEX(Tax_Tables[Tax],$CK58+MATCH($DI58,$CL58:$CR58,0)-1),"")</f>
        <v/>
      </c>
      <c r="DL58" s="37">
        <f>CV58*(Summary!$C$81="Y")+(Summary!$C$81="Y")*(CW58*(Post_MDep&gt;=1)+CX58*MAX(Post_MDep-1,0))</f>
        <v/>
      </c>
      <c r="DM58" s="599">
        <f>IFERROR(MAX(DJ58*(DH58-DI58)+DK58-DD58-DL58*12,0),"")</f>
        <v/>
      </c>
      <c r="DN58" s="601" t="n"/>
      <c r="DO58" s="37" t="n"/>
      <c r="DP58" s="37" t="n"/>
      <c r="DQ58" s="37" t="n"/>
      <c r="DR58" s="37" t="n"/>
      <c r="DS58" s="37" t="n"/>
      <c r="DT58" s="37" t="n"/>
      <c r="DU58" s="37" t="n"/>
      <c r="DV58" s="37" t="n"/>
      <c r="DW58" s="37" t="n"/>
      <c r="DX58" s="599" t="n"/>
      <c r="DY58" s="131" t="n"/>
      <c r="DZ58" s="601" t="n"/>
      <c r="EA58" s="37" t="n"/>
      <c r="EB58" s="37" t="n"/>
      <c r="EC58" s="37" t="n"/>
      <c r="ED58" s="599" t="n"/>
      <c r="EE58" s="595" t="n"/>
      <c r="EF58" s="25" t="n"/>
    </row>
    <row r="59">
      <c r="C59" s="596">
        <f>C58+D59-D58</f>
        <v/>
      </c>
      <c r="D59" s="160">
        <f>AU59</f>
        <v/>
      </c>
      <c r="E59" s="87">
        <f>IF(DoC=V59,"Calc Date",IF(V59&lt;DoC,"PL","FL"))</f>
        <v/>
      </c>
      <c r="F59" s="310">
        <f>F58+1</f>
        <v/>
      </c>
      <c r="G59" s="31">
        <f>VLOOKUP(F59,C$10:D$148,2)</f>
        <v/>
      </c>
      <c r="H59" s="313">
        <f>H58</f>
        <v/>
      </c>
      <c r="I59" s="281">
        <f>I58</f>
        <v/>
      </c>
      <c r="J59" s="589">
        <f>I59*index/VLOOKUP($H59,CPI!A:E,4,FALSE)</f>
        <v/>
      </c>
      <c r="K59" s="589">
        <f>IF(L59="Linear",(J59-J58)/(G59-G58),0)</f>
        <v/>
      </c>
      <c r="L59" s="311" t="inlineStr">
        <is>
          <t>Flat</t>
        </is>
      </c>
      <c r="M59" s="137" t="n"/>
      <c r="N59" s="310">
        <f>N58+1</f>
        <v/>
      </c>
      <c r="O59" s="31">
        <f>O58+N59-N58</f>
        <v/>
      </c>
      <c r="P59" s="313">
        <f>P58</f>
        <v/>
      </c>
      <c r="Q59" s="281">
        <f>Q58</f>
        <v/>
      </c>
      <c r="R59" s="589">
        <f>Q59*index/VLOOKUP($P59,CPI!A:E,4,FALSE)</f>
        <v/>
      </c>
      <c r="S59" s="589">
        <f>IF(T59="Linear",(R59-R58)/(O59-O58),0)</f>
        <v/>
      </c>
      <c r="T59" s="311" t="inlineStr">
        <is>
          <t>Flat</t>
        </is>
      </c>
      <c r="U59" s="144" t="n"/>
      <c r="V59" s="6">
        <f>IF(AND($V58=DoA,MONTH(V58)&lt;3),DATE(YEAR(DoA),3,1),IF(AND(IFERROR(DATEDIF(V58,DoC,"M"),12)&lt;12,IFERROR(DATEDIF(V58,DoC,"M"),12)&gt;0),DoC,DATE(YEAR(V58)+(1-AND(YEAR(DoC)=Current,V58=DoC)-AND(V58=DoA,MONTH(V58)&lt;3)),3,1)))</f>
        <v/>
      </c>
      <c r="W59" s="31">
        <f>IF(V59=DoR_Pre,IF(MONTH(DoR_Pre)&gt;3,YEAR(DoR_Pre)+1,YEAR(DoR_Pre)),IF(MONTH(V59)&gt;3,Current,YEAR(V59)))</f>
        <v/>
      </c>
      <c r="X59" s="597">
        <f>IF(W59=Current,ROUND((V59-V58)/365.25,5),_xlfn.IFNA(INDEX(Summary!$A$5:$A$22,MATCH('LOE Sc1'!W59,Summary!$C$5:$C$22,0)),IF(W59=Ret_Yr_pre,ROUND((DoR_Pre-V58)/365.25,5),ROUND((V59-V58)/365.25,2))))</f>
        <v/>
      </c>
      <c r="Y59" s="55">
        <f>IF(AND(V59=DoC,MONTH(DoC)&lt;&gt;3),ROUNDDOWN(DATEDIF(DoB,V60,"M")/12,),ROUNDDOWN(DATEDIF(DoB,V59,"M")/12,))</f>
        <v/>
      </c>
      <c r="Z59" s="590" t="n"/>
      <c r="AA59" s="25">
        <f>MAX(RetAge_Pre-Y59,0)</f>
        <v/>
      </c>
      <c r="AB59" s="26">
        <f t="array" ref="AB59">IF(W59&gt;Ret_Yr_pre,0,_xlfn.IFNA(VLOOKUP(Y59,F$11:J$1000,5,),IF(AND(W59=Current,V59&gt;DoC,MONTH(DoC)&lt;&gt;3),AB58,AB58+INDEX(K$11:K$1000,MATCH(Y59,F$11:F$1000,1)+1))))</f>
        <v/>
      </c>
      <c r="AC59" s="590">
        <f>IF(V59&lt;DoC,AB59*VLOOKUP(YEAR(V59),CPI!A:E,4,FALSE)/index,AB59*real_i^INT(BP59))</f>
        <v/>
      </c>
      <c r="AD59" s="590">
        <f>$AC59/12*Bonus</f>
        <v/>
      </c>
      <c r="AE59" s="590">
        <f>IF($E59="FL",MedSub*m^INT(BP59),MedSub)*IF(Summary!$C$31="Y",1,0)*(W59&lt;=Ret_Yr_pre)*(Summary!C$31="Y")</f>
        <v/>
      </c>
      <c r="AF59" s="590">
        <f>IF(Summary!$C$30="Y",IF(E59&lt;&gt;"PL",VLOOKUP(Current,'Housing Allowance'!$A:$B,2,),VLOOKUP(YEAR($V59),'Housing Allowance'!$A:$B,2,)),0)*(W59&lt;=Ret_Yr_pre)</f>
        <v/>
      </c>
      <c r="AG59" s="590">
        <f>AC59*overtime</f>
        <v/>
      </c>
      <c r="AH59" s="590">
        <f>AC59*allow_1</f>
        <v/>
      </c>
      <c r="AI59" s="590">
        <f>(AB59&lt;&gt;0)*12*allow_2</f>
        <v/>
      </c>
      <c r="AJ59" s="590" t="n"/>
      <c r="AK59" s="581">
        <f>IF(YEAR(W59)&lt;=Ret_Yr_pre,SUM(AC59:AJ59),0)*IF($W59=Ret_Yr_pre,X59,1)</f>
        <v/>
      </c>
      <c r="AL59" s="581">
        <f>IF($W59&gt;=Ret_Yr_pre,pens_Pre*(GEPF_pre="Y"),0)*IF($W59=Ret_Yr_pre,1-$X59,1)*IF(Ret_Yr_pre&lt;Current,(_xlfn.IFNA(VLOOKUP($D59,CPI!$A:$E,2,FALSE),VLOOKUP(Current,CPI!$A:$E,2,FALSE))/VLOOKUP(Ret_Yr_pre,CPI!$A:$E,2,FALSE)),1)</f>
        <v/>
      </c>
      <c r="AM59" s="590">
        <f>$AC59*ee*IF($W59=Ret_Yr_pre,$X59,1)</f>
        <v/>
      </c>
      <c r="AN59" s="590">
        <f>$AC59*er*IF($W59=Ret_Yr_pre,$X59,1)</f>
        <v/>
      </c>
      <c r="AO59" s="590">
        <f>IF('LOE Sc1'!$W59=Ret_Yr_pre,Gratuity_Pre*(GEPF_pre="Y"),0)</f>
        <v/>
      </c>
      <c r="AP59" s="581">
        <f>AK59+AL59-$AM59-AN59*(GEPF_pre="Y")</f>
        <v/>
      </c>
      <c r="AQ59" s="590">
        <f>IF(DF59&lt;0,0,DF59)</f>
        <v/>
      </c>
      <c r="AR59" s="581">
        <f>(AP59-AQ59+AM59*(AM$7="Y")+AN59*(AN$7="Y"))*IF(W59&lt;Ret_Yr_pre,X59,1)+AO59</f>
        <v/>
      </c>
      <c r="AS59" s="595" t="n"/>
      <c r="AT59" s="6">
        <f>V59</f>
        <v/>
      </c>
      <c r="AU59" s="31">
        <f>W59</f>
        <v/>
      </c>
      <c r="AV59" s="598">
        <f>IF(AU59=Current,ROUND((AT59-AT58)/365.25,5),_xlfn.IFNA(INDEX(Summary!$A$55:$A$72,MATCH('LOE Sc1'!AU59,Summary!$C$55:$C$72,0)),IF(AU59=Ret_Yr_post,ROUND((DoR_Post-AT58)/365.25,5),ROUND((AT59-AT58)/365.25,2))))</f>
        <v/>
      </c>
      <c r="AW59" s="55">
        <f>Y59</f>
        <v/>
      </c>
      <c r="AX59" s="26">
        <f t="array" ref="AX59">IF(AU59&gt;Ret_Yr_post,0,_xlfn.IFNA(VLOOKUP(AW59,N$11:S$1000,5,),IF(AND(AU59=Current,AT59&gt;DoC,MONTH(DoC)&lt;&gt;3),AX58,AX58+INDEX(S$11:S$1000,MATCH(AW59,N$11:N$1000,1)+1))))</f>
        <v/>
      </c>
      <c r="AY59" s="590">
        <f>IF($V59&lt;DoC,AX59*VLOOKUP(YEAR($V59),CPI_Table,4,FALSE)/index,AX59*real_i^INT(BP59))</f>
        <v/>
      </c>
      <c r="AZ59" s="590">
        <f>$AY59/12*Bonus_Post*($AW59&lt;=RetAge_Post)</f>
        <v/>
      </c>
      <c r="BA59" s="590">
        <f>IF($E59="FL",MedSub*m^INT(BP59),MedSub)*IF(Summary!$C$81="Y",1,0)*($AU59&lt;=Ret_Yr_post)*(Summary!$C$81="Y")</f>
        <v/>
      </c>
      <c r="BB59" s="590">
        <f>IF(Summary!$C$80="Y",IF($E59&lt;&gt;"PL",VLOOKUP(Current,'Housing Allowance'!$A:$B,2,),VLOOKUP(YEAR($AT59),'Housing Allowance'!$A:$B,2,)),0)*($AU59&lt;=Ret_Yr_post)</f>
        <v/>
      </c>
      <c r="BC59" s="590">
        <f>AY59*overtime_post</f>
        <v/>
      </c>
      <c r="BD59" s="590">
        <f>$AY59*allow_1_post</f>
        <v/>
      </c>
      <c r="BE59" s="590">
        <f>($AY59&lt;&gt;0)*allow_2_post*12</f>
        <v/>
      </c>
      <c r="BF59" s="590" t="n"/>
      <c r="BG59" s="581">
        <f>IF(YEAR($V59)&lt;=Ret_Yr_post,SUM(AY59:BF59),0)*IF($W59=Ret_Yr_post,AV59,1)</f>
        <v/>
      </c>
      <c r="BH59" s="581">
        <f>IF($W59&gt;=Ret_Yr_post,pens_Post*(GEPF_pre="Y"),0)*IF($W59=Ret_Yr_post,1-$AV59,1)*IF(Ret_Yr_post&lt;Current,(_xlfn.IFNA(VLOOKUP($D59,CPI!$A:$E,2,FALSE),VLOOKUP(Current,CPI!$A:$E,2,FALSE))/VLOOKUP(Ret_Yr_post,CPI!$A:$E,2,FALSE)),1)</f>
        <v/>
      </c>
      <c r="BI59" s="590">
        <f>$AY59*ee_post*IF($W59=Ret_Yr_post,$AV59,1)</f>
        <v/>
      </c>
      <c r="BJ59" s="590">
        <f>$AY59*er_post*IF($W59=Ret_Yr_post,$AV59,1)</f>
        <v/>
      </c>
      <c r="BK59" s="590">
        <f>IF('LOE Sc1'!$W59=Ret_Yr_post,Gratuity_Post*(GEPF_post="Y"),0)</f>
        <v/>
      </c>
      <c r="BL59" s="581">
        <f>BG59+BH59-BI59-BJ59*(GEPF_post="Y")</f>
        <v/>
      </c>
      <c r="BM59" s="590">
        <f>IF(DM59&lt;0,0,DM59)</f>
        <v/>
      </c>
      <c r="BN59" s="581">
        <f>(BL59-BM59+BI59*(BI$7="Y")+BJ59*(BJ$7="Y"))*IF($W59&lt;Ret_Yr_post,AV59,1)+BK59</f>
        <v/>
      </c>
      <c r="BO59" s="591" t="n"/>
      <c r="BP59" s="592">
        <f>IF($E59="FL",IF($X59&lt;=DoC,DATEDIF(DoC,$V59,"M")/12,0),0)</f>
        <v/>
      </c>
      <c r="BQ59" s="592">
        <f>IF($E59="FL",(1+CPI)^INT(BP59),0)</f>
        <v/>
      </c>
      <c r="BR59" s="592">
        <f>IF($E59="FL",IF(($BP59-0.5)&gt;=0,1/(1+d)^($BP59-0.5),1/(1+d)^($BP59)),0)</f>
        <v/>
      </c>
      <c r="BS59" s="592" t="n"/>
      <c r="BT59" s="25">
        <f>IF(gender="M",VLOOKUP($Y59+pre_mort+IF(MONTH(DoC)&lt;MONTH(DoB),IF(MONTH(DoC)&lt;3,0,-1),IF(MONTH(DoB)&lt;3,-1,0)),'SALT LIFE TABLES'!$A$7:$E$106,2),VLOOKUP($Y59+pre_mort+IF(MONTH(DoC)&lt;MONTH(DoB),IF(MONTH(DoC)&lt;3,0,-1),IF(MONTH(DoB)&lt;3,-1,0)),'SALT LIFE TABLES'!$A$7:$E$106,4))</f>
        <v/>
      </c>
      <c r="BU59" s="592">
        <f>IF($E59="PL",1,BT59/BU$7)</f>
        <v/>
      </c>
      <c r="BV59" s="593" t="n"/>
      <c r="BW59" s="25">
        <f>IF(gender="M",VLOOKUP($Y59+post_mort+IF(MONTH(DoC)&lt;MONTH(DoB),IF(MONTH(DoC)&lt;3,0,-1),IF(MONTH(DoB)&lt;3,-1,0)),'SALT LIFE TABLES'!$A$7:$E$106,2),VLOOKUP($Y59+post_mort+IF(MONTH(DoC)&lt;MONTH(DoB),IF(MONTH(DoC)&lt;3,0,-1),IF(MONTH(DoB)&lt;3,-1,0)),'SALT LIFE TABLES'!$A$7:$E$106,4))</f>
        <v/>
      </c>
      <c r="BX59" s="592">
        <f>IF($E59="PL",1,BW59/BX$7)</f>
        <v/>
      </c>
      <c r="BY59" s="594" t="n"/>
      <c r="BZ59" s="592" t="n"/>
      <c r="CA59" s="592">
        <f>IF($E59="FL",$AR59*$BQ59*$BR59*$BU59,$AR59)</f>
        <v/>
      </c>
      <c r="CB59" s="592">
        <f>IF($E59="FL",$BN59*$BQ59*$BR59*$BX59,$BN59)</f>
        <v/>
      </c>
      <c r="CC59" s="592" t="n"/>
      <c r="CD59" s="592">
        <f>IF($E59="FL",$CA59*(1-pre_FL),$CA59*(1-pre_PL))</f>
        <v/>
      </c>
      <c r="CE59" s="592">
        <f>IF($E59="FL",$CB59*(1-post_FL),$CB59*(1-post_PL))</f>
        <v/>
      </c>
      <c r="CF59" s="592" t="n"/>
      <c r="CG59" s="599">
        <f>CD59-CE59</f>
        <v/>
      </c>
      <c r="CH59" s="599">
        <f>MIN(CG59,IF(W59=Ret_Yr_pre,1,$X59)*Cap)</f>
        <v/>
      </c>
      <c r="CI59" s="128" t="n"/>
      <c r="CJ59" s="37">
        <f>IF(D59&gt;Current,Current,D59)</f>
        <v/>
      </c>
      <c r="CK59" s="37">
        <f>MATCH($CJ59,Tax_Tables[Tax Year],0)</f>
        <v/>
      </c>
      <c r="CL59" s="600" t="n">
        <v>0</v>
      </c>
      <c r="CM59" s="600">
        <f t="array" ref="CM59">INDEX(Tax_Tables[[Limits]:[Limits]],$CK59+CM$8)</f>
        <v/>
      </c>
      <c r="CN59" s="600">
        <f t="array" ref="CN59">INDEX(Tax_Tables[[Limits]:[Limits]],$CK59+CN$8)</f>
        <v/>
      </c>
      <c r="CO59" s="600">
        <f t="array" ref="CO59">INDEX(Tax_Tables[[Limits]:[Limits]],$CK59+CO$8)</f>
        <v/>
      </c>
      <c r="CP59" s="600">
        <f t="array" ref="CP59">INDEX(Tax_Tables[[Limits]:[Limits]],$CK59+CP$8)</f>
        <v/>
      </c>
      <c r="CQ59" s="600">
        <f t="array" ref="CQ59">INDEX(Tax_Tables[[Limits]:[Limits]],$CK59+CQ$8)</f>
        <v/>
      </c>
      <c r="CR59" s="600">
        <f t="array" ref="CR59">INDEX(Tax_Tables[[Limits]:[Limits]],$CK59+CR$8)</f>
        <v/>
      </c>
      <c r="CS59" s="37">
        <f>INDEX(Rebate[&lt;65],MATCH($CJ59,Rebate[[Tax Year]:[Tax Year]],0))</f>
        <v/>
      </c>
      <c r="CT59" s="37">
        <f>INDEX(Rebate[&lt;75],MATCH($CJ59,Rebate[[Tax Year]:[Tax Year]],0))</f>
        <v/>
      </c>
      <c r="CU59" s="37">
        <f>INDEX(Rebate[&gt;75],MATCH($CJ59,Rebate[[Tax Year]:[Tax Year]],0))</f>
        <v/>
      </c>
      <c r="CV59" s="37">
        <f>INDEX(Tax_Credit[Principal],MATCH($CJ59,Tax_Credit[[Tax Year]:[Tax Year]],0))</f>
        <v/>
      </c>
      <c r="CW59" s="37">
        <f>INDEX(Tax_Credit[First Dependant],MATCH($CJ59,Tax_Credit[[Tax Year]:[Tax Year]],0))</f>
        <v/>
      </c>
      <c r="CX59" s="37">
        <f>INDEX(Tax_Credit[Each Additional],MATCH($CJ59,Tax_Credit[[Tax Year]:[Tax Year]],0))</f>
        <v/>
      </c>
      <c r="CY59" s="484">
        <f>Y59</f>
        <v/>
      </c>
      <c r="CZ59" s="601">
        <f>AP59</f>
        <v/>
      </c>
      <c r="DA59" s="37">
        <f t="array" ref="DA59">INDEX($CL59:$CR59,0,MATCH($CZ59,$CL59:$CR59,1))</f>
        <v/>
      </c>
      <c r="DB59" s="37">
        <f t="array" ref="DB59">IFERROR(INDEX(Tax_Tables[Percentages],$CK59+MATCH($DA59,$CL59:$CR59,0)-1),"")</f>
        <v/>
      </c>
      <c r="DC59" s="37">
        <f t="array" ref="DC59">IFERROR(INDEX(Tax_Tables[Tax],$CK59+MATCH($DA59,$CL59:$CR59,0)-1),"")</f>
        <v/>
      </c>
      <c r="DD59" s="37">
        <f>IF(CY59&lt;65,CS59,IF(CY59&lt;75,CT59,CU59))</f>
        <v/>
      </c>
      <c r="DE59" s="37">
        <f>CV59*(Summary!$C$31="Y")+(Summary!$C$31="Y")*(CW59*(Pre_MDep&gt;=1)+CX59*MAX(Pre_MDep-1,0))</f>
        <v/>
      </c>
      <c r="DF59" s="599">
        <f>IFERROR(MAX(DB59*(CZ59-DA59)+DC59-DD59-DE59*12,0),"")</f>
        <v/>
      </c>
      <c r="DG59" s="602" t="n"/>
      <c r="DH59" s="601">
        <f>BL59</f>
        <v/>
      </c>
      <c r="DI59" s="37">
        <f t="array" ref="DI59">INDEX($CL59:$CR59,0,MATCH($DH59,$CL59:$CR59,1))</f>
        <v/>
      </c>
      <c r="DJ59" s="37">
        <f t="array" ref="DJ59">IFERROR(INDEX(Tax_Tables[Percentages],$CK59+MATCH($DI59,$CL59:$CR59,0)-1),"")</f>
        <v/>
      </c>
      <c r="DK59" s="37">
        <f t="array" ref="DK59">IFERROR(INDEX(Tax_Tables[Tax],$CK59+MATCH($DI59,$CL59:$CR59,0)-1),"")</f>
        <v/>
      </c>
      <c r="DL59" s="37">
        <f>CV59*(Summary!$C$81="Y")+(Summary!$C$81="Y")*(CW59*(Post_MDep&gt;=1)+CX59*MAX(Post_MDep-1,0))</f>
        <v/>
      </c>
      <c r="DM59" s="599">
        <f>IFERROR(MAX(DJ59*(DH59-DI59)+DK59-DD59-DL59*12,0),"")</f>
        <v/>
      </c>
      <c r="DN59" s="601" t="n"/>
      <c r="DO59" s="37" t="n"/>
      <c r="DP59" s="37" t="n"/>
      <c r="DQ59" s="37" t="n"/>
      <c r="DR59" s="37" t="n"/>
      <c r="DS59" s="37" t="n"/>
      <c r="DT59" s="37" t="n"/>
      <c r="DU59" s="37" t="n"/>
      <c r="DV59" s="37" t="n"/>
      <c r="DW59" s="37" t="n"/>
      <c r="DX59" s="599" t="n"/>
      <c r="DY59" s="131" t="n"/>
      <c r="DZ59" s="601" t="n"/>
      <c r="EA59" s="37" t="n"/>
      <c r="EB59" s="37" t="n"/>
      <c r="EC59" s="37" t="n"/>
      <c r="ED59" s="599" t="n"/>
      <c r="EE59" s="595" t="n"/>
      <c r="EF59" s="25" t="n"/>
    </row>
    <row r="60">
      <c r="C60" s="596">
        <f>C59+D60-D59</f>
        <v/>
      </c>
      <c r="D60" s="160">
        <f>AU60</f>
        <v/>
      </c>
      <c r="E60" s="87">
        <f>IF(DoC=V60,"Calc Date",IF(V60&lt;DoC,"PL","FL"))</f>
        <v/>
      </c>
      <c r="F60" s="310">
        <f>F59+1</f>
        <v/>
      </c>
      <c r="G60" s="31">
        <f>VLOOKUP(F60,C$10:D$148,2)</f>
        <v/>
      </c>
      <c r="H60" s="313">
        <f>H59</f>
        <v/>
      </c>
      <c r="I60" s="281">
        <f>I59</f>
        <v/>
      </c>
      <c r="J60" s="589">
        <f>I60*index/VLOOKUP($H60,CPI!A:E,4,FALSE)</f>
        <v/>
      </c>
      <c r="K60" s="589">
        <f>IF(L60="Linear",(J60-J59)/(G60-G59),0)</f>
        <v/>
      </c>
      <c r="L60" s="311" t="inlineStr">
        <is>
          <t>Flat</t>
        </is>
      </c>
      <c r="M60" s="137" t="n"/>
      <c r="N60" s="310">
        <f>N59+1</f>
        <v/>
      </c>
      <c r="O60" s="31">
        <f>O59+N60-N59</f>
        <v/>
      </c>
      <c r="P60" s="313">
        <f>P59</f>
        <v/>
      </c>
      <c r="Q60" s="281">
        <f>Q59</f>
        <v/>
      </c>
      <c r="R60" s="589">
        <f>Q60*index/VLOOKUP($P60,CPI!A:E,4,FALSE)</f>
        <v/>
      </c>
      <c r="S60" s="589">
        <f>IF(T60="Linear",(R60-R59)/(O60-O59),0)</f>
        <v/>
      </c>
      <c r="T60" s="311" t="inlineStr">
        <is>
          <t>Flat</t>
        </is>
      </c>
      <c r="U60" s="144" t="n"/>
      <c r="V60" s="6">
        <f>IF(AND($V59=DoA,MONTH(V59)&lt;3),DATE(YEAR(DoA),3,1),IF(AND(IFERROR(DATEDIF(V59,DoC,"M"),12)&lt;12,IFERROR(DATEDIF(V59,DoC,"M"),12)&gt;0),DoC,DATE(YEAR(V59)+(1-AND(YEAR(DoC)=Current,V59=DoC)-AND(V59=DoA,MONTH(V59)&lt;3)),3,1)))</f>
        <v/>
      </c>
      <c r="W60" s="31">
        <f>IF(V60=DoR_Pre,IF(MONTH(DoR_Pre)&gt;3,YEAR(DoR_Pre)+1,YEAR(DoR_Pre)),IF(MONTH(V60)&gt;3,Current,YEAR(V60)))</f>
        <v/>
      </c>
      <c r="X60" s="597">
        <f>IF(W60=Current,ROUND((V60-V59)/365.25,5),_xlfn.IFNA(INDEX(Summary!$A$5:$A$22,MATCH('LOE Sc1'!W60,Summary!$C$5:$C$22,0)),IF(W60=Ret_Yr_pre,ROUND((DoR_Pre-V59)/365.25,5),ROUND((V60-V59)/365.25,2))))</f>
        <v/>
      </c>
      <c r="Y60" s="55">
        <f>IF(AND(V60=DoC,MONTH(DoC)&lt;&gt;3),ROUNDDOWN(DATEDIF(DoB,V61,"M")/12,),ROUNDDOWN(DATEDIF(DoB,V60,"M")/12,))</f>
        <v/>
      </c>
      <c r="Z60" s="590" t="n"/>
      <c r="AA60" s="25">
        <f>MAX(RetAge_Pre-Y60,0)</f>
        <v/>
      </c>
      <c r="AB60" s="26">
        <f t="array" ref="AB60">IF(W60&gt;Ret_Yr_pre,0,_xlfn.IFNA(VLOOKUP(Y60,F$11:J$1000,5,),IF(AND(W60=Current,V60&gt;DoC,MONTH(DoC)&lt;&gt;3),AB59,AB59+INDEX(K$11:K$1000,MATCH(Y60,F$11:F$1000,1)+1))))</f>
        <v/>
      </c>
      <c r="AC60" s="590">
        <f>IF(V60&lt;DoC,AB60*VLOOKUP(YEAR(V60),CPI!A:E,4,FALSE)/index,AB60*real_i^INT(BP60))</f>
        <v/>
      </c>
      <c r="AD60" s="590">
        <f>$AC60/12*Bonus</f>
        <v/>
      </c>
      <c r="AE60" s="590">
        <f>IF($E60="FL",MedSub*m^INT(BP60),MedSub)*IF(Summary!$C$31="Y",1,0)*(W60&lt;=Ret_Yr_pre)*(Summary!C$31="Y")</f>
        <v/>
      </c>
      <c r="AF60" s="590">
        <f>IF(Summary!$C$30="Y",IF(E60&lt;&gt;"PL",VLOOKUP(Current,'Housing Allowance'!$A:$B,2,),VLOOKUP(YEAR($V60),'Housing Allowance'!$A:$B,2,)),0)*(W60&lt;=Ret_Yr_pre)</f>
        <v/>
      </c>
      <c r="AG60" s="590">
        <f>AC60*overtime</f>
        <v/>
      </c>
      <c r="AH60" s="590">
        <f>AC60*allow_1</f>
        <v/>
      </c>
      <c r="AI60" s="590">
        <f>(AB60&lt;&gt;0)*12*allow_2</f>
        <v/>
      </c>
      <c r="AJ60" s="590" t="n"/>
      <c r="AK60" s="581">
        <f>IF(YEAR(W60)&lt;=Ret_Yr_pre,SUM(AC60:AJ60),0)*IF($W60=Ret_Yr_pre,X60,1)</f>
        <v/>
      </c>
      <c r="AL60" s="581">
        <f>IF($W60&gt;=Ret_Yr_pre,pens_Pre*(GEPF_pre="Y"),0)*IF($W60=Ret_Yr_pre,1-$X60,1)*IF(Ret_Yr_pre&lt;Current,(_xlfn.IFNA(VLOOKUP($D60,CPI!$A:$E,2,FALSE),VLOOKUP(Current,CPI!$A:$E,2,FALSE))/VLOOKUP(Ret_Yr_pre,CPI!$A:$E,2,FALSE)),1)</f>
        <v/>
      </c>
      <c r="AM60" s="590">
        <f>$AC60*ee*IF($W60=Ret_Yr_pre,$X60,1)</f>
        <v/>
      </c>
      <c r="AN60" s="590">
        <f>$AC60*er*IF($W60=Ret_Yr_pre,$X60,1)</f>
        <v/>
      </c>
      <c r="AO60" s="590">
        <f>IF('LOE Sc1'!$W60=Ret_Yr_pre,Gratuity_Pre*(GEPF_pre="Y"),0)</f>
        <v/>
      </c>
      <c r="AP60" s="581">
        <f>AK60+AL60-$AM60-AN60*(GEPF_pre="Y")</f>
        <v/>
      </c>
      <c r="AQ60" s="590">
        <f>IF(DF60&lt;0,0,DF60)</f>
        <v/>
      </c>
      <c r="AR60" s="581">
        <f>(AP60-AQ60+AM60*(AM$7="Y")+AN60*(AN$7="Y"))*IF(W60&lt;Ret_Yr_pre,X60,1)+AO60</f>
        <v/>
      </c>
      <c r="AS60" s="595" t="n"/>
      <c r="AT60" s="6">
        <f>V60</f>
        <v/>
      </c>
      <c r="AU60" s="31">
        <f>W60</f>
        <v/>
      </c>
      <c r="AV60" s="598">
        <f>IF(AU60=Current,ROUND((AT60-AT59)/365.25,5),_xlfn.IFNA(INDEX(Summary!$A$55:$A$72,MATCH('LOE Sc1'!AU60,Summary!$C$55:$C$72,0)),IF(AU60=Ret_Yr_post,ROUND((DoR_Post-AT59)/365.25,5),ROUND((AT60-AT59)/365.25,2))))</f>
        <v/>
      </c>
      <c r="AW60" s="55">
        <f>Y60</f>
        <v/>
      </c>
      <c r="AX60" s="26">
        <f t="array" ref="AX60">IF(AU60&gt;Ret_Yr_post,0,_xlfn.IFNA(VLOOKUP(AW60,N$11:S$1000,5,),IF(AND(AU60=Current,AT60&gt;DoC,MONTH(DoC)&lt;&gt;3),AX59,AX59+INDEX(S$11:S$1000,MATCH(AW60,N$11:N$1000,1)+1))))</f>
        <v/>
      </c>
      <c r="AY60" s="590">
        <f>IF($V60&lt;DoC,AX60*VLOOKUP(YEAR($V60),CPI_Table,4,FALSE)/index,AX60*real_i^INT(BP60))</f>
        <v/>
      </c>
      <c r="AZ60" s="590">
        <f>$AY60/12*Bonus_Post*($AW60&lt;=RetAge_Post)</f>
        <v/>
      </c>
      <c r="BA60" s="590">
        <f>IF($E60="FL",MedSub*m^INT(BP60),MedSub)*IF(Summary!$C$81="Y",1,0)*($AU60&lt;=Ret_Yr_post)*(Summary!$C$81="Y")</f>
        <v/>
      </c>
      <c r="BB60" s="590">
        <f>IF(Summary!$C$80="Y",IF($E60&lt;&gt;"PL",VLOOKUP(Current,'Housing Allowance'!$A:$B,2,),VLOOKUP(YEAR($AT60),'Housing Allowance'!$A:$B,2,)),0)*($AU60&lt;=Ret_Yr_post)</f>
        <v/>
      </c>
      <c r="BC60" s="590">
        <f>AY60*overtime_post</f>
        <v/>
      </c>
      <c r="BD60" s="590">
        <f>$AY60*allow_1_post</f>
        <v/>
      </c>
      <c r="BE60" s="590">
        <f>($AY60&lt;&gt;0)*allow_2_post*12</f>
        <v/>
      </c>
      <c r="BF60" s="590" t="n"/>
      <c r="BG60" s="581">
        <f>IF(YEAR($V60)&lt;=Ret_Yr_post,SUM(AY60:BF60),0)*IF($W60=Ret_Yr_post,AV60,1)</f>
        <v/>
      </c>
      <c r="BH60" s="581">
        <f>IF($W60&gt;=Ret_Yr_post,pens_Post*(GEPF_pre="Y"),0)*IF($W60=Ret_Yr_post,1-$AV60,1)*IF(Ret_Yr_post&lt;Current,(_xlfn.IFNA(VLOOKUP($D60,CPI!$A:$E,2,FALSE),VLOOKUP(Current,CPI!$A:$E,2,FALSE))/VLOOKUP(Ret_Yr_post,CPI!$A:$E,2,FALSE)),1)</f>
        <v/>
      </c>
      <c r="BI60" s="590">
        <f>$AY60*ee_post*IF($W60=Ret_Yr_post,$AV60,1)</f>
        <v/>
      </c>
      <c r="BJ60" s="590">
        <f>$AY60*er_post*IF($W60=Ret_Yr_post,$AV60,1)</f>
        <v/>
      </c>
      <c r="BK60" s="590">
        <f>IF('LOE Sc1'!$W60=Ret_Yr_post,Gratuity_Post*(GEPF_post="Y"),0)</f>
        <v/>
      </c>
      <c r="BL60" s="581">
        <f>BG60+BH60-BI60-BJ60*(GEPF_post="Y")</f>
        <v/>
      </c>
      <c r="BM60" s="590">
        <f>IF(DM60&lt;0,0,DM60)</f>
        <v/>
      </c>
      <c r="BN60" s="581">
        <f>(BL60-BM60+BI60*(BI$7="Y")+BJ60*(BJ$7="Y"))*IF($W60&lt;Ret_Yr_post,AV60,1)+BK60</f>
        <v/>
      </c>
      <c r="BO60" s="591" t="n"/>
      <c r="BP60" s="592">
        <f>IF($E60="FL",IF($X60&lt;=DoC,DATEDIF(DoC,$V60,"M")/12,0),0)</f>
        <v/>
      </c>
      <c r="BQ60" s="592">
        <f>IF($E60="FL",(1+CPI)^INT(BP60),0)</f>
        <v/>
      </c>
      <c r="BR60" s="592">
        <f>IF($E60="FL",IF(($BP60-0.5)&gt;=0,1/(1+d)^($BP60-0.5),1/(1+d)^($BP60)),0)</f>
        <v/>
      </c>
      <c r="BS60" s="592" t="n"/>
      <c r="BT60" s="25">
        <f>IF(gender="M",VLOOKUP($Y60+pre_mort+IF(MONTH(DoC)&lt;MONTH(DoB),IF(MONTH(DoC)&lt;3,0,-1),IF(MONTH(DoB)&lt;3,-1,0)),'SALT LIFE TABLES'!$A$7:$E$106,2),VLOOKUP($Y60+pre_mort+IF(MONTH(DoC)&lt;MONTH(DoB),IF(MONTH(DoC)&lt;3,0,-1),IF(MONTH(DoB)&lt;3,-1,0)),'SALT LIFE TABLES'!$A$7:$E$106,4))</f>
        <v/>
      </c>
      <c r="BU60" s="592">
        <f>IF($E60="PL",1,BT60/BU$7)</f>
        <v/>
      </c>
      <c r="BV60" s="593" t="n"/>
      <c r="BW60" s="25">
        <f>IF(gender="M",VLOOKUP($Y60+post_mort+IF(MONTH(DoC)&lt;MONTH(DoB),IF(MONTH(DoC)&lt;3,0,-1),IF(MONTH(DoB)&lt;3,-1,0)),'SALT LIFE TABLES'!$A$7:$E$106,2),VLOOKUP($Y60+post_mort+IF(MONTH(DoC)&lt;MONTH(DoB),IF(MONTH(DoC)&lt;3,0,-1),IF(MONTH(DoB)&lt;3,-1,0)),'SALT LIFE TABLES'!$A$7:$E$106,4))</f>
        <v/>
      </c>
      <c r="BX60" s="592">
        <f>IF($E60="PL",1,BW60/BX$7)</f>
        <v/>
      </c>
      <c r="BY60" s="594" t="n"/>
      <c r="BZ60" s="592" t="n"/>
      <c r="CA60" s="592">
        <f>IF($E60="FL",$AR60*$BQ60*$BR60*$BU60,$AR60)</f>
        <v/>
      </c>
      <c r="CB60" s="592">
        <f>IF($E60="FL",$BN60*$BQ60*$BR60*$BX60,$BN60)</f>
        <v/>
      </c>
      <c r="CC60" s="592" t="n"/>
      <c r="CD60" s="592">
        <f>IF($E60="FL",$CA60*(1-pre_FL),$CA60*(1-pre_PL))</f>
        <v/>
      </c>
      <c r="CE60" s="592">
        <f>IF($E60="FL",$CB60*(1-post_FL),$CB60*(1-post_PL))</f>
        <v/>
      </c>
      <c r="CF60" s="592" t="n"/>
      <c r="CG60" s="599">
        <f>CD60-CE60</f>
        <v/>
      </c>
      <c r="CH60" s="599">
        <f>MIN(CG60,IF(W60=Ret_Yr_pre,1,$X60)*Cap)</f>
        <v/>
      </c>
      <c r="CI60" s="128" t="n"/>
      <c r="CJ60" s="37">
        <f>IF(D60&gt;Current,Current,D60)</f>
        <v/>
      </c>
      <c r="CK60" s="37">
        <f>MATCH($CJ60,Tax_Tables[Tax Year],0)</f>
        <v/>
      </c>
      <c r="CL60" s="600" t="n">
        <v>0</v>
      </c>
      <c r="CM60" s="600">
        <f t="array" ref="CM60">INDEX(Tax_Tables[[Limits]:[Limits]],$CK60+CM$8)</f>
        <v/>
      </c>
      <c r="CN60" s="600">
        <f t="array" ref="CN60">INDEX(Tax_Tables[[Limits]:[Limits]],$CK60+CN$8)</f>
        <v/>
      </c>
      <c r="CO60" s="600">
        <f t="array" ref="CO60">INDEX(Tax_Tables[[Limits]:[Limits]],$CK60+CO$8)</f>
        <v/>
      </c>
      <c r="CP60" s="600">
        <f t="array" ref="CP60">INDEX(Tax_Tables[[Limits]:[Limits]],$CK60+CP$8)</f>
        <v/>
      </c>
      <c r="CQ60" s="600">
        <f t="array" ref="CQ60">INDEX(Tax_Tables[[Limits]:[Limits]],$CK60+CQ$8)</f>
        <v/>
      </c>
      <c r="CR60" s="600">
        <f t="array" ref="CR60">INDEX(Tax_Tables[[Limits]:[Limits]],$CK60+CR$8)</f>
        <v/>
      </c>
      <c r="CS60" s="37">
        <f>INDEX(Rebate[&lt;65],MATCH($CJ60,Rebate[[Tax Year]:[Tax Year]],0))</f>
        <v/>
      </c>
      <c r="CT60" s="37">
        <f>INDEX(Rebate[&lt;75],MATCH($CJ60,Rebate[[Tax Year]:[Tax Year]],0))</f>
        <v/>
      </c>
      <c r="CU60" s="37">
        <f>INDEX(Rebate[&gt;75],MATCH($CJ60,Rebate[[Tax Year]:[Tax Year]],0))</f>
        <v/>
      </c>
      <c r="CV60" s="37">
        <f>INDEX(Tax_Credit[Principal],MATCH($CJ60,Tax_Credit[[Tax Year]:[Tax Year]],0))</f>
        <v/>
      </c>
      <c r="CW60" s="37">
        <f>INDEX(Tax_Credit[First Dependant],MATCH($CJ60,Tax_Credit[[Tax Year]:[Tax Year]],0))</f>
        <v/>
      </c>
      <c r="CX60" s="37">
        <f>INDEX(Tax_Credit[Each Additional],MATCH($CJ60,Tax_Credit[[Tax Year]:[Tax Year]],0))</f>
        <v/>
      </c>
      <c r="CY60" s="484">
        <f>Y60</f>
        <v/>
      </c>
      <c r="CZ60" s="601">
        <f>AP60</f>
        <v/>
      </c>
      <c r="DA60" s="37">
        <f t="array" ref="DA60">INDEX($CL60:$CR60,0,MATCH($CZ60,$CL60:$CR60,1))</f>
        <v/>
      </c>
      <c r="DB60" s="37">
        <f t="array" ref="DB60">IFERROR(INDEX(Tax_Tables[Percentages],$CK60+MATCH($DA60,$CL60:$CR60,0)-1),"")</f>
        <v/>
      </c>
      <c r="DC60" s="37">
        <f t="array" ref="DC60">IFERROR(INDEX(Tax_Tables[Tax],$CK60+MATCH($DA60,$CL60:$CR60,0)-1),"")</f>
        <v/>
      </c>
      <c r="DD60" s="37">
        <f>IF(CY60&lt;65,CS60,IF(CY60&lt;75,CT60,CU60))</f>
        <v/>
      </c>
      <c r="DE60" s="37">
        <f>CV60*(Summary!$C$31="Y")+(Summary!$C$31="Y")*(CW60*(Pre_MDep&gt;=1)+CX60*MAX(Pre_MDep-1,0))</f>
        <v/>
      </c>
      <c r="DF60" s="599">
        <f>IFERROR(MAX(DB60*(CZ60-DA60)+DC60-DD60-DE60*12,0),"")</f>
        <v/>
      </c>
      <c r="DG60" s="602" t="n"/>
      <c r="DH60" s="601">
        <f>BL60</f>
        <v/>
      </c>
      <c r="DI60" s="37">
        <f t="array" ref="DI60">INDEX($CL60:$CR60,0,MATCH($DH60,$CL60:$CR60,1))</f>
        <v/>
      </c>
      <c r="DJ60" s="37">
        <f t="array" ref="DJ60">IFERROR(INDEX(Tax_Tables[Percentages],$CK60+MATCH($DI60,$CL60:$CR60,0)-1),"")</f>
        <v/>
      </c>
      <c r="DK60" s="37">
        <f t="array" ref="DK60">IFERROR(INDEX(Tax_Tables[Tax],$CK60+MATCH($DI60,$CL60:$CR60,0)-1),"")</f>
        <v/>
      </c>
      <c r="DL60" s="37">
        <f>CV60*(Summary!$C$81="Y")+(Summary!$C$81="Y")*(CW60*(Post_MDep&gt;=1)+CX60*MAX(Post_MDep-1,0))</f>
        <v/>
      </c>
      <c r="DM60" s="599">
        <f>IFERROR(MAX(DJ60*(DH60-DI60)+DK60-DD60-DL60*12,0),"")</f>
        <v/>
      </c>
      <c r="DN60" s="601" t="n"/>
      <c r="DO60" s="37" t="n"/>
      <c r="DP60" s="37" t="n"/>
      <c r="DQ60" s="37" t="n"/>
      <c r="DR60" s="37" t="n"/>
      <c r="DS60" s="37" t="n"/>
      <c r="DT60" s="37" t="n"/>
      <c r="DU60" s="37" t="n"/>
      <c r="DV60" s="37" t="n"/>
      <c r="DW60" s="37" t="n"/>
      <c r="DX60" s="599" t="n"/>
      <c r="DY60" s="131" t="n"/>
      <c r="DZ60" s="601" t="n"/>
      <c r="EA60" s="37" t="n"/>
      <c r="EB60" s="37" t="n"/>
      <c r="EC60" s="37" t="n"/>
      <c r="ED60" s="599" t="n"/>
      <c r="EE60" s="595" t="n"/>
      <c r="EF60" s="25" t="n"/>
    </row>
    <row r="61">
      <c r="C61" s="596">
        <f>C60+D61-D60</f>
        <v/>
      </c>
      <c r="D61" s="160">
        <f>AU61</f>
        <v/>
      </c>
      <c r="E61" s="87">
        <f>IF(DoC=V61,"Calc Date",IF(V61&lt;DoC,"PL","FL"))</f>
        <v/>
      </c>
      <c r="F61" s="310">
        <f>F60+1</f>
        <v/>
      </c>
      <c r="G61" s="31">
        <f>VLOOKUP(F61,C$10:D$148,2)</f>
        <v/>
      </c>
      <c r="H61" s="313">
        <f>H60</f>
        <v/>
      </c>
      <c r="I61" s="281">
        <f>I60</f>
        <v/>
      </c>
      <c r="J61" s="589">
        <f>I61*index/VLOOKUP($H61,CPI!A:E,4,FALSE)</f>
        <v/>
      </c>
      <c r="K61" s="589">
        <f>IF(L61="Linear",(J61-J60)/(G61-G60),0)</f>
        <v/>
      </c>
      <c r="L61" s="311" t="inlineStr">
        <is>
          <t>Flat</t>
        </is>
      </c>
      <c r="M61" s="137" t="n"/>
      <c r="N61" s="310">
        <f>N60+1</f>
        <v/>
      </c>
      <c r="O61" s="31">
        <f>O60+N61-N60</f>
        <v/>
      </c>
      <c r="P61" s="313">
        <f>P60</f>
        <v/>
      </c>
      <c r="Q61" s="281">
        <f>Q60</f>
        <v/>
      </c>
      <c r="R61" s="589">
        <f>Q61*index/VLOOKUP($P61,CPI!A:E,4,FALSE)</f>
        <v/>
      </c>
      <c r="S61" s="589">
        <f>IF(T61="Linear",(R61-R60)/(O61-O60),0)</f>
        <v/>
      </c>
      <c r="T61" s="311" t="inlineStr">
        <is>
          <t>Flat</t>
        </is>
      </c>
      <c r="U61" s="144" t="n"/>
      <c r="V61" s="6">
        <f>IF(AND($V60=DoA,MONTH(V60)&lt;3),DATE(YEAR(DoA),3,1),IF(AND(IFERROR(DATEDIF(V60,DoC,"M"),12)&lt;12,IFERROR(DATEDIF(V60,DoC,"M"),12)&gt;0),DoC,DATE(YEAR(V60)+(1-AND(YEAR(DoC)=Current,V60=DoC)-AND(V60=DoA,MONTH(V60)&lt;3)),3,1)))</f>
        <v/>
      </c>
      <c r="W61" s="31">
        <f>IF(V61=DoR_Pre,IF(MONTH(DoR_Pre)&gt;3,YEAR(DoR_Pre)+1,YEAR(DoR_Pre)),IF(MONTH(V61)&gt;3,Current,YEAR(V61)))</f>
        <v/>
      </c>
      <c r="X61" s="597">
        <f>IF(W61=Current,ROUND((V61-V60)/365.25,5),_xlfn.IFNA(INDEX(Summary!$A$5:$A$22,MATCH('LOE Sc1'!W61,Summary!$C$5:$C$22,0)),IF(W61=Ret_Yr_pre,ROUND((DoR_Pre-V60)/365.25,5),ROUND((V61-V60)/365.25,2))))</f>
        <v/>
      </c>
      <c r="Y61" s="55">
        <f>IF(AND(V61=DoC,MONTH(DoC)&lt;&gt;3),ROUNDDOWN(DATEDIF(DoB,V62,"M")/12,),ROUNDDOWN(DATEDIF(DoB,V61,"M")/12,))</f>
        <v/>
      </c>
      <c r="Z61" s="590" t="n"/>
      <c r="AA61" s="25">
        <f>MAX(RetAge_Pre-Y61,0)</f>
        <v/>
      </c>
      <c r="AB61" s="26">
        <f t="array" ref="AB61">IF(W61&gt;Ret_Yr_pre,0,_xlfn.IFNA(VLOOKUP(Y61,F$11:J$1000,5,),IF(AND(W61=Current,V61&gt;DoC,MONTH(DoC)&lt;&gt;3),AB60,AB60+INDEX(K$11:K$1000,MATCH(Y61,F$11:F$1000,1)+1))))</f>
        <v/>
      </c>
      <c r="AC61" s="590">
        <f>IF(V61&lt;DoC,AB61*VLOOKUP(YEAR(V61),CPI!A:E,4,FALSE)/index,AB61*real_i^INT(BP61))</f>
        <v/>
      </c>
      <c r="AD61" s="590">
        <f>$AC61/12*Bonus</f>
        <v/>
      </c>
      <c r="AE61" s="590">
        <f>IF($E61="FL",MedSub*m^INT(BP61),MedSub)*IF(Summary!$C$31="Y",1,0)*(W61&lt;=Ret_Yr_pre)*(Summary!C$31="Y")</f>
        <v/>
      </c>
      <c r="AF61" s="590">
        <f>IF(Summary!$C$30="Y",IF(E61&lt;&gt;"PL",VLOOKUP(Current,'Housing Allowance'!$A:$B,2,),VLOOKUP(YEAR($V61),'Housing Allowance'!$A:$B,2,)),0)*(W61&lt;=Ret_Yr_pre)</f>
        <v/>
      </c>
      <c r="AG61" s="590">
        <f>AC61*overtime</f>
        <v/>
      </c>
      <c r="AH61" s="590">
        <f>AC61*allow_1</f>
        <v/>
      </c>
      <c r="AI61" s="590">
        <f>(AB61&lt;&gt;0)*12*allow_2</f>
        <v/>
      </c>
      <c r="AJ61" s="590" t="n"/>
      <c r="AK61" s="581">
        <f>IF(YEAR(W61)&lt;=Ret_Yr_pre,SUM(AC61:AJ61),0)*IF($W61=Ret_Yr_pre,X61,1)</f>
        <v/>
      </c>
      <c r="AL61" s="581">
        <f>IF($W61&gt;=Ret_Yr_pre,pens_Pre*(GEPF_pre="Y"),0)*IF($W61=Ret_Yr_pre,1-$X61,1)*IF(Ret_Yr_pre&lt;Current,(_xlfn.IFNA(VLOOKUP($D61,CPI!$A:$E,2,FALSE),VLOOKUP(Current,CPI!$A:$E,2,FALSE))/VLOOKUP(Ret_Yr_pre,CPI!$A:$E,2,FALSE)),1)</f>
        <v/>
      </c>
      <c r="AM61" s="590">
        <f>$AC61*ee*IF($W61=Ret_Yr_pre,$X61,1)</f>
        <v/>
      </c>
      <c r="AN61" s="590">
        <f>$AC61*er*IF($W61=Ret_Yr_pre,$X61,1)</f>
        <v/>
      </c>
      <c r="AO61" s="590">
        <f>IF('LOE Sc1'!$W61=Ret_Yr_pre,Gratuity_Pre*(GEPF_pre="Y"),0)</f>
        <v/>
      </c>
      <c r="AP61" s="581">
        <f>AK61+AL61-$AM61-AN61*(GEPF_pre="Y")</f>
        <v/>
      </c>
      <c r="AQ61" s="590">
        <f>IF(DF61&lt;0,0,DF61)</f>
        <v/>
      </c>
      <c r="AR61" s="581">
        <f>(AP61-AQ61+AM61*(AM$7="Y")+AN61*(AN$7="Y"))*IF(W61&lt;Ret_Yr_pre,X61,1)+AO61</f>
        <v/>
      </c>
      <c r="AS61" s="595" t="n"/>
      <c r="AT61" s="6">
        <f>V61</f>
        <v/>
      </c>
      <c r="AU61" s="31">
        <f>W61</f>
        <v/>
      </c>
      <c r="AV61" s="598">
        <f>IF(AU61=Current,ROUND((AT61-AT60)/365.25,5),_xlfn.IFNA(INDEX(Summary!$A$55:$A$72,MATCH('LOE Sc1'!AU61,Summary!$C$55:$C$72,0)),IF(AU61=Ret_Yr_post,ROUND((DoR_Post-AT60)/365.25,5),ROUND((AT61-AT60)/365.25,2))))</f>
        <v/>
      </c>
      <c r="AW61" s="55">
        <f>Y61</f>
        <v/>
      </c>
      <c r="AX61" s="26">
        <f t="array" ref="AX61">IF(AU61&gt;Ret_Yr_post,0,_xlfn.IFNA(VLOOKUP(AW61,N$11:S$1000,5,),IF(AND(AU61=Current,AT61&gt;DoC,MONTH(DoC)&lt;&gt;3),AX60,AX60+INDEX(S$11:S$1000,MATCH(AW61,N$11:N$1000,1)+1))))</f>
        <v/>
      </c>
      <c r="AY61" s="590">
        <f>IF($V61&lt;DoC,AX61*VLOOKUP(YEAR($V61),CPI_Table,4,FALSE)/index,AX61*real_i^INT(BP61))</f>
        <v/>
      </c>
      <c r="AZ61" s="590">
        <f>$AY61/12*Bonus_Post*($AW61&lt;=RetAge_Post)</f>
        <v/>
      </c>
      <c r="BA61" s="590">
        <f>IF($E61="FL",MedSub*m^INT(BP61),MedSub)*IF(Summary!$C$81="Y",1,0)*($AU61&lt;=Ret_Yr_post)*(Summary!$C$81="Y")</f>
        <v/>
      </c>
      <c r="BB61" s="590">
        <f>IF(Summary!$C$80="Y",IF($E61&lt;&gt;"PL",VLOOKUP(Current,'Housing Allowance'!$A:$B,2,),VLOOKUP(YEAR($AT61),'Housing Allowance'!$A:$B,2,)),0)*($AU61&lt;=Ret_Yr_post)</f>
        <v/>
      </c>
      <c r="BC61" s="590">
        <f>AY61*overtime_post</f>
        <v/>
      </c>
      <c r="BD61" s="590">
        <f>$AY61*allow_1_post</f>
        <v/>
      </c>
      <c r="BE61" s="590">
        <f>($AY61&lt;&gt;0)*allow_2_post*12</f>
        <v/>
      </c>
      <c r="BF61" s="590" t="n"/>
      <c r="BG61" s="581">
        <f>IF(YEAR($V61)&lt;=Ret_Yr_post,SUM(AY61:BF61),0)*IF($W61=Ret_Yr_post,AV61,1)</f>
        <v/>
      </c>
      <c r="BH61" s="581">
        <f>IF($W61&gt;=Ret_Yr_post,pens_Post*(GEPF_pre="Y"),0)*IF($W61=Ret_Yr_post,1-$AV61,1)*IF(Ret_Yr_post&lt;Current,(_xlfn.IFNA(VLOOKUP($D61,CPI!$A:$E,2,FALSE),VLOOKUP(Current,CPI!$A:$E,2,FALSE))/VLOOKUP(Ret_Yr_post,CPI!$A:$E,2,FALSE)),1)</f>
        <v/>
      </c>
      <c r="BI61" s="590">
        <f>$AY61*ee_post*IF($W61=Ret_Yr_post,$AV61,1)</f>
        <v/>
      </c>
      <c r="BJ61" s="590">
        <f>$AY61*er_post*IF($W61=Ret_Yr_post,$AV61,1)</f>
        <v/>
      </c>
      <c r="BK61" s="590">
        <f>IF('LOE Sc1'!$W61=Ret_Yr_post,Gratuity_Post*(GEPF_post="Y"),0)</f>
        <v/>
      </c>
      <c r="BL61" s="581">
        <f>BG61+BH61-BI61-BJ61*(GEPF_post="Y")</f>
        <v/>
      </c>
      <c r="BM61" s="590">
        <f>IF(DM61&lt;0,0,DM61)</f>
        <v/>
      </c>
      <c r="BN61" s="581">
        <f>(BL61-BM61+BI61*(BI$7="Y")+BJ61*(BJ$7="Y"))*IF($W61&lt;Ret_Yr_post,AV61,1)+BK61</f>
        <v/>
      </c>
      <c r="BO61" s="591" t="n"/>
      <c r="BP61" s="592">
        <f>IF($E61="FL",IF($X61&lt;=DoC,DATEDIF(DoC,$V61,"M")/12,0),0)</f>
        <v/>
      </c>
      <c r="BQ61" s="592">
        <f>IF($E61="FL",(1+CPI)^INT(BP61),0)</f>
        <v/>
      </c>
      <c r="BR61" s="592">
        <f>IF($E61="FL",IF(($BP61-0.5)&gt;=0,1/(1+d)^($BP61-0.5),1/(1+d)^($BP61)),0)</f>
        <v/>
      </c>
      <c r="BS61" s="592" t="n"/>
      <c r="BT61" s="25">
        <f>IF(gender="M",VLOOKUP($Y61+pre_mort+IF(MONTH(DoC)&lt;MONTH(DoB),IF(MONTH(DoC)&lt;3,0,-1),IF(MONTH(DoB)&lt;3,-1,0)),'SALT LIFE TABLES'!$A$7:$E$106,2),VLOOKUP($Y61+pre_mort+IF(MONTH(DoC)&lt;MONTH(DoB),IF(MONTH(DoC)&lt;3,0,-1),IF(MONTH(DoB)&lt;3,-1,0)),'SALT LIFE TABLES'!$A$7:$E$106,4))</f>
        <v/>
      </c>
      <c r="BU61" s="592">
        <f>IF($E61="PL",1,BT61/BU$7)</f>
        <v/>
      </c>
      <c r="BV61" s="593" t="n"/>
      <c r="BW61" s="25">
        <f>IF(gender="M",VLOOKUP($Y61+post_mort+IF(MONTH(DoC)&lt;MONTH(DoB),IF(MONTH(DoC)&lt;3,0,-1),IF(MONTH(DoB)&lt;3,-1,0)),'SALT LIFE TABLES'!$A$7:$E$106,2),VLOOKUP($Y61+post_mort+IF(MONTH(DoC)&lt;MONTH(DoB),IF(MONTH(DoC)&lt;3,0,-1),IF(MONTH(DoB)&lt;3,-1,0)),'SALT LIFE TABLES'!$A$7:$E$106,4))</f>
        <v/>
      </c>
      <c r="BX61" s="592">
        <f>IF($E61="PL",1,BW61/BX$7)</f>
        <v/>
      </c>
      <c r="BY61" s="594" t="n"/>
      <c r="BZ61" s="592" t="n"/>
      <c r="CA61" s="592">
        <f>IF($E61="FL",$AR61*$BQ61*$BR61*$BU61,$AR61)</f>
        <v/>
      </c>
      <c r="CB61" s="592">
        <f>IF($E61="FL",$BN61*$BQ61*$BR61*$BX61,$BN61)</f>
        <v/>
      </c>
      <c r="CC61" s="592" t="n"/>
      <c r="CD61" s="592">
        <f>IF($E61="FL",$CA61*(1-pre_FL),$CA61*(1-pre_PL))</f>
        <v/>
      </c>
      <c r="CE61" s="592">
        <f>IF($E61="FL",$CB61*(1-post_FL),$CB61*(1-post_PL))</f>
        <v/>
      </c>
      <c r="CF61" s="592" t="n"/>
      <c r="CG61" s="599">
        <f>CD61-CE61</f>
        <v/>
      </c>
      <c r="CH61" s="599">
        <f>MIN(CG61,IF(W61=Ret_Yr_pre,1,$X61)*Cap)</f>
        <v/>
      </c>
      <c r="CI61" s="128" t="n"/>
      <c r="CJ61" s="37">
        <f>IF(D61&gt;Current,Current,D61)</f>
        <v/>
      </c>
      <c r="CK61" s="37">
        <f>MATCH($CJ61,Tax_Tables[Tax Year],0)</f>
        <v/>
      </c>
      <c r="CL61" s="600" t="n">
        <v>0</v>
      </c>
      <c r="CM61" s="600">
        <f t="array" ref="CM61">INDEX(Tax_Tables[[Limits]:[Limits]],$CK61+CM$8)</f>
        <v/>
      </c>
      <c r="CN61" s="600">
        <f t="array" ref="CN61">INDEX(Tax_Tables[[Limits]:[Limits]],$CK61+CN$8)</f>
        <v/>
      </c>
      <c r="CO61" s="600">
        <f t="array" ref="CO61">INDEX(Tax_Tables[[Limits]:[Limits]],$CK61+CO$8)</f>
        <v/>
      </c>
      <c r="CP61" s="600">
        <f t="array" ref="CP61">INDEX(Tax_Tables[[Limits]:[Limits]],$CK61+CP$8)</f>
        <v/>
      </c>
      <c r="CQ61" s="600">
        <f t="array" ref="CQ61">INDEX(Tax_Tables[[Limits]:[Limits]],$CK61+CQ$8)</f>
        <v/>
      </c>
      <c r="CR61" s="600">
        <f t="array" ref="CR61">INDEX(Tax_Tables[[Limits]:[Limits]],$CK61+CR$8)</f>
        <v/>
      </c>
      <c r="CS61" s="37">
        <f>INDEX(Rebate[&lt;65],MATCH($CJ61,Rebate[[Tax Year]:[Tax Year]],0))</f>
        <v/>
      </c>
      <c r="CT61" s="37">
        <f>INDEX(Rebate[&lt;75],MATCH($CJ61,Rebate[[Tax Year]:[Tax Year]],0))</f>
        <v/>
      </c>
      <c r="CU61" s="37">
        <f>INDEX(Rebate[&gt;75],MATCH($CJ61,Rebate[[Tax Year]:[Tax Year]],0))</f>
        <v/>
      </c>
      <c r="CV61" s="37">
        <f>INDEX(Tax_Credit[Principal],MATCH($CJ61,Tax_Credit[[Tax Year]:[Tax Year]],0))</f>
        <v/>
      </c>
      <c r="CW61" s="37">
        <f>INDEX(Tax_Credit[First Dependant],MATCH($CJ61,Tax_Credit[[Tax Year]:[Tax Year]],0))</f>
        <v/>
      </c>
      <c r="CX61" s="37">
        <f>INDEX(Tax_Credit[Each Additional],MATCH($CJ61,Tax_Credit[[Tax Year]:[Tax Year]],0))</f>
        <v/>
      </c>
      <c r="CY61" s="484">
        <f>Y61</f>
        <v/>
      </c>
      <c r="CZ61" s="601">
        <f>AP61</f>
        <v/>
      </c>
      <c r="DA61" s="37">
        <f t="array" ref="DA61">INDEX($CL61:$CR61,0,MATCH($CZ61,$CL61:$CR61,1))</f>
        <v/>
      </c>
      <c r="DB61" s="37">
        <f t="array" ref="DB61">IFERROR(INDEX(Tax_Tables[Percentages],$CK61+MATCH($DA61,$CL61:$CR61,0)-1),"")</f>
        <v/>
      </c>
      <c r="DC61" s="37">
        <f t="array" ref="DC61">IFERROR(INDEX(Tax_Tables[Tax],$CK61+MATCH($DA61,$CL61:$CR61,0)-1),"")</f>
        <v/>
      </c>
      <c r="DD61" s="37">
        <f>IF(CY61&lt;65,CS61,IF(CY61&lt;75,CT61,CU61))</f>
        <v/>
      </c>
      <c r="DE61" s="37">
        <f>CV61*(Summary!$C$31="Y")+(Summary!$C$31="Y")*(CW61*(Pre_MDep&gt;=1)+CX61*MAX(Pre_MDep-1,0))</f>
        <v/>
      </c>
      <c r="DF61" s="599">
        <f>IFERROR(MAX(DB61*(CZ61-DA61)+DC61-DD61-DE61*12,0),"")</f>
        <v/>
      </c>
      <c r="DG61" s="602" t="n"/>
      <c r="DH61" s="601">
        <f>BL61</f>
        <v/>
      </c>
      <c r="DI61" s="37">
        <f t="array" ref="DI61">INDEX($CL61:$CR61,0,MATCH($DH61,$CL61:$CR61,1))</f>
        <v/>
      </c>
      <c r="DJ61" s="37">
        <f t="array" ref="DJ61">IFERROR(INDEX(Tax_Tables[Percentages],$CK61+MATCH($DI61,$CL61:$CR61,0)-1),"")</f>
        <v/>
      </c>
      <c r="DK61" s="37">
        <f t="array" ref="DK61">IFERROR(INDEX(Tax_Tables[Tax],$CK61+MATCH($DI61,$CL61:$CR61,0)-1),"")</f>
        <v/>
      </c>
      <c r="DL61" s="37">
        <f>CV61*(Summary!$C$81="Y")+(Summary!$C$81="Y")*(CW61*(Post_MDep&gt;=1)+CX61*MAX(Post_MDep-1,0))</f>
        <v/>
      </c>
      <c r="DM61" s="599">
        <f>IFERROR(MAX(DJ61*(DH61-DI61)+DK61-DD61-DL61*12,0),"")</f>
        <v/>
      </c>
      <c r="DN61" s="601" t="n"/>
      <c r="DO61" s="37" t="n"/>
      <c r="DP61" s="37" t="n"/>
      <c r="DQ61" s="37" t="n"/>
      <c r="DR61" s="37" t="n"/>
      <c r="DS61" s="37" t="n"/>
      <c r="DT61" s="37" t="n"/>
      <c r="DU61" s="37" t="n"/>
      <c r="DV61" s="37" t="n"/>
      <c r="DW61" s="37" t="n"/>
      <c r="DX61" s="599" t="n"/>
      <c r="DY61" s="131" t="n"/>
      <c r="DZ61" s="601" t="n"/>
      <c r="EA61" s="37" t="n"/>
      <c r="EB61" s="37" t="n"/>
      <c r="EC61" s="37" t="n"/>
      <c r="ED61" s="599" t="n"/>
      <c r="EE61" s="595" t="n"/>
      <c r="EF61" s="25" t="n"/>
    </row>
    <row r="62">
      <c r="C62" s="596">
        <f>C61+D62-D61</f>
        <v/>
      </c>
      <c r="D62" s="160">
        <f>AU62</f>
        <v/>
      </c>
      <c r="E62" s="87">
        <f>IF(DoC=V62,"Calc Date",IF(V62&lt;DoC,"PL","FL"))</f>
        <v/>
      </c>
      <c r="F62" s="310">
        <f>F61+1</f>
        <v/>
      </c>
      <c r="G62" s="31">
        <f>VLOOKUP(F62,C$10:D$148,2)</f>
        <v/>
      </c>
      <c r="H62" s="313">
        <f>H61</f>
        <v/>
      </c>
      <c r="I62" s="281">
        <f>I61</f>
        <v/>
      </c>
      <c r="J62" s="589">
        <f>I62*index/VLOOKUP($H62,CPI!A:E,4,FALSE)</f>
        <v/>
      </c>
      <c r="K62" s="589">
        <f>IF(L62="Linear",(J62-J61)/(G62-G61),0)</f>
        <v/>
      </c>
      <c r="L62" s="311" t="inlineStr">
        <is>
          <t>Flat</t>
        </is>
      </c>
      <c r="M62" s="137" t="n"/>
      <c r="N62" s="310">
        <f>N61+1</f>
        <v/>
      </c>
      <c r="O62" s="31">
        <f>O61+N62-N61</f>
        <v/>
      </c>
      <c r="P62" s="313">
        <f>P61</f>
        <v/>
      </c>
      <c r="Q62" s="281">
        <f>Q61</f>
        <v/>
      </c>
      <c r="R62" s="589">
        <f>Q62*index/VLOOKUP($P62,CPI!A:E,4,FALSE)</f>
        <v/>
      </c>
      <c r="S62" s="589">
        <f>IF(T62="Linear",(R62-R61)/(O62-O61),0)</f>
        <v/>
      </c>
      <c r="T62" s="311" t="inlineStr">
        <is>
          <t>Flat</t>
        </is>
      </c>
      <c r="U62" s="144" t="n"/>
      <c r="V62" s="6">
        <f>IF(AND($V61=DoA,MONTH(V61)&lt;3),DATE(YEAR(DoA),3,1),IF(AND(IFERROR(DATEDIF(V61,DoC,"M"),12)&lt;12,IFERROR(DATEDIF(V61,DoC,"M"),12)&gt;0),DoC,DATE(YEAR(V61)+(1-AND(YEAR(DoC)=Current,V61=DoC)-AND(V61=DoA,MONTH(V61)&lt;3)),3,1)))</f>
        <v/>
      </c>
      <c r="W62" s="31">
        <f>IF(V62=DoR_Pre,IF(MONTH(DoR_Pre)&gt;3,YEAR(DoR_Pre)+1,YEAR(DoR_Pre)),IF(MONTH(V62)&gt;3,Current,YEAR(V62)))</f>
        <v/>
      </c>
      <c r="X62" s="597">
        <f>IF(W62=Current,ROUND((V62-V61)/365.25,5),_xlfn.IFNA(INDEX(Summary!$A$5:$A$22,MATCH('LOE Sc1'!W62,Summary!$C$5:$C$22,0)),IF(W62=Ret_Yr_pre,ROUND((DoR_Pre-V61)/365.25,5),ROUND((V62-V61)/365.25,2))))</f>
        <v/>
      </c>
      <c r="Y62" s="55">
        <f>IF(AND(V62=DoC,MONTH(DoC)&lt;&gt;3),ROUNDDOWN(DATEDIF(DoB,V63,"M")/12,),ROUNDDOWN(DATEDIF(DoB,V62,"M")/12,))</f>
        <v/>
      </c>
      <c r="Z62" s="590" t="n"/>
      <c r="AA62" s="25">
        <f>MAX(RetAge_Pre-Y62,0)</f>
        <v/>
      </c>
      <c r="AB62" s="26">
        <f t="array" ref="AB62">IF(W62&gt;Ret_Yr_pre,0,_xlfn.IFNA(VLOOKUP(Y62,F$11:J$1000,5,),IF(AND(W62=Current,V62&gt;DoC,MONTH(DoC)&lt;&gt;3),AB61,AB61+INDEX(K$11:K$1000,MATCH(Y62,F$11:F$1000,1)+1))))</f>
        <v/>
      </c>
      <c r="AC62" s="590">
        <f>IF(V62&lt;DoC,AB62*VLOOKUP(YEAR(V62),CPI!A:E,4,FALSE)/index,AB62*real_i^INT(BP62))</f>
        <v/>
      </c>
      <c r="AD62" s="590">
        <f>$AC62/12*Bonus</f>
        <v/>
      </c>
      <c r="AE62" s="590">
        <f>IF($E62="FL",MedSub*m^INT(BP62),MedSub)*IF(Summary!$C$31="Y",1,0)*(W62&lt;=Ret_Yr_pre)*(Summary!C$31="Y")</f>
        <v/>
      </c>
      <c r="AF62" s="590">
        <f>IF(Summary!$C$30="Y",IF(E62&lt;&gt;"PL",VLOOKUP(Current,'Housing Allowance'!$A:$B,2,),VLOOKUP(YEAR($V62),'Housing Allowance'!$A:$B,2,)),0)*(W62&lt;=Ret_Yr_pre)</f>
        <v/>
      </c>
      <c r="AG62" s="590">
        <f>AC62*overtime</f>
        <v/>
      </c>
      <c r="AH62" s="590">
        <f>AC62*allow_1</f>
        <v/>
      </c>
      <c r="AI62" s="590">
        <f>(AB62&lt;&gt;0)*12*allow_2</f>
        <v/>
      </c>
      <c r="AJ62" s="590" t="n"/>
      <c r="AK62" s="581">
        <f>IF(YEAR(W62)&lt;=Ret_Yr_pre,SUM(AC62:AJ62),0)*IF($W62=Ret_Yr_pre,X62,1)</f>
        <v/>
      </c>
      <c r="AL62" s="581">
        <f>IF($W62&gt;=Ret_Yr_pre,pens_Pre*(GEPF_pre="Y"),0)*IF($W62=Ret_Yr_pre,1-$X62,1)*IF(Ret_Yr_pre&lt;Current,(_xlfn.IFNA(VLOOKUP($D62,CPI!$A:$E,2,FALSE),VLOOKUP(Current,CPI!$A:$E,2,FALSE))/VLOOKUP(Ret_Yr_pre,CPI!$A:$E,2,FALSE)),1)</f>
        <v/>
      </c>
      <c r="AM62" s="590">
        <f>$AC62*ee*IF($W62=Ret_Yr_pre,$X62,1)</f>
        <v/>
      </c>
      <c r="AN62" s="590">
        <f>$AC62*er*IF($W62=Ret_Yr_pre,$X62,1)</f>
        <v/>
      </c>
      <c r="AO62" s="590">
        <f>IF('LOE Sc1'!$W62=Ret_Yr_pre,Gratuity_Pre*(GEPF_pre="Y"),0)</f>
        <v/>
      </c>
      <c r="AP62" s="581">
        <f>AK62+AL62-$AM62-AN62*(GEPF_pre="Y")</f>
        <v/>
      </c>
      <c r="AQ62" s="590">
        <f>IF(DF62&lt;0,0,DF62)</f>
        <v/>
      </c>
      <c r="AR62" s="581">
        <f>(AP62-AQ62+AM62*(AM$7="Y")+AN62*(AN$7="Y"))*IF(W62&lt;Ret_Yr_pre,X62,1)+AO62</f>
        <v/>
      </c>
      <c r="AS62" s="595" t="n"/>
      <c r="AT62" s="6">
        <f>V62</f>
        <v/>
      </c>
      <c r="AU62" s="31">
        <f>W62</f>
        <v/>
      </c>
      <c r="AV62" s="598">
        <f>IF(AU62=Current,ROUND((AT62-AT61)/365.25,5),_xlfn.IFNA(INDEX(Summary!$A$55:$A$72,MATCH('LOE Sc1'!AU62,Summary!$C$55:$C$72,0)),IF(AU62=Ret_Yr_post,ROUND((DoR_Post-AT61)/365.25,5),ROUND((AT62-AT61)/365.25,2))))</f>
        <v/>
      </c>
      <c r="AW62" s="55">
        <f>Y62</f>
        <v/>
      </c>
      <c r="AX62" s="26">
        <f t="array" ref="AX62">IF(AU62&gt;Ret_Yr_post,0,_xlfn.IFNA(VLOOKUP(AW62,N$11:S$1000,5,),IF(AND(AU62=Current,AT62&gt;DoC,MONTH(DoC)&lt;&gt;3),AX61,AX61+INDEX(S$11:S$1000,MATCH(AW62,N$11:N$1000,1)+1))))</f>
        <v/>
      </c>
      <c r="AY62" s="590">
        <f>IF($V62&lt;DoC,AX62*VLOOKUP(YEAR($V62),CPI_Table,4,FALSE)/index,AX62*real_i^INT(BP62))</f>
        <v/>
      </c>
      <c r="AZ62" s="590">
        <f>$AY62/12*Bonus_Post*($AW62&lt;=RetAge_Post)</f>
        <v/>
      </c>
      <c r="BA62" s="590">
        <f>IF($E62="FL",MedSub*m^INT(BP62),MedSub)*IF(Summary!$C$81="Y",1,0)*($AU62&lt;=Ret_Yr_post)*(Summary!$C$81="Y")</f>
        <v/>
      </c>
      <c r="BB62" s="590">
        <f>IF(Summary!$C$80="Y",IF($E62&lt;&gt;"PL",VLOOKUP(Current,'Housing Allowance'!$A:$B,2,),VLOOKUP(YEAR($AT62),'Housing Allowance'!$A:$B,2,)),0)*($AU62&lt;=Ret_Yr_post)</f>
        <v/>
      </c>
      <c r="BC62" s="590">
        <f>AY62*overtime_post</f>
        <v/>
      </c>
      <c r="BD62" s="590">
        <f>$AY62*allow_1_post</f>
        <v/>
      </c>
      <c r="BE62" s="590">
        <f>($AY62&lt;&gt;0)*allow_2_post*12</f>
        <v/>
      </c>
      <c r="BF62" s="590" t="n"/>
      <c r="BG62" s="581">
        <f>IF(YEAR($V62)&lt;=Ret_Yr_post,SUM(AY62:BF62),0)*IF($W62=Ret_Yr_post,AV62,1)</f>
        <v/>
      </c>
      <c r="BH62" s="581">
        <f>IF($W62&gt;=Ret_Yr_post,pens_Post*(GEPF_pre="Y"),0)*IF($W62=Ret_Yr_post,1-$AV62,1)*IF(Ret_Yr_post&lt;Current,(_xlfn.IFNA(VLOOKUP($D62,CPI!$A:$E,2,FALSE),VLOOKUP(Current,CPI!$A:$E,2,FALSE))/VLOOKUP(Ret_Yr_post,CPI!$A:$E,2,FALSE)),1)</f>
        <v/>
      </c>
      <c r="BI62" s="590">
        <f>$AY62*ee_post*IF($W62=Ret_Yr_post,$AV62,1)</f>
        <v/>
      </c>
      <c r="BJ62" s="590">
        <f>$AY62*er_post*IF($W62=Ret_Yr_post,$AV62,1)</f>
        <v/>
      </c>
      <c r="BK62" s="590">
        <f>IF('LOE Sc1'!$W62=Ret_Yr_post,Gratuity_Post*(GEPF_post="Y"),0)</f>
        <v/>
      </c>
      <c r="BL62" s="581">
        <f>BG62+BH62-BI62-BJ62*(GEPF_post="Y")</f>
        <v/>
      </c>
      <c r="BM62" s="590">
        <f>IF(DM62&lt;0,0,DM62)</f>
        <v/>
      </c>
      <c r="BN62" s="581">
        <f>(BL62-BM62+BI62*(BI$7="Y")+BJ62*(BJ$7="Y"))*IF($W62&lt;Ret_Yr_post,AV62,1)+BK62</f>
        <v/>
      </c>
      <c r="BO62" s="591" t="n"/>
      <c r="BP62" s="592">
        <f>IF($E62="FL",IF($X62&lt;=DoC,DATEDIF(DoC,$V62,"M")/12,0),0)</f>
        <v/>
      </c>
      <c r="BQ62" s="592">
        <f>IF($E62="FL",(1+CPI)^INT(BP62),0)</f>
        <v/>
      </c>
      <c r="BR62" s="592">
        <f>IF($E62="FL",IF(($BP62-0.5)&gt;=0,1/(1+d)^($BP62-0.5),1/(1+d)^($BP62)),0)</f>
        <v/>
      </c>
      <c r="BS62" s="592" t="n"/>
      <c r="BT62" s="25">
        <f>IF(gender="M",VLOOKUP($Y62+pre_mort+IF(MONTH(DoC)&lt;MONTH(DoB),IF(MONTH(DoC)&lt;3,0,-1),IF(MONTH(DoB)&lt;3,-1,0)),'SALT LIFE TABLES'!$A$7:$E$106,2),VLOOKUP($Y62+pre_mort+IF(MONTH(DoC)&lt;MONTH(DoB),IF(MONTH(DoC)&lt;3,0,-1),IF(MONTH(DoB)&lt;3,-1,0)),'SALT LIFE TABLES'!$A$7:$E$106,4))</f>
        <v/>
      </c>
      <c r="BU62" s="592">
        <f>IF($E62="PL",1,BT62/BU$7)</f>
        <v/>
      </c>
      <c r="BV62" s="593" t="n"/>
      <c r="BW62" s="25">
        <f>IF(gender="M",VLOOKUP($Y62+post_mort+IF(MONTH(DoC)&lt;MONTH(DoB),IF(MONTH(DoC)&lt;3,0,-1),IF(MONTH(DoB)&lt;3,-1,0)),'SALT LIFE TABLES'!$A$7:$E$106,2),VLOOKUP($Y62+post_mort+IF(MONTH(DoC)&lt;MONTH(DoB),IF(MONTH(DoC)&lt;3,0,-1),IF(MONTH(DoB)&lt;3,-1,0)),'SALT LIFE TABLES'!$A$7:$E$106,4))</f>
        <v/>
      </c>
      <c r="BX62" s="592">
        <f>IF($E62="PL",1,BW62/BX$7)</f>
        <v/>
      </c>
      <c r="BY62" s="594" t="n"/>
      <c r="BZ62" s="592" t="n"/>
      <c r="CA62" s="592">
        <f>IF($E62="FL",$AR62*$BQ62*$BR62*$BU62,$AR62)</f>
        <v/>
      </c>
      <c r="CB62" s="592">
        <f>IF($E62="FL",$BN62*$BQ62*$BR62*$BX62,$BN62)</f>
        <v/>
      </c>
      <c r="CC62" s="592" t="n"/>
      <c r="CD62" s="592">
        <f>IF($E62="FL",$CA62*(1-pre_FL),$CA62*(1-pre_PL))</f>
        <v/>
      </c>
      <c r="CE62" s="592">
        <f>IF($E62="FL",$CB62*(1-post_FL),$CB62*(1-post_PL))</f>
        <v/>
      </c>
      <c r="CF62" s="592" t="n"/>
      <c r="CG62" s="599">
        <f>CD62-CE62</f>
        <v/>
      </c>
      <c r="CH62" s="599">
        <f>MIN(CG62,IF(W62=Ret_Yr_pre,1,$X62)*Cap)</f>
        <v/>
      </c>
      <c r="CI62" s="128" t="n"/>
      <c r="CJ62" s="37">
        <f>IF(D62&gt;Current,Current,D62)</f>
        <v/>
      </c>
      <c r="CK62" s="37">
        <f>MATCH($CJ62,Tax_Tables[Tax Year],0)</f>
        <v/>
      </c>
      <c r="CL62" s="600" t="n">
        <v>0</v>
      </c>
      <c r="CM62" s="600">
        <f t="array" ref="CM62">INDEX(Tax_Tables[[Limits]:[Limits]],$CK62+CM$8)</f>
        <v/>
      </c>
      <c r="CN62" s="600">
        <f t="array" ref="CN62">INDEX(Tax_Tables[[Limits]:[Limits]],$CK62+CN$8)</f>
        <v/>
      </c>
      <c r="CO62" s="600">
        <f t="array" ref="CO62">INDEX(Tax_Tables[[Limits]:[Limits]],$CK62+CO$8)</f>
        <v/>
      </c>
      <c r="CP62" s="600">
        <f t="array" ref="CP62">INDEX(Tax_Tables[[Limits]:[Limits]],$CK62+CP$8)</f>
        <v/>
      </c>
      <c r="CQ62" s="600">
        <f t="array" ref="CQ62">INDEX(Tax_Tables[[Limits]:[Limits]],$CK62+CQ$8)</f>
        <v/>
      </c>
      <c r="CR62" s="600">
        <f t="array" ref="CR62">INDEX(Tax_Tables[[Limits]:[Limits]],$CK62+CR$8)</f>
        <v/>
      </c>
      <c r="CS62" s="37">
        <f>INDEX(Rebate[&lt;65],MATCH($CJ62,Rebate[[Tax Year]:[Tax Year]],0))</f>
        <v/>
      </c>
      <c r="CT62" s="37">
        <f>INDEX(Rebate[&lt;75],MATCH($CJ62,Rebate[[Tax Year]:[Tax Year]],0))</f>
        <v/>
      </c>
      <c r="CU62" s="37">
        <f>INDEX(Rebate[&gt;75],MATCH($CJ62,Rebate[[Tax Year]:[Tax Year]],0))</f>
        <v/>
      </c>
      <c r="CV62" s="37">
        <f>INDEX(Tax_Credit[Principal],MATCH($CJ62,Tax_Credit[[Tax Year]:[Tax Year]],0))</f>
        <v/>
      </c>
      <c r="CW62" s="37">
        <f>INDEX(Tax_Credit[First Dependant],MATCH($CJ62,Tax_Credit[[Tax Year]:[Tax Year]],0))</f>
        <v/>
      </c>
      <c r="CX62" s="37">
        <f>INDEX(Tax_Credit[Each Additional],MATCH($CJ62,Tax_Credit[[Tax Year]:[Tax Year]],0))</f>
        <v/>
      </c>
      <c r="CY62" s="484">
        <f>Y62</f>
        <v/>
      </c>
      <c r="CZ62" s="601">
        <f>AP62</f>
        <v/>
      </c>
      <c r="DA62" s="37">
        <f t="array" ref="DA62">INDEX($CL62:$CR62,0,MATCH($CZ62,$CL62:$CR62,1))</f>
        <v/>
      </c>
      <c r="DB62" s="37">
        <f t="array" ref="DB62">IFERROR(INDEX(Tax_Tables[Percentages],$CK62+MATCH($DA62,$CL62:$CR62,0)-1),"")</f>
        <v/>
      </c>
      <c r="DC62" s="37">
        <f t="array" ref="DC62">IFERROR(INDEX(Tax_Tables[Tax],$CK62+MATCH($DA62,$CL62:$CR62,0)-1),"")</f>
        <v/>
      </c>
      <c r="DD62" s="37">
        <f>IF(CY62&lt;65,CS62,IF(CY62&lt;75,CT62,CU62))</f>
        <v/>
      </c>
      <c r="DE62" s="37">
        <f>CV62*(Summary!$C$31="Y")+(Summary!$C$31="Y")*(CW62*(Pre_MDep&gt;=1)+CX62*MAX(Pre_MDep-1,0))</f>
        <v/>
      </c>
      <c r="DF62" s="599">
        <f>IFERROR(MAX(DB62*(CZ62-DA62)+DC62-DD62-DE62*12,0),"")</f>
        <v/>
      </c>
      <c r="DG62" s="602" t="n"/>
      <c r="DH62" s="601">
        <f>BL62</f>
        <v/>
      </c>
      <c r="DI62" s="37">
        <f t="array" ref="DI62">INDEX($CL62:$CR62,0,MATCH($DH62,$CL62:$CR62,1))</f>
        <v/>
      </c>
      <c r="DJ62" s="37">
        <f t="array" ref="DJ62">IFERROR(INDEX(Tax_Tables[Percentages],$CK62+MATCH($DI62,$CL62:$CR62,0)-1),"")</f>
        <v/>
      </c>
      <c r="DK62" s="37">
        <f t="array" ref="DK62">IFERROR(INDEX(Tax_Tables[Tax],$CK62+MATCH($DI62,$CL62:$CR62,0)-1),"")</f>
        <v/>
      </c>
      <c r="DL62" s="37">
        <f>CV62*(Summary!$C$81="Y")+(Summary!$C$81="Y")*(CW62*(Post_MDep&gt;=1)+CX62*MAX(Post_MDep-1,0))</f>
        <v/>
      </c>
      <c r="DM62" s="599">
        <f>IFERROR(MAX(DJ62*(DH62-DI62)+DK62-DD62-DL62*12,0),"")</f>
        <v/>
      </c>
      <c r="DN62" s="601" t="n"/>
      <c r="DO62" s="37" t="n"/>
      <c r="DP62" s="37" t="n"/>
      <c r="DQ62" s="37" t="n"/>
      <c r="DR62" s="37" t="n"/>
      <c r="DS62" s="37" t="n"/>
      <c r="DT62" s="37" t="n"/>
      <c r="DU62" s="37" t="n"/>
      <c r="DV62" s="37" t="n"/>
      <c r="DW62" s="37" t="n"/>
      <c r="DX62" s="599" t="n"/>
      <c r="DY62" s="131" t="n"/>
      <c r="DZ62" s="601" t="n"/>
      <c r="EA62" s="37" t="n"/>
      <c r="EB62" s="37" t="n"/>
      <c r="EC62" s="37" t="n"/>
      <c r="ED62" s="599" t="n"/>
      <c r="EE62" s="595" t="n"/>
      <c r="EF62" s="25" t="n"/>
    </row>
    <row r="63">
      <c r="C63" s="596">
        <f>C62+D63-D62</f>
        <v/>
      </c>
      <c r="D63" s="160">
        <f>AU63</f>
        <v/>
      </c>
      <c r="E63" s="87">
        <f>IF(DoC=V63,"Calc Date",IF(V63&lt;DoC,"PL","FL"))</f>
        <v/>
      </c>
      <c r="F63" s="310">
        <f>F62+1</f>
        <v/>
      </c>
      <c r="G63" s="31">
        <f>VLOOKUP(F63,C$10:D$148,2)</f>
        <v/>
      </c>
      <c r="H63" s="313">
        <f>H62</f>
        <v/>
      </c>
      <c r="I63" s="281">
        <f>I62</f>
        <v/>
      </c>
      <c r="J63" s="589">
        <f>I63*index/VLOOKUP($H63,CPI!A:E,4,FALSE)</f>
        <v/>
      </c>
      <c r="K63" s="589">
        <f>IF(L63="Linear",(J63-J62)/(G63-G62),0)</f>
        <v/>
      </c>
      <c r="L63" s="311" t="inlineStr">
        <is>
          <t>Flat</t>
        </is>
      </c>
      <c r="M63" s="137" t="n"/>
      <c r="N63" s="310">
        <f>N62+1</f>
        <v/>
      </c>
      <c r="O63" s="31">
        <f>O62+N63-N62</f>
        <v/>
      </c>
      <c r="P63" s="313">
        <f>P62</f>
        <v/>
      </c>
      <c r="Q63" s="281">
        <f>Q62</f>
        <v/>
      </c>
      <c r="R63" s="589">
        <f>Q63*index/VLOOKUP($P63,CPI!A:E,4,FALSE)</f>
        <v/>
      </c>
      <c r="S63" s="589">
        <f>IF(T63="Linear",(R63-R62)/(O63-O62),0)</f>
        <v/>
      </c>
      <c r="T63" s="311" t="inlineStr">
        <is>
          <t>Flat</t>
        </is>
      </c>
      <c r="U63" s="144" t="n"/>
      <c r="V63" s="6">
        <f>IF(AND($V62=DoA,MONTH(V62)&lt;3),DATE(YEAR(DoA),3,1),IF(AND(IFERROR(DATEDIF(V62,DoC,"M"),12)&lt;12,IFERROR(DATEDIF(V62,DoC,"M"),12)&gt;0),DoC,DATE(YEAR(V62)+(1-AND(YEAR(DoC)=Current,V62=DoC)-AND(V62=DoA,MONTH(V62)&lt;3)),3,1)))</f>
        <v/>
      </c>
      <c r="W63" s="31">
        <f>IF(V63=DoR_Pre,IF(MONTH(DoR_Pre)&gt;3,YEAR(DoR_Pre)+1,YEAR(DoR_Pre)),IF(MONTH(V63)&gt;3,Current,YEAR(V63)))</f>
        <v/>
      </c>
      <c r="X63" s="597">
        <f>IF(W63=Current,ROUND((V63-V62)/365.25,5),_xlfn.IFNA(INDEX(Summary!$A$5:$A$22,MATCH('LOE Sc1'!W63,Summary!$C$5:$C$22,0)),IF(W63=Ret_Yr_pre,ROUND((DoR_Pre-V62)/365.25,5),ROUND((V63-V62)/365.25,2))))</f>
        <v/>
      </c>
      <c r="Y63" s="55">
        <f>IF(AND(V63=DoC,MONTH(DoC)&lt;&gt;3),ROUNDDOWN(DATEDIF(DoB,V64,"M")/12,),ROUNDDOWN(DATEDIF(DoB,V63,"M")/12,))</f>
        <v/>
      </c>
      <c r="Z63" s="590" t="n"/>
      <c r="AA63" s="25">
        <f>MAX(RetAge_Pre-Y63,0)</f>
        <v/>
      </c>
      <c r="AB63" s="26">
        <f t="array" ref="AB63">IF(W63&gt;Ret_Yr_pre,0,_xlfn.IFNA(VLOOKUP(Y63,F$11:J$1000,5,),IF(AND(W63=Current,V63&gt;DoC,MONTH(DoC)&lt;&gt;3),AB62,AB62+INDEX(K$11:K$1000,MATCH(Y63,F$11:F$1000,1)+1))))</f>
        <v/>
      </c>
      <c r="AC63" s="590">
        <f>IF(V63&lt;DoC,AB63*VLOOKUP(YEAR(V63),CPI!A:E,4,FALSE)/index,AB63*real_i^INT(BP63))</f>
        <v/>
      </c>
      <c r="AD63" s="590">
        <f>$AC63/12*Bonus</f>
        <v/>
      </c>
      <c r="AE63" s="590">
        <f>IF($E63="FL",MedSub*m^INT(BP63),MedSub)*IF(Summary!$C$31="Y",1,0)*(W63&lt;=Ret_Yr_pre)*(Summary!C$31="Y")</f>
        <v/>
      </c>
      <c r="AF63" s="590">
        <f>IF(Summary!$C$30="Y",IF(E63&lt;&gt;"PL",VLOOKUP(Current,'Housing Allowance'!$A:$B,2,),VLOOKUP(YEAR($V63),'Housing Allowance'!$A:$B,2,)),0)*(W63&lt;=Ret_Yr_pre)</f>
        <v/>
      </c>
      <c r="AG63" s="590">
        <f>AC63*overtime</f>
        <v/>
      </c>
      <c r="AH63" s="590">
        <f>AC63*allow_1</f>
        <v/>
      </c>
      <c r="AI63" s="590">
        <f>(AB63&lt;&gt;0)*12*allow_2</f>
        <v/>
      </c>
      <c r="AJ63" s="590" t="n"/>
      <c r="AK63" s="581">
        <f>IF(YEAR(W63)&lt;=Ret_Yr_pre,SUM(AC63:AJ63),0)*IF($W63=Ret_Yr_pre,X63,1)</f>
        <v/>
      </c>
      <c r="AL63" s="581">
        <f>IF($W63&gt;=Ret_Yr_pre,pens_Pre*(GEPF_pre="Y"),0)*IF($W63=Ret_Yr_pre,1-$X63,1)*IF(Ret_Yr_pre&lt;Current,(_xlfn.IFNA(VLOOKUP($D63,CPI!$A:$E,2,FALSE),VLOOKUP(Current,CPI!$A:$E,2,FALSE))/VLOOKUP(Ret_Yr_pre,CPI!$A:$E,2,FALSE)),1)</f>
        <v/>
      </c>
      <c r="AM63" s="590">
        <f>$AC63*ee*IF($W63=Ret_Yr_pre,$X63,1)</f>
        <v/>
      </c>
      <c r="AN63" s="590">
        <f>$AC63*er*IF($W63=Ret_Yr_pre,$X63,1)</f>
        <v/>
      </c>
      <c r="AO63" s="590">
        <f>IF('LOE Sc1'!$W63=Ret_Yr_pre,Gratuity_Pre*(GEPF_pre="Y"),0)</f>
        <v/>
      </c>
      <c r="AP63" s="581">
        <f>AK63+AL63-$AM63-AN63*(GEPF_pre="Y")</f>
        <v/>
      </c>
      <c r="AQ63" s="590">
        <f>IF(DF63&lt;0,0,DF63)</f>
        <v/>
      </c>
      <c r="AR63" s="581">
        <f>(AP63-AQ63+AM63*(AM$7="Y")+AN63*(AN$7="Y"))*IF(W63&lt;Ret_Yr_pre,X63,1)+AO63</f>
        <v/>
      </c>
      <c r="AS63" s="595" t="n"/>
      <c r="AT63" s="6">
        <f>V63</f>
        <v/>
      </c>
      <c r="AU63" s="31">
        <f>W63</f>
        <v/>
      </c>
      <c r="AV63" s="598">
        <f>IF(AU63=Current,ROUND((AT63-AT62)/365.25,5),_xlfn.IFNA(INDEX(Summary!$A$55:$A$72,MATCH('LOE Sc1'!AU63,Summary!$C$55:$C$72,0)),IF(AU63=Ret_Yr_post,ROUND((DoR_Post-AT62)/365.25,5),ROUND((AT63-AT62)/365.25,2))))</f>
        <v/>
      </c>
      <c r="AW63" s="55">
        <f>Y63</f>
        <v/>
      </c>
      <c r="AX63" s="26">
        <f t="array" ref="AX63">IF(AU63&gt;Ret_Yr_post,0,_xlfn.IFNA(VLOOKUP(AW63,N$11:S$1000,5,),IF(AND(AU63=Current,AT63&gt;DoC,MONTH(DoC)&lt;&gt;3),AX62,AX62+INDEX(S$11:S$1000,MATCH(AW63,N$11:N$1000,1)+1))))</f>
        <v/>
      </c>
      <c r="AY63" s="590">
        <f>IF($V63&lt;DoC,AX63*VLOOKUP(YEAR($V63),CPI_Table,4,FALSE)/index,AX63*real_i^INT(BP63))</f>
        <v/>
      </c>
      <c r="AZ63" s="590">
        <f>$AY63/12*Bonus_Post*($AW63&lt;=RetAge_Post)</f>
        <v/>
      </c>
      <c r="BA63" s="590">
        <f>IF($E63="FL",MedSub*m^INT(BP63),MedSub)*IF(Summary!$C$81="Y",1,0)*($AU63&lt;=Ret_Yr_post)*(Summary!$C$81="Y")</f>
        <v/>
      </c>
      <c r="BB63" s="590">
        <f>IF(Summary!$C$80="Y",IF($E63&lt;&gt;"PL",VLOOKUP(Current,'Housing Allowance'!$A:$B,2,),VLOOKUP(YEAR($AT63),'Housing Allowance'!$A:$B,2,)),0)*($AU63&lt;=Ret_Yr_post)</f>
        <v/>
      </c>
      <c r="BC63" s="590">
        <f>AY63*overtime_post</f>
        <v/>
      </c>
      <c r="BD63" s="590">
        <f>$AY63*allow_1_post</f>
        <v/>
      </c>
      <c r="BE63" s="590">
        <f>($AY63&lt;&gt;0)*allow_2_post*12</f>
        <v/>
      </c>
      <c r="BF63" s="590" t="n"/>
      <c r="BG63" s="581">
        <f>IF(YEAR($V63)&lt;=Ret_Yr_post,SUM(AY63:BF63),0)*IF($W63=Ret_Yr_post,AV63,1)</f>
        <v/>
      </c>
      <c r="BH63" s="581">
        <f>IF($W63&gt;=Ret_Yr_post,pens_Post*(GEPF_pre="Y"),0)*IF($W63=Ret_Yr_post,1-$AV63,1)*IF(Ret_Yr_post&lt;Current,(_xlfn.IFNA(VLOOKUP($D63,CPI!$A:$E,2,FALSE),VLOOKUP(Current,CPI!$A:$E,2,FALSE))/VLOOKUP(Ret_Yr_post,CPI!$A:$E,2,FALSE)),1)</f>
        <v/>
      </c>
      <c r="BI63" s="590">
        <f>$AY63*ee_post*IF($W63=Ret_Yr_post,$AV63,1)</f>
        <v/>
      </c>
      <c r="BJ63" s="590">
        <f>$AY63*er_post*IF($W63=Ret_Yr_post,$AV63,1)</f>
        <v/>
      </c>
      <c r="BK63" s="590">
        <f>IF('LOE Sc1'!$W63=Ret_Yr_post,Gratuity_Post*(GEPF_post="Y"),0)</f>
        <v/>
      </c>
      <c r="BL63" s="581">
        <f>BG63+BH63-BI63-BJ63*(GEPF_post="Y")</f>
        <v/>
      </c>
      <c r="BM63" s="590">
        <f>IF(DM63&lt;0,0,DM63)</f>
        <v/>
      </c>
      <c r="BN63" s="581">
        <f>(BL63-BM63+BI63*(BI$7="Y")+BJ63*(BJ$7="Y"))*IF($W63&lt;Ret_Yr_post,AV63,1)+BK63</f>
        <v/>
      </c>
      <c r="BO63" s="591" t="n"/>
      <c r="BP63" s="592">
        <f>IF($E63="FL",IF($X63&lt;=DoC,DATEDIF(DoC,$V63,"M")/12,0),0)</f>
        <v/>
      </c>
      <c r="BQ63" s="592">
        <f>IF($E63="FL",(1+CPI)^INT(BP63),0)</f>
        <v/>
      </c>
      <c r="BR63" s="592">
        <f>IF($E63="FL",IF(($BP63-0.5)&gt;=0,1/(1+d)^($BP63-0.5),1/(1+d)^($BP63)),0)</f>
        <v/>
      </c>
      <c r="BS63" s="592" t="n"/>
      <c r="BT63" s="25">
        <f>IF(gender="M",VLOOKUP($Y63+pre_mort+IF(MONTH(DoC)&lt;MONTH(DoB),IF(MONTH(DoC)&lt;3,0,-1),IF(MONTH(DoB)&lt;3,-1,0)),'SALT LIFE TABLES'!$A$7:$E$106,2),VLOOKUP($Y63+pre_mort+IF(MONTH(DoC)&lt;MONTH(DoB),IF(MONTH(DoC)&lt;3,0,-1),IF(MONTH(DoB)&lt;3,-1,0)),'SALT LIFE TABLES'!$A$7:$E$106,4))</f>
        <v/>
      </c>
      <c r="BU63" s="592">
        <f>IF($E63="PL",1,BT63/BU$7)</f>
        <v/>
      </c>
      <c r="BV63" s="593" t="n"/>
      <c r="BW63" s="25">
        <f>IF(gender="M",VLOOKUP($Y63+post_mort+IF(MONTH(DoC)&lt;MONTH(DoB),IF(MONTH(DoC)&lt;3,0,-1),IF(MONTH(DoB)&lt;3,-1,0)),'SALT LIFE TABLES'!$A$7:$E$106,2),VLOOKUP($Y63+post_mort+IF(MONTH(DoC)&lt;MONTH(DoB),IF(MONTH(DoC)&lt;3,0,-1),IF(MONTH(DoB)&lt;3,-1,0)),'SALT LIFE TABLES'!$A$7:$E$106,4))</f>
        <v/>
      </c>
      <c r="BX63" s="592">
        <f>IF($E63="PL",1,BW63/BX$7)</f>
        <v/>
      </c>
      <c r="BY63" s="594" t="n"/>
      <c r="BZ63" s="592" t="n"/>
      <c r="CA63" s="592">
        <f>IF($E63="FL",$AR63*$BQ63*$BR63*$BU63,$AR63)</f>
        <v/>
      </c>
      <c r="CB63" s="592">
        <f>IF($E63="FL",$BN63*$BQ63*$BR63*$BX63,$BN63)</f>
        <v/>
      </c>
      <c r="CC63" s="592" t="n"/>
      <c r="CD63" s="592">
        <f>IF($E63="FL",$CA63*(1-pre_FL),$CA63*(1-pre_PL))</f>
        <v/>
      </c>
      <c r="CE63" s="592">
        <f>IF($E63="FL",$CB63*(1-post_FL),$CB63*(1-post_PL))</f>
        <v/>
      </c>
      <c r="CF63" s="592" t="n"/>
      <c r="CG63" s="599">
        <f>CD63-CE63</f>
        <v/>
      </c>
      <c r="CH63" s="599">
        <f>MIN(CG63,IF(W63=Ret_Yr_pre,1,$X63)*Cap)</f>
        <v/>
      </c>
      <c r="CI63" s="128" t="n"/>
      <c r="CJ63" s="37">
        <f>IF(D63&gt;Current,Current,D63)</f>
        <v/>
      </c>
      <c r="CK63" s="37">
        <f>MATCH($CJ63,Tax_Tables[Tax Year],0)</f>
        <v/>
      </c>
      <c r="CL63" s="600" t="n">
        <v>0</v>
      </c>
      <c r="CM63" s="600">
        <f t="array" ref="CM63">INDEX(Tax_Tables[[Limits]:[Limits]],$CK63+CM$8)</f>
        <v/>
      </c>
      <c r="CN63" s="600">
        <f t="array" ref="CN63">INDEX(Tax_Tables[[Limits]:[Limits]],$CK63+CN$8)</f>
        <v/>
      </c>
      <c r="CO63" s="600">
        <f t="array" ref="CO63">INDEX(Tax_Tables[[Limits]:[Limits]],$CK63+CO$8)</f>
        <v/>
      </c>
      <c r="CP63" s="600">
        <f t="array" ref="CP63">INDEX(Tax_Tables[[Limits]:[Limits]],$CK63+CP$8)</f>
        <v/>
      </c>
      <c r="CQ63" s="600">
        <f t="array" ref="CQ63">INDEX(Tax_Tables[[Limits]:[Limits]],$CK63+CQ$8)</f>
        <v/>
      </c>
      <c r="CR63" s="600">
        <f t="array" ref="CR63">INDEX(Tax_Tables[[Limits]:[Limits]],$CK63+CR$8)</f>
        <v/>
      </c>
      <c r="CS63" s="37">
        <f>INDEX(Rebate[&lt;65],MATCH($CJ63,Rebate[[Tax Year]:[Tax Year]],0))</f>
        <v/>
      </c>
      <c r="CT63" s="37">
        <f>INDEX(Rebate[&lt;75],MATCH($CJ63,Rebate[[Tax Year]:[Tax Year]],0))</f>
        <v/>
      </c>
      <c r="CU63" s="37">
        <f>INDEX(Rebate[&gt;75],MATCH($CJ63,Rebate[[Tax Year]:[Tax Year]],0))</f>
        <v/>
      </c>
      <c r="CV63" s="37">
        <f>INDEX(Tax_Credit[Principal],MATCH($CJ63,Tax_Credit[[Tax Year]:[Tax Year]],0))</f>
        <v/>
      </c>
      <c r="CW63" s="37">
        <f>INDEX(Tax_Credit[First Dependant],MATCH($CJ63,Tax_Credit[[Tax Year]:[Tax Year]],0))</f>
        <v/>
      </c>
      <c r="CX63" s="37">
        <f>INDEX(Tax_Credit[Each Additional],MATCH($CJ63,Tax_Credit[[Tax Year]:[Tax Year]],0))</f>
        <v/>
      </c>
      <c r="CY63" s="484">
        <f>Y63</f>
        <v/>
      </c>
      <c r="CZ63" s="601">
        <f>AP63</f>
        <v/>
      </c>
      <c r="DA63" s="37">
        <f t="array" ref="DA63">INDEX($CL63:$CR63,0,MATCH($CZ63,$CL63:$CR63,1))</f>
        <v/>
      </c>
      <c r="DB63" s="37">
        <f t="array" ref="DB63">IFERROR(INDEX(Tax_Tables[Percentages],$CK63+MATCH($DA63,$CL63:$CR63,0)-1),"")</f>
        <v/>
      </c>
      <c r="DC63" s="37">
        <f t="array" ref="DC63">IFERROR(INDEX(Tax_Tables[Tax],$CK63+MATCH($DA63,$CL63:$CR63,0)-1),"")</f>
        <v/>
      </c>
      <c r="DD63" s="37">
        <f>IF(CY63&lt;65,CS63,IF(CY63&lt;75,CT63,CU63))</f>
        <v/>
      </c>
      <c r="DE63" s="37">
        <f>CV63*(Summary!$C$31="Y")+(Summary!$C$31="Y")*(CW63*(Pre_MDep&gt;=1)+CX63*MAX(Pre_MDep-1,0))</f>
        <v/>
      </c>
      <c r="DF63" s="599">
        <f>IFERROR(MAX(DB63*(CZ63-DA63)+DC63-DD63-DE63*12,0),"")</f>
        <v/>
      </c>
      <c r="DG63" s="602" t="n"/>
      <c r="DH63" s="601">
        <f>BL63</f>
        <v/>
      </c>
      <c r="DI63" s="37">
        <f t="array" ref="DI63">INDEX($CL63:$CR63,0,MATCH($DH63,$CL63:$CR63,1))</f>
        <v/>
      </c>
      <c r="DJ63" s="37">
        <f t="array" ref="DJ63">IFERROR(INDEX(Tax_Tables[Percentages],$CK63+MATCH($DI63,$CL63:$CR63,0)-1),"")</f>
        <v/>
      </c>
      <c r="DK63" s="37">
        <f t="array" ref="DK63">IFERROR(INDEX(Tax_Tables[Tax],$CK63+MATCH($DI63,$CL63:$CR63,0)-1),"")</f>
        <v/>
      </c>
      <c r="DL63" s="37">
        <f>CV63*(Summary!$C$81="Y")+(Summary!$C$81="Y")*(CW63*(Post_MDep&gt;=1)+CX63*MAX(Post_MDep-1,0))</f>
        <v/>
      </c>
      <c r="DM63" s="599">
        <f>IFERROR(MAX(DJ63*(DH63-DI63)+DK63-DD63-DL63*12,0),"")</f>
        <v/>
      </c>
      <c r="DN63" s="601" t="n"/>
      <c r="DO63" s="37" t="n"/>
      <c r="DP63" s="37" t="n"/>
      <c r="DQ63" s="37" t="n"/>
      <c r="DR63" s="37" t="n"/>
      <c r="DS63" s="37" t="n"/>
      <c r="DT63" s="37" t="n"/>
      <c r="DU63" s="37" t="n"/>
      <c r="DV63" s="37" t="n"/>
      <c r="DW63" s="37" t="n"/>
      <c r="DX63" s="599" t="n"/>
      <c r="DY63" s="131" t="n"/>
      <c r="DZ63" s="601" t="n"/>
      <c r="EA63" s="37" t="n"/>
      <c r="EB63" s="37" t="n"/>
      <c r="EC63" s="37" t="n"/>
      <c r="ED63" s="599" t="n"/>
      <c r="EE63" s="595" t="n"/>
      <c r="EF63" s="25" t="n"/>
    </row>
    <row r="64">
      <c r="C64" s="596">
        <f>C63+D64-D63</f>
        <v/>
      </c>
      <c r="D64" s="160">
        <f>AU64</f>
        <v/>
      </c>
      <c r="E64" s="87">
        <f>IF(DoC=V64,"Calc Date",IF(V64&lt;DoC,"PL","FL"))</f>
        <v/>
      </c>
      <c r="F64" s="310">
        <f>F63+1</f>
        <v/>
      </c>
      <c r="G64" s="31">
        <f>VLOOKUP(F64,C$10:D$148,2)</f>
        <v/>
      </c>
      <c r="H64" s="313">
        <f>H63</f>
        <v/>
      </c>
      <c r="I64" s="281">
        <f>I63</f>
        <v/>
      </c>
      <c r="J64" s="589">
        <f>I64*index/VLOOKUP($H64,CPI!A:E,4,FALSE)</f>
        <v/>
      </c>
      <c r="K64" s="589">
        <f>IF(L64="Linear",(J64-J63)/(G64-G63),0)</f>
        <v/>
      </c>
      <c r="L64" s="311" t="inlineStr">
        <is>
          <t>Flat</t>
        </is>
      </c>
      <c r="M64" s="137" t="n"/>
      <c r="N64" s="310">
        <f>N63+1</f>
        <v/>
      </c>
      <c r="O64" s="31">
        <f>O63+N64-N63</f>
        <v/>
      </c>
      <c r="P64" s="313">
        <f>P63</f>
        <v/>
      </c>
      <c r="Q64" s="281">
        <f>Q63</f>
        <v/>
      </c>
      <c r="R64" s="589">
        <f>Q64*index/VLOOKUP($P64,CPI!A:E,4,FALSE)</f>
        <v/>
      </c>
      <c r="S64" s="589">
        <f>IF(T64="Linear",(R64-R63)/(O64-O63),0)</f>
        <v/>
      </c>
      <c r="T64" s="311" t="inlineStr">
        <is>
          <t>Flat</t>
        </is>
      </c>
      <c r="U64" s="144" t="n"/>
      <c r="V64" s="6">
        <f>IF(AND($V63=DoA,MONTH(V63)&lt;3),DATE(YEAR(DoA),3,1),IF(AND(IFERROR(DATEDIF(V63,DoC,"M"),12)&lt;12,IFERROR(DATEDIF(V63,DoC,"M"),12)&gt;0),DoC,DATE(YEAR(V63)+(1-AND(YEAR(DoC)=Current,V63=DoC)-AND(V63=DoA,MONTH(V63)&lt;3)),3,1)))</f>
        <v/>
      </c>
      <c r="W64" s="31">
        <f>IF(V64=DoR_Pre,IF(MONTH(DoR_Pre)&gt;3,YEAR(DoR_Pre)+1,YEAR(DoR_Pre)),IF(MONTH(V64)&gt;3,Current,YEAR(V64)))</f>
        <v/>
      </c>
      <c r="X64" s="597">
        <f>IF(W64=Current,ROUND((V64-V63)/365.25,5),_xlfn.IFNA(INDEX(Summary!$A$5:$A$22,MATCH('LOE Sc1'!W64,Summary!$C$5:$C$22,0)),IF(W64=Ret_Yr_pre,ROUND((DoR_Pre-V63)/365.25,5),ROUND((V64-V63)/365.25,2))))</f>
        <v/>
      </c>
      <c r="Y64" s="55">
        <f>IF(AND(V64=DoC,MONTH(DoC)&lt;&gt;3),ROUNDDOWN(DATEDIF(DoB,V65,"M")/12,),ROUNDDOWN(DATEDIF(DoB,V64,"M")/12,))</f>
        <v/>
      </c>
      <c r="Z64" s="590" t="n"/>
      <c r="AA64" s="25">
        <f>MAX(RetAge_Pre-Y64,0)</f>
        <v/>
      </c>
      <c r="AB64" s="26">
        <f t="array" ref="AB64">IF(W64&gt;Ret_Yr_pre,0,_xlfn.IFNA(VLOOKUP(Y64,F$11:J$1000,5,),IF(AND(W64=Current,V64&gt;DoC,MONTH(DoC)&lt;&gt;3),AB63,AB63+INDEX(K$11:K$1000,MATCH(Y64,F$11:F$1000,1)+1))))</f>
        <v/>
      </c>
      <c r="AC64" s="590">
        <f>IF(V64&lt;DoC,AB64*VLOOKUP(YEAR(V64),CPI!A:E,4,FALSE)/index,AB64*real_i^INT(BP64))</f>
        <v/>
      </c>
      <c r="AD64" s="590">
        <f>$AC64/12*Bonus</f>
        <v/>
      </c>
      <c r="AE64" s="590">
        <f>IF($E64="FL",MedSub*m^INT(BP64),MedSub)*IF(Summary!$C$31="Y",1,0)*(W64&lt;=Ret_Yr_pre)*(Summary!C$31="Y")</f>
        <v/>
      </c>
      <c r="AF64" s="590">
        <f>IF(Summary!$C$30="Y",IF(E64&lt;&gt;"PL",VLOOKUP(Current,'Housing Allowance'!$A:$B,2,),VLOOKUP(YEAR($V64),'Housing Allowance'!$A:$B,2,)),0)*(W64&lt;=Ret_Yr_pre)</f>
        <v/>
      </c>
      <c r="AG64" s="590">
        <f>AC64*overtime</f>
        <v/>
      </c>
      <c r="AH64" s="590">
        <f>AC64*allow_1</f>
        <v/>
      </c>
      <c r="AI64" s="590">
        <f>(AB64&lt;&gt;0)*12*allow_2</f>
        <v/>
      </c>
      <c r="AJ64" s="590" t="n"/>
      <c r="AK64" s="581">
        <f>IF(YEAR(W64)&lt;=Ret_Yr_pre,SUM(AC64:AJ64),0)*IF($W64=Ret_Yr_pre,X64,1)</f>
        <v/>
      </c>
      <c r="AL64" s="581">
        <f>IF($W64&gt;=Ret_Yr_pre,pens_Pre*(GEPF_pre="Y"),0)*IF($W64=Ret_Yr_pre,1-$X64,1)*IF(Ret_Yr_pre&lt;Current,(_xlfn.IFNA(VLOOKUP($D64,CPI!$A:$E,2,FALSE),VLOOKUP(Current,CPI!$A:$E,2,FALSE))/VLOOKUP(Ret_Yr_pre,CPI!$A:$E,2,FALSE)),1)</f>
        <v/>
      </c>
      <c r="AM64" s="590">
        <f>$AC64*ee*IF($W64=Ret_Yr_pre,$X64,1)</f>
        <v/>
      </c>
      <c r="AN64" s="590">
        <f>$AC64*er*IF($W64=Ret_Yr_pre,$X64,1)</f>
        <v/>
      </c>
      <c r="AO64" s="590">
        <f>IF('LOE Sc1'!$W64=Ret_Yr_pre,Gratuity_Pre*(GEPF_pre="Y"),0)</f>
        <v/>
      </c>
      <c r="AP64" s="581">
        <f>AK64+AL64-$AM64-AN64*(GEPF_pre="Y")</f>
        <v/>
      </c>
      <c r="AQ64" s="590">
        <f>IF(DF64&lt;0,0,DF64)</f>
        <v/>
      </c>
      <c r="AR64" s="581">
        <f>(AP64-AQ64+AM64*(AM$7="Y")+AN64*(AN$7="Y"))*IF(W64&lt;Ret_Yr_pre,X64,1)+AO64</f>
        <v/>
      </c>
      <c r="AS64" s="595" t="n"/>
      <c r="AT64" s="6">
        <f>V64</f>
        <v/>
      </c>
      <c r="AU64" s="31">
        <f>W64</f>
        <v/>
      </c>
      <c r="AV64" s="598">
        <f>IF(AU64=Current,ROUND((AT64-AT63)/365.25,5),_xlfn.IFNA(INDEX(Summary!$A$55:$A$72,MATCH('LOE Sc1'!AU64,Summary!$C$55:$C$72,0)),IF(AU64=Ret_Yr_post,ROUND((DoR_Post-AT63)/365.25,5),ROUND((AT64-AT63)/365.25,2))))</f>
        <v/>
      </c>
      <c r="AW64" s="55">
        <f>Y64</f>
        <v/>
      </c>
      <c r="AX64" s="26">
        <f t="array" ref="AX64">IF(AU64&gt;Ret_Yr_post,0,_xlfn.IFNA(VLOOKUP(AW64,N$11:S$1000,5,),IF(AND(AU64=Current,AT64&gt;DoC,MONTH(DoC)&lt;&gt;3),AX63,AX63+INDEX(S$11:S$1000,MATCH(AW64,N$11:N$1000,1)+1))))</f>
        <v/>
      </c>
      <c r="AY64" s="590">
        <f>IF($V64&lt;DoC,AX64*VLOOKUP(YEAR($V64),CPI_Table,4,FALSE)/index,AX64*real_i^INT(BP64))</f>
        <v/>
      </c>
      <c r="AZ64" s="590">
        <f>$AY64/12*Bonus_Post*($AW64&lt;=RetAge_Post)</f>
        <v/>
      </c>
      <c r="BA64" s="590">
        <f>IF($E64="FL",MedSub*m^INT(BP64),MedSub)*IF(Summary!$C$81="Y",1,0)*($AU64&lt;=Ret_Yr_post)*(Summary!$C$81="Y")</f>
        <v/>
      </c>
      <c r="BB64" s="590">
        <f>IF(Summary!$C$80="Y",IF($E64&lt;&gt;"PL",VLOOKUP(Current,'Housing Allowance'!$A:$B,2,),VLOOKUP(YEAR($AT64),'Housing Allowance'!$A:$B,2,)),0)*($AU64&lt;=Ret_Yr_post)</f>
        <v/>
      </c>
      <c r="BC64" s="590">
        <f>AY64*overtime_post</f>
        <v/>
      </c>
      <c r="BD64" s="590">
        <f>$AY64*allow_1_post</f>
        <v/>
      </c>
      <c r="BE64" s="590">
        <f>($AY64&lt;&gt;0)*allow_2_post*12</f>
        <v/>
      </c>
      <c r="BF64" s="590" t="n"/>
      <c r="BG64" s="581">
        <f>IF(YEAR($V64)&lt;=Ret_Yr_post,SUM(AY64:BF64),0)*IF($W64=Ret_Yr_post,AV64,1)</f>
        <v/>
      </c>
      <c r="BH64" s="581">
        <f>IF($W64&gt;=Ret_Yr_post,pens_Post*(GEPF_pre="Y"),0)*IF($W64=Ret_Yr_post,1-$AV64,1)*IF(Ret_Yr_post&lt;Current,(_xlfn.IFNA(VLOOKUP($D64,CPI!$A:$E,2,FALSE),VLOOKUP(Current,CPI!$A:$E,2,FALSE))/VLOOKUP(Ret_Yr_post,CPI!$A:$E,2,FALSE)),1)</f>
        <v/>
      </c>
      <c r="BI64" s="590">
        <f>$AY64*ee_post*IF($W64=Ret_Yr_post,$AV64,1)</f>
        <v/>
      </c>
      <c r="BJ64" s="590">
        <f>$AY64*er_post*IF($W64=Ret_Yr_post,$AV64,1)</f>
        <v/>
      </c>
      <c r="BK64" s="590">
        <f>IF('LOE Sc1'!$W64=Ret_Yr_post,Gratuity_Post*(GEPF_post="Y"),0)</f>
        <v/>
      </c>
      <c r="BL64" s="581">
        <f>BG64+BH64-BI64-BJ64*(GEPF_post="Y")</f>
        <v/>
      </c>
      <c r="BM64" s="590">
        <f>IF(DM64&lt;0,0,DM64)</f>
        <v/>
      </c>
      <c r="BN64" s="581">
        <f>(BL64-BM64+BI64*(BI$7="Y")+BJ64*(BJ$7="Y"))*IF($W64&lt;Ret_Yr_post,AV64,1)+BK64</f>
        <v/>
      </c>
      <c r="BO64" s="591" t="n"/>
      <c r="BP64" s="592">
        <f>IF($E64="FL",IF($X64&lt;=DoC,DATEDIF(DoC,$V64,"M")/12,0),0)</f>
        <v/>
      </c>
      <c r="BQ64" s="592">
        <f>IF($E64="FL",(1+CPI)^INT(BP64),0)</f>
        <v/>
      </c>
      <c r="BR64" s="592">
        <f>IF($E64="FL",IF(($BP64-0.5)&gt;=0,1/(1+d)^($BP64-0.5),1/(1+d)^($BP64)),0)</f>
        <v/>
      </c>
      <c r="BS64" s="592" t="n"/>
      <c r="BT64" s="25">
        <f>IF(gender="M",VLOOKUP($Y64+pre_mort+IF(MONTH(DoC)&lt;MONTH(DoB),IF(MONTH(DoC)&lt;3,0,-1),IF(MONTH(DoB)&lt;3,-1,0)),'SALT LIFE TABLES'!$A$7:$E$106,2),VLOOKUP($Y64+pre_mort+IF(MONTH(DoC)&lt;MONTH(DoB),IF(MONTH(DoC)&lt;3,0,-1),IF(MONTH(DoB)&lt;3,-1,0)),'SALT LIFE TABLES'!$A$7:$E$106,4))</f>
        <v/>
      </c>
      <c r="BU64" s="592">
        <f>IF($E64="PL",1,BT64/BU$7)</f>
        <v/>
      </c>
      <c r="BV64" s="593" t="n"/>
      <c r="BW64" s="25">
        <f>IF(gender="M",VLOOKUP($Y64+post_mort+IF(MONTH(DoC)&lt;MONTH(DoB),IF(MONTH(DoC)&lt;3,0,-1),IF(MONTH(DoB)&lt;3,-1,0)),'SALT LIFE TABLES'!$A$7:$E$106,2),VLOOKUP($Y64+post_mort+IF(MONTH(DoC)&lt;MONTH(DoB),IF(MONTH(DoC)&lt;3,0,-1),IF(MONTH(DoB)&lt;3,-1,0)),'SALT LIFE TABLES'!$A$7:$E$106,4))</f>
        <v/>
      </c>
      <c r="BX64" s="592">
        <f>IF($E64="PL",1,BW64/BX$7)</f>
        <v/>
      </c>
      <c r="BY64" s="594" t="n"/>
      <c r="BZ64" s="592" t="n"/>
      <c r="CA64" s="592">
        <f>IF($E64="FL",$AR64*$BQ64*$BR64*$BU64,$AR64)</f>
        <v/>
      </c>
      <c r="CB64" s="592">
        <f>IF($E64="FL",$BN64*$BQ64*$BR64*$BX64,$BN64)</f>
        <v/>
      </c>
      <c r="CC64" s="592" t="n"/>
      <c r="CD64" s="592">
        <f>IF($E64="FL",$CA64*(1-pre_FL),$CA64*(1-pre_PL))</f>
        <v/>
      </c>
      <c r="CE64" s="592">
        <f>IF($E64="FL",$CB64*(1-post_FL),$CB64*(1-post_PL))</f>
        <v/>
      </c>
      <c r="CF64" s="592" t="n"/>
      <c r="CG64" s="599">
        <f>CD64-CE64</f>
        <v/>
      </c>
      <c r="CH64" s="599">
        <f>MIN(CG64,IF(W64=Ret_Yr_pre,1,$X64)*Cap)</f>
        <v/>
      </c>
      <c r="CI64" s="128" t="n"/>
      <c r="CJ64" s="37">
        <f>IF(D64&gt;Current,Current,D64)</f>
        <v/>
      </c>
      <c r="CK64" s="37">
        <f>MATCH($CJ64,Tax_Tables[Tax Year],0)</f>
        <v/>
      </c>
      <c r="CL64" s="600" t="n">
        <v>0</v>
      </c>
      <c r="CM64" s="600">
        <f t="array" ref="CM64">INDEX(Tax_Tables[[Limits]:[Limits]],$CK64+CM$8)</f>
        <v/>
      </c>
      <c r="CN64" s="600">
        <f t="array" ref="CN64">INDEX(Tax_Tables[[Limits]:[Limits]],$CK64+CN$8)</f>
        <v/>
      </c>
      <c r="CO64" s="600">
        <f t="array" ref="CO64">INDEX(Tax_Tables[[Limits]:[Limits]],$CK64+CO$8)</f>
        <v/>
      </c>
      <c r="CP64" s="600">
        <f t="array" ref="CP64">INDEX(Tax_Tables[[Limits]:[Limits]],$CK64+CP$8)</f>
        <v/>
      </c>
      <c r="CQ64" s="600">
        <f t="array" ref="CQ64">INDEX(Tax_Tables[[Limits]:[Limits]],$CK64+CQ$8)</f>
        <v/>
      </c>
      <c r="CR64" s="600">
        <f t="array" ref="CR64">INDEX(Tax_Tables[[Limits]:[Limits]],$CK64+CR$8)</f>
        <v/>
      </c>
      <c r="CS64" s="37">
        <f>INDEX(Rebate[&lt;65],MATCH($CJ64,Rebate[[Tax Year]:[Tax Year]],0))</f>
        <v/>
      </c>
      <c r="CT64" s="37">
        <f>INDEX(Rebate[&lt;75],MATCH($CJ64,Rebate[[Tax Year]:[Tax Year]],0))</f>
        <v/>
      </c>
      <c r="CU64" s="37">
        <f>INDEX(Rebate[&gt;75],MATCH($CJ64,Rebate[[Tax Year]:[Tax Year]],0))</f>
        <v/>
      </c>
      <c r="CV64" s="37">
        <f>INDEX(Tax_Credit[Principal],MATCH($CJ64,Tax_Credit[[Tax Year]:[Tax Year]],0))</f>
        <v/>
      </c>
      <c r="CW64" s="37">
        <f>INDEX(Tax_Credit[First Dependant],MATCH($CJ64,Tax_Credit[[Tax Year]:[Tax Year]],0))</f>
        <v/>
      </c>
      <c r="CX64" s="37">
        <f>INDEX(Tax_Credit[Each Additional],MATCH($CJ64,Tax_Credit[[Tax Year]:[Tax Year]],0))</f>
        <v/>
      </c>
      <c r="CY64" s="484">
        <f>Y64</f>
        <v/>
      </c>
      <c r="CZ64" s="601">
        <f>AP64</f>
        <v/>
      </c>
      <c r="DA64" s="37">
        <f t="array" ref="DA64">INDEX($CL64:$CR64,0,MATCH($CZ64,$CL64:$CR64,1))</f>
        <v/>
      </c>
      <c r="DB64" s="37">
        <f t="array" ref="DB64">IFERROR(INDEX(Tax_Tables[Percentages],$CK64+MATCH($DA64,$CL64:$CR64,0)-1),"")</f>
        <v/>
      </c>
      <c r="DC64" s="37">
        <f t="array" ref="DC64">IFERROR(INDEX(Tax_Tables[Tax],$CK64+MATCH($DA64,$CL64:$CR64,0)-1),"")</f>
        <v/>
      </c>
      <c r="DD64" s="37">
        <f>IF(CY64&lt;65,CS64,IF(CY64&lt;75,CT64,CU64))</f>
        <v/>
      </c>
      <c r="DE64" s="37">
        <f>CV64*(Summary!$C$31="Y")+(Summary!$C$31="Y")*(CW64*(Pre_MDep&gt;=1)+CX64*MAX(Pre_MDep-1,0))</f>
        <v/>
      </c>
      <c r="DF64" s="599">
        <f>IFERROR(MAX(DB64*(CZ64-DA64)+DC64-DD64-DE64*12,0),"")</f>
        <v/>
      </c>
      <c r="DG64" s="602" t="n"/>
      <c r="DH64" s="601">
        <f>BL64</f>
        <v/>
      </c>
      <c r="DI64" s="37">
        <f t="array" ref="DI64">INDEX($CL64:$CR64,0,MATCH($DH64,$CL64:$CR64,1))</f>
        <v/>
      </c>
      <c r="DJ64" s="37">
        <f t="array" ref="DJ64">IFERROR(INDEX(Tax_Tables[Percentages],$CK64+MATCH($DI64,$CL64:$CR64,0)-1),"")</f>
        <v/>
      </c>
      <c r="DK64" s="37">
        <f t="array" ref="DK64">IFERROR(INDEX(Tax_Tables[Tax],$CK64+MATCH($DI64,$CL64:$CR64,0)-1),"")</f>
        <v/>
      </c>
      <c r="DL64" s="37">
        <f>CV64*(Summary!$C$81="Y")+(Summary!$C$81="Y")*(CW64*(Post_MDep&gt;=1)+CX64*MAX(Post_MDep-1,0))</f>
        <v/>
      </c>
      <c r="DM64" s="599">
        <f>IFERROR(MAX(DJ64*(DH64-DI64)+DK64-DD64-DL64*12,0),"")</f>
        <v/>
      </c>
      <c r="DN64" s="601" t="n"/>
      <c r="DO64" s="37" t="n"/>
      <c r="DP64" s="37" t="n"/>
      <c r="DQ64" s="37" t="n"/>
      <c r="DR64" s="37" t="n"/>
      <c r="DS64" s="37" t="n"/>
      <c r="DT64" s="37" t="n"/>
      <c r="DU64" s="37" t="n"/>
      <c r="DV64" s="37" t="n"/>
      <c r="DW64" s="37" t="n"/>
      <c r="DX64" s="599" t="n"/>
      <c r="DY64" s="131" t="n"/>
      <c r="DZ64" s="601" t="n"/>
      <c r="EA64" s="37" t="n"/>
      <c r="EB64" s="37" t="n"/>
      <c r="EC64" s="37" t="n"/>
      <c r="ED64" s="599" t="n"/>
      <c r="EE64" s="595" t="n"/>
      <c r="EF64" s="25" t="n"/>
    </row>
    <row r="65">
      <c r="C65" s="596">
        <f>C64+D65-D64</f>
        <v/>
      </c>
      <c r="D65" s="160">
        <f>AU65</f>
        <v/>
      </c>
      <c r="E65" s="87">
        <f>IF(DoC=V65,"Calc Date",IF(V65&lt;DoC,"PL","FL"))</f>
        <v/>
      </c>
      <c r="F65" s="310">
        <f>F64+1</f>
        <v/>
      </c>
      <c r="G65" s="31">
        <f>VLOOKUP(F65,C$10:D$148,2)</f>
        <v/>
      </c>
      <c r="H65" s="313">
        <f>H64</f>
        <v/>
      </c>
      <c r="I65" s="281">
        <f>I64</f>
        <v/>
      </c>
      <c r="J65" s="589">
        <f>I65*index/VLOOKUP($H65,CPI!A:E,4,FALSE)</f>
        <v/>
      </c>
      <c r="K65" s="589">
        <f>IF(L65="Linear",(J65-J64)/(G65-G64),0)</f>
        <v/>
      </c>
      <c r="L65" s="311" t="inlineStr">
        <is>
          <t>Flat</t>
        </is>
      </c>
      <c r="M65" s="137" t="n"/>
      <c r="N65" s="310">
        <f>N64+1</f>
        <v/>
      </c>
      <c r="O65" s="31">
        <f>O64+N65-N64</f>
        <v/>
      </c>
      <c r="P65" s="313">
        <f>P64</f>
        <v/>
      </c>
      <c r="Q65" s="281">
        <f>Q64</f>
        <v/>
      </c>
      <c r="R65" s="589">
        <f>Q65*index/VLOOKUP($P65,CPI!A:E,4,FALSE)</f>
        <v/>
      </c>
      <c r="S65" s="589">
        <f>IF(T65="Linear",(R65-R64)/(O65-O64),0)</f>
        <v/>
      </c>
      <c r="T65" s="311" t="inlineStr">
        <is>
          <t>Flat</t>
        </is>
      </c>
      <c r="U65" s="144" t="n"/>
      <c r="V65" s="6">
        <f>IF(AND($V64=DoA,MONTH(V64)&lt;3),DATE(YEAR(DoA),3,1),IF(AND(IFERROR(DATEDIF(V64,DoC,"M"),12)&lt;12,IFERROR(DATEDIF(V64,DoC,"M"),12)&gt;0),DoC,DATE(YEAR(V64)+(1-AND(YEAR(DoC)=Current,V64=DoC)-AND(V64=DoA,MONTH(V64)&lt;3)),3,1)))</f>
        <v/>
      </c>
      <c r="W65" s="31">
        <f>IF(V65=DoR_Pre,IF(MONTH(DoR_Pre)&gt;3,YEAR(DoR_Pre)+1,YEAR(DoR_Pre)),IF(MONTH(V65)&gt;3,Current,YEAR(V65)))</f>
        <v/>
      </c>
      <c r="X65" s="597">
        <f>IF(W65=Current,ROUND((V65-V64)/365.25,5),_xlfn.IFNA(INDEX(Summary!$A$5:$A$22,MATCH('LOE Sc1'!W65,Summary!$C$5:$C$22,0)),IF(W65=Ret_Yr_pre,ROUND((DoR_Pre-V64)/365.25,5),ROUND((V65-V64)/365.25,2))))</f>
        <v/>
      </c>
      <c r="Y65" s="55">
        <f>IF(AND(V65=DoC,MONTH(DoC)&lt;&gt;3),ROUNDDOWN(DATEDIF(DoB,V66,"M")/12,),ROUNDDOWN(DATEDIF(DoB,V65,"M")/12,))</f>
        <v/>
      </c>
      <c r="Z65" s="590" t="n"/>
      <c r="AA65" s="25">
        <f>MAX(RetAge_Pre-Y65,0)</f>
        <v/>
      </c>
      <c r="AB65" s="26">
        <f t="array" ref="AB65">IF(W65&gt;Ret_Yr_pre,0,_xlfn.IFNA(VLOOKUP(Y65,F$11:J$1000,5,),IF(AND(W65=Current,V65&gt;DoC,MONTH(DoC)&lt;&gt;3),AB64,AB64+INDEX(K$11:K$1000,MATCH(Y65,F$11:F$1000,1)+1))))</f>
        <v/>
      </c>
      <c r="AC65" s="590">
        <f>IF(V65&lt;DoC,AB65*VLOOKUP(YEAR(V65),CPI!A:E,4,FALSE)/index,AB65*real_i^INT(BP65))</f>
        <v/>
      </c>
      <c r="AD65" s="590">
        <f>$AC65/12*Bonus</f>
        <v/>
      </c>
      <c r="AE65" s="590">
        <f>IF($E65="FL",MedSub*m^INT(BP65),MedSub)*IF(Summary!$C$31="Y",1,0)*(W65&lt;=Ret_Yr_pre)*(Summary!C$31="Y")</f>
        <v/>
      </c>
      <c r="AF65" s="590">
        <f>IF(Summary!$C$30="Y",IF(E65&lt;&gt;"PL",VLOOKUP(Current,'Housing Allowance'!$A:$B,2,),VLOOKUP(YEAR($V65),'Housing Allowance'!$A:$B,2,)),0)*(W65&lt;=Ret_Yr_pre)</f>
        <v/>
      </c>
      <c r="AG65" s="590">
        <f>AC65*overtime</f>
        <v/>
      </c>
      <c r="AH65" s="590">
        <f>AC65*allow_1</f>
        <v/>
      </c>
      <c r="AI65" s="590">
        <f>(AB65&lt;&gt;0)*12*allow_2</f>
        <v/>
      </c>
      <c r="AJ65" s="590" t="n"/>
      <c r="AK65" s="581">
        <f>IF(YEAR(W65)&lt;=Ret_Yr_pre,SUM(AC65:AJ65),0)*IF($W65=Ret_Yr_pre,X65,1)</f>
        <v/>
      </c>
      <c r="AL65" s="581">
        <f>IF($W65&gt;=Ret_Yr_pre,pens_Pre*(GEPF_pre="Y"),0)*IF($W65=Ret_Yr_pre,1-$X65,1)*IF(Ret_Yr_pre&lt;Current,(_xlfn.IFNA(VLOOKUP($D65,CPI!$A:$E,2,FALSE),VLOOKUP(Current,CPI!$A:$E,2,FALSE))/VLOOKUP(Ret_Yr_pre,CPI!$A:$E,2,FALSE)),1)</f>
        <v/>
      </c>
      <c r="AM65" s="590">
        <f>$AC65*ee*IF($W65=Ret_Yr_pre,$X65,1)</f>
        <v/>
      </c>
      <c r="AN65" s="590">
        <f>$AC65*er*IF($W65=Ret_Yr_pre,$X65,1)</f>
        <v/>
      </c>
      <c r="AO65" s="590">
        <f>IF('LOE Sc1'!$W65=Ret_Yr_pre,Gratuity_Pre*(GEPF_pre="Y"),0)</f>
        <v/>
      </c>
      <c r="AP65" s="581">
        <f>AK65+AL65-$AM65-AN65*(GEPF_pre="Y")</f>
        <v/>
      </c>
      <c r="AQ65" s="590">
        <f>IF(DF65&lt;0,0,DF65)</f>
        <v/>
      </c>
      <c r="AR65" s="581">
        <f>(AP65-AQ65+AM65*(AM$7="Y")+AN65*(AN$7="Y"))*IF(W65&lt;Ret_Yr_pre,X65,1)+AO65</f>
        <v/>
      </c>
      <c r="AS65" s="595" t="n"/>
      <c r="AT65" s="6">
        <f>V65</f>
        <v/>
      </c>
      <c r="AU65" s="31">
        <f>W65</f>
        <v/>
      </c>
      <c r="AV65" s="598">
        <f>IF(AU65=Current,ROUND((AT65-AT64)/365.25,5),_xlfn.IFNA(INDEX(Summary!$A$55:$A$72,MATCH('LOE Sc1'!AU65,Summary!$C$55:$C$72,0)),IF(AU65=Ret_Yr_post,ROUND((DoR_Post-AT64)/365.25,5),ROUND((AT65-AT64)/365.25,2))))</f>
        <v/>
      </c>
      <c r="AW65" s="55">
        <f>Y65</f>
        <v/>
      </c>
      <c r="AX65" s="26">
        <f t="array" ref="AX65">IF(AU65&gt;Ret_Yr_post,0,_xlfn.IFNA(VLOOKUP(AW65,N$11:S$1000,5,),IF(AND(AU65=Current,AT65&gt;DoC,MONTH(DoC)&lt;&gt;3),AX64,AX64+INDEX(S$11:S$1000,MATCH(AW65,N$11:N$1000,1)+1))))</f>
        <v/>
      </c>
      <c r="AY65" s="590">
        <f>IF($V65&lt;DoC,AX65*VLOOKUP(YEAR($V65),CPI_Table,4,FALSE)/index,AX65*real_i^INT(BP65))</f>
        <v/>
      </c>
      <c r="AZ65" s="590">
        <f>$AY65/12*Bonus_Post*($AW65&lt;=RetAge_Post)</f>
        <v/>
      </c>
      <c r="BA65" s="590">
        <f>IF($E65="FL",MedSub*m^INT(BP65),MedSub)*IF(Summary!$C$81="Y",1,0)*($AU65&lt;=Ret_Yr_post)*(Summary!$C$81="Y")</f>
        <v/>
      </c>
      <c r="BB65" s="590">
        <f>IF(Summary!$C$80="Y",IF($E65&lt;&gt;"PL",VLOOKUP(Current,'Housing Allowance'!$A:$B,2,),VLOOKUP(YEAR($AT65),'Housing Allowance'!$A:$B,2,)),0)*($AU65&lt;=Ret_Yr_post)</f>
        <v/>
      </c>
      <c r="BC65" s="590">
        <f>AY65*overtime_post</f>
        <v/>
      </c>
      <c r="BD65" s="590">
        <f>$AY65*allow_1_post</f>
        <v/>
      </c>
      <c r="BE65" s="590">
        <f>($AY65&lt;&gt;0)*allow_2_post*12</f>
        <v/>
      </c>
      <c r="BF65" s="590" t="n"/>
      <c r="BG65" s="581">
        <f>IF(YEAR($V65)&lt;=Ret_Yr_post,SUM(AY65:BF65),0)*IF($W65=Ret_Yr_post,AV65,1)</f>
        <v/>
      </c>
      <c r="BH65" s="581">
        <f>IF($W65&gt;=Ret_Yr_post,pens_Post*(GEPF_pre="Y"),0)*IF($W65=Ret_Yr_post,1-$AV65,1)*IF(Ret_Yr_post&lt;Current,(_xlfn.IFNA(VLOOKUP($D65,CPI!$A:$E,2,FALSE),VLOOKUP(Current,CPI!$A:$E,2,FALSE))/VLOOKUP(Ret_Yr_post,CPI!$A:$E,2,FALSE)),1)</f>
        <v/>
      </c>
      <c r="BI65" s="590">
        <f>$AY65*ee_post*IF($W65=Ret_Yr_post,$AV65,1)</f>
        <v/>
      </c>
      <c r="BJ65" s="590">
        <f>$AY65*er_post*IF($W65=Ret_Yr_post,$AV65,1)</f>
        <v/>
      </c>
      <c r="BK65" s="590">
        <f>IF('LOE Sc1'!$W65=Ret_Yr_post,Gratuity_Post*(GEPF_post="Y"),0)</f>
        <v/>
      </c>
      <c r="BL65" s="581">
        <f>BG65+BH65-BI65-BJ65*(GEPF_post="Y")</f>
        <v/>
      </c>
      <c r="BM65" s="590">
        <f>IF(DM65&lt;0,0,DM65)</f>
        <v/>
      </c>
      <c r="BN65" s="581">
        <f>(BL65-BM65+BI65*(BI$7="Y")+BJ65*(BJ$7="Y"))*IF($W65&lt;Ret_Yr_post,AV65,1)+BK65</f>
        <v/>
      </c>
      <c r="BO65" s="591" t="n"/>
      <c r="BP65" s="592">
        <f>IF($E65="FL",IF($X65&lt;=DoC,DATEDIF(DoC,$V65,"M")/12,0),0)</f>
        <v/>
      </c>
      <c r="BQ65" s="592">
        <f>IF($E65="FL",(1+CPI)^INT(BP65),0)</f>
        <v/>
      </c>
      <c r="BR65" s="592">
        <f>IF($E65="FL",IF(($BP65-0.5)&gt;=0,1/(1+d)^($BP65-0.5),1/(1+d)^($BP65)),0)</f>
        <v/>
      </c>
      <c r="BS65" s="592" t="n"/>
      <c r="BT65" s="25">
        <f>IF(gender="M",VLOOKUP($Y65+pre_mort+IF(MONTH(DoC)&lt;MONTH(DoB),IF(MONTH(DoC)&lt;3,0,-1),IF(MONTH(DoB)&lt;3,-1,0)),'SALT LIFE TABLES'!$A$7:$E$106,2),VLOOKUP($Y65+pre_mort+IF(MONTH(DoC)&lt;MONTH(DoB),IF(MONTH(DoC)&lt;3,0,-1),IF(MONTH(DoB)&lt;3,-1,0)),'SALT LIFE TABLES'!$A$7:$E$106,4))</f>
        <v/>
      </c>
      <c r="BU65" s="592">
        <f>IF($E65="PL",1,BT65/BU$7)</f>
        <v/>
      </c>
      <c r="BV65" s="593" t="n"/>
      <c r="BW65" s="25">
        <f>IF(gender="M",VLOOKUP($Y65+post_mort+IF(MONTH(DoC)&lt;MONTH(DoB),IF(MONTH(DoC)&lt;3,0,-1),IF(MONTH(DoB)&lt;3,-1,0)),'SALT LIFE TABLES'!$A$7:$E$106,2),VLOOKUP($Y65+post_mort+IF(MONTH(DoC)&lt;MONTH(DoB),IF(MONTH(DoC)&lt;3,0,-1),IF(MONTH(DoB)&lt;3,-1,0)),'SALT LIFE TABLES'!$A$7:$E$106,4))</f>
        <v/>
      </c>
      <c r="BX65" s="592">
        <f>IF($E65="PL",1,BW65/BX$7)</f>
        <v/>
      </c>
      <c r="BY65" s="594" t="n"/>
      <c r="BZ65" s="592" t="n"/>
      <c r="CA65" s="592">
        <f>IF($E65="FL",$AR65*$BQ65*$BR65*$BU65,$AR65)</f>
        <v/>
      </c>
      <c r="CB65" s="592">
        <f>IF($E65="FL",$BN65*$BQ65*$BR65*$BX65,$BN65)</f>
        <v/>
      </c>
      <c r="CC65" s="592" t="n"/>
      <c r="CD65" s="592">
        <f>IF($E65="FL",$CA65*(1-pre_FL),$CA65*(1-pre_PL))</f>
        <v/>
      </c>
      <c r="CE65" s="592">
        <f>IF($E65="FL",$CB65*(1-post_FL),$CB65*(1-post_PL))</f>
        <v/>
      </c>
      <c r="CF65" s="592" t="n"/>
      <c r="CG65" s="599">
        <f>CD65-CE65</f>
        <v/>
      </c>
      <c r="CH65" s="599">
        <f>MIN(CG65,IF(W65=Ret_Yr_pre,1,$X65)*Cap)</f>
        <v/>
      </c>
      <c r="CI65" s="128" t="n"/>
      <c r="CJ65" s="37">
        <f>IF(D65&gt;Current,Current,D65)</f>
        <v/>
      </c>
      <c r="CK65" s="37">
        <f>MATCH($CJ65,Tax_Tables[Tax Year],0)</f>
        <v/>
      </c>
      <c r="CL65" s="600" t="n">
        <v>0</v>
      </c>
      <c r="CM65" s="600">
        <f t="array" ref="CM65">INDEX(Tax_Tables[[Limits]:[Limits]],$CK65+CM$8)</f>
        <v/>
      </c>
      <c r="CN65" s="600">
        <f t="array" ref="CN65">INDEX(Tax_Tables[[Limits]:[Limits]],$CK65+CN$8)</f>
        <v/>
      </c>
      <c r="CO65" s="600">
        <f t="array" ref="CO65">INDEX(Tax_Tables[[Limits]:[Limits]],$CK65+CO$8)</f>
        <v/>
      </c>
      <c r="CP65" s="600">
        <f t="array" ref="CP65">INDEX(Tax_Tables[[Limits]:[Limits]],$CK65+CP$8)</f>
        <v/>
      </c>
      <c r="CQ65" s="600">
        <f t="array" ref="CQ65">INDEX(Tax_Tables[[Limits]:[Limits]],$CK65+CQ$8)</f>
        <v/>
      </c>
      <c r="CR65" s="600">
        <f t="array" ref="CR65">INDEX(Tax_Tables[[Limits]:[Limits]],$CK65+CR$8)</f>
        <v/>
      </c>
      <c r="CS65" s="37">
        <f>INDEX(Rebate[&lt;65],MATCH($CJ65,Rebate[[Tax Year]:[Tax Year]],0))</f>
        <v/>
      </c>
      <c r="CT65" s="37">
        <f>INDEX(Rebate[&lt;75],MATCH($CJ65,Rebate[[Tax Year]:[Tax Year]],0))</f>
        <v/>
      </c>
      <c r="CU65" s="37">
        <f>INDEX(Rebate[&gt;75],MATCH($CJ65,Rebate[[Tax Year]:[Tax Year]],0))</f>
        <v/>
      </c>
      <c r="CV65" s="37">
        <f>INDEX(Tax_Credit[Principal],MATCH($CJ65,Tax_Credit[[Tax Year]:[Tax Year]],0))</f>
        <v/>
      </c>
      <c r="CW65" s="37">
        <f>INDEX(Tax_Credit[First Dependant],MATCH($CJ65,Tax_Credit[[Tax Year]:[Tax Year]],0))</f>
        <v/>
      </c>
      <c r="CX65" s="37">
        <f>INDEX(Tax_Credit[Each Additional],MATCH($CJ65,Tax_Credit[[Tax Year]:[Tax Year]],0))</f>
        <v/>
      </c>
      <c r="CY65" s="484">
        <f>Y65</f>
        <v/>
      </c>
      <c r="CZ65" s="601">
        <f>AP65</f>
        <v/>
      </c>
      <c r="DA65" s="37">
        <f t="array" ref="DA65">INDEX($CL65:$CR65,0,MATCH($CZ65,$CL65:$CR65,1))</f>
        <v/>
      </c>
      <c r="DB65" s="37">
        <f t="array" ref="DB65">IFERROR(INDEX(Tax_Tables[Percentages],$CK65+MATCH($DA65,$CL65:$CR65,0)-1),"")</f>
        <v/>
      </c>
      <c r="DC65" s="37">
        <f t="array" ref="DC65">IFERROR(INDEX(Tax_Tables[Tax],$CK65+MATCH($DA65,$CL65:$CR65,0)-1),"")</f>
        <v/>
      </c>
      <c r="DD65" s="37">
        <f>IF(CY65&lt;65,CS65,IF(CY65&lt;75,CT65,CU65))</f>
        <v/>
      </c>
      <c r="DE65" s="37">
        <f>CV65*(Summary!$C$31="Y")+(Summary!$C$31="Y")*(CW65*(Pre_MDep&gt;=1)+CX65*MAX(Pre_MDep-1,0))</f>
        <v/>
      </c>
      <c r="DF65" s="599">
        <f>IFERROR(MAX(DB65*(CZ65-DA65)+DC65-DD65-DE65*12,0),"")</f>
        <v/>
      </c>
      <c r="DG65" s="602" t="n"/>
      <c r="DH65" s="601">
        <f>BL65</f>
        <v/>
      </c>
      <c r="DI65" s="37">
        <f t="array" ref="DI65">INDEX($CL65:$CR65,0,MATCH($DH65,$CL65:$CR65,1))</f>
        <v/>
      </c>
      <c r="DJ65" s="37">
        <f t="array" ref="DJ65">IFERROR(INDEX(Tax_Tables[Percentages],$CK65+MATCH($DI65,$CL65:$CR65,0)-1),"")</f>
        <v/>
      </c>
      <c r="DK65" s="37">
        <f t="array" ref="DK65">IFERROR(INDEX(Tax_Tables[Tax],$CK65+MATCH($DI65,$CL65:$CR65,0)-1),"")</f>
        <v/>
      </c>
      <c r="DL65" s="37">
        <f>CV65*(Summary!$C$81="Y")+(Summary!$C$81="Y")*(CW65*(Post_MDep&gt;=1)+CX65*MAX(Post_MDep-1,0))</f>
        <v/>
      </c>
      <c r="DM65" s="599">
        <f>IFERROR(MAX(DJ65*(DH65-DI65)+DK65-DD65-DL65*12,0),"")</f>
        <v/>
      </c>
      <c r="DN65" s="601" t="n"/>
      <c r="DO65" s="37" t="n"/>
      <c r="DP65" s="37" t="n"/>
      <c r="DQ65" s="37" t="n"/>
      <c r="DR65" s="37" t="n"/>
      <c r="DS65" s="37" t="n"/>
      <c r="DT65" s="37" t="n"/>
      <c r="DU65" s="37" t="n"/>
      <c r="DV65" s="37" t="n"/>
      <c r="DW65" s="37" t="n"/>
      <c r="DX65" s="599" t="n"/>
      <c r="DY65" s="131" t="n"/>
      <c r="DZ65" s="601" t="n"/>
      <c r="EA65" s="37" t="n"/>
      <c r="EB65" s="37" t="n"/>
      <c r="EC65" s="37" t="n"/>
      <c r="ED65" s="599" t="n"/>
      <c r="EE65" s="595" t="n"/>
      <c r="EF65" s="25" t="n"/>
    </row>
    <row r="66">
      <c r="C66" s="596">
        <f>C65+D66-D65</f>
        <v/>
      </c>
      <c r="D66" s="160">
        <f>AU66</f>
        <v/>
      </c>
      <c r="E66" s="87">
        <f>IF(DoC=V66,"Calc Date",IF(V66&lt;DoC,"PL","FL"))</f>
        <v/>
      </c>
      <c r="F66" s="310">
        <f>F65+1</f>
        <v/>
      </c>
      <c r="G66" s="31">
        <f>VLOOKUP(F66,C$10:D$148,2)</f>
        <v/>
      </c>
      <c r="H66" s="313">
        <f>H65</f>
        <v/>
      </c>
      <c r="I66" s="281">
        <f>I65</f>
        <v/>
      </c>
      <c r="J66" s="589">
        <f>I66*index/VLOOKUP($H66,CPI!A:E,4,FALSE)</f>
        <v/>
      </c>
      <c r="K66" s="589">
        <f>IF(L66="Linear",(J66-J65)/(G66-G65),0)</f>
        <v/>
      </c>
      <c r="L66" s="311" t="inlineStr">
        <is>
          <t>Flat</t>
        </is>
      </c>
      <c r="M66" s="137" t="n"/>
      <c r="N66" s="310">
        <f>N65+1</f>
        <v/>
      </c>
      <c r="O66" s="31">
        <f>O65+N66-N65</f>
        <v/>
      </c>
      <c r="P66" s="313">
        <f>P65</f>
        <v/>
      </c>
      <c r="Q66" s="281">
        <f>Q65</f>
        <v/>
      </c>
      <c r="R66" s="589">
        <f>Q66*index/VLOOKUP($P66,CPI!A:E,4,FALSE)</f>
        <v/>
      </c>
      <c r="S66" s="589">
        <f>IF(T66="Linear",(R66-R65)/(O66-O65),0)</f>
        <v/>
      </c>
      <c r="T66" s="311" t="inlineStr">
        <is>
          <t>Flat</t>
        </is>
      </c>
      <c r="U66" s="144" t="n"/>
      <c r="V66" s="6">
        <f>IF(AND($V65=DoA,MONTH(V65)&lt;3),DATE(YEAR(DoA),3,1),IF(AND(IFERROR(DATEDIF(V65,DoC,"M"),12)&lt;12,IFERROR(DATEDIF(V65,DoC,"M"),12)&gt;0),DoC,DATE(YEAR(V65)+(1-AND(YEAR(DoC)=Current,V65=DoC)-AND(V65=DoA,MONTH(V65)&lt;3)),3,1)))</f>
        <v/>
      </c>
      <c r="W66" s="31">
        <f>IF(V66=DoR_Pre,IF(MONTH(DoR_Pre)&gt;3,YEAR(DoR_Pre)+1,YEAR(DoR_Pre)),IF(MONTH(V66)&gt;3,Current,YEAR(V66)))</f>
        <v/>
      </c>
      <c r="X66" s="597">
        <f>IF(W66=Current,ROUND((V66-V65)/365.25,5),_xlfn.IFNA(INDEX(Summary!$A$5:$A$22,MATCH('LOE Sc1'!W66,Summary!$C$5:$C$22,0)),IF(W66=Ret_Yr_pre,ROUND((DoR_Pre-V65)/365.25,5),ROUND((V66-V65)/365.25,2))))</f>
        <v/>
      </c>
      <c r="Y66" s="55">
        <f>IF(AND(V66=DoC,MONTH(DoC)&lt;&gt;3),ROUNDDOWN(DATEDIF(DoB,V67,"M")/12,),ROUNDDOWN(DATEDIF(DoB,V66,"M")/12,))</f>
        <v/>
      </c>
      <c r="Z66" s="590" t="n"/>
      <c r="AA66" s="25">
        <f>MAX(RetAge_Pre-Y66,0)</f>
        <v/>
      </c>
      <c r="AB66" s="26">
        <f t="array" ref="AB66">IF(W66&gt;Ret_Yr_pre,0,_xlfn.IFNA(VLOOKUP(Y66,F$11:J$1000,5,),IF(AND(W66=Current,V66&gt;DoC,MONTH(DoC)&lt;&gt;3),AB65,AB65+INDEX(K$11:K$1000,MATCH(Y66,F$11:F$1000,1)+1))))</f>
        <v/>
      </c>
      <c r="AC66" s="590">
        <f>IF(V66&lt;DoC,AB66*VLOOKUP(YEAR(V66),CPI!A:E,4,FALSE)/index,AB66*real_i^INT(BP66))</f>
        <v/>
      </c>
      <c r="AD66" s="590">
        <f>$AC66/12*Bonus</f>
        <v/>
      </c>
      <c r="AE66" s="590">
        <f>IF($E66="FL",MedSub*m^INT(BP66),MedSub)*IF(Summary!$C$31="Y",1,0)*(W66&lt;=Ret_Yr_pre)*(Summary!C$31="Y")</f>
        <v/>
      </c>
      <c r="AF66" s="590">
        <f>IF(Summary!$C$30="Y",IF(E66&lt;&gt;"PL",VLOOKUP(Current,'Housing Allowance'!$A:$B,2,),VLOOKUP(YEAR($V66),'Housing Allowance'!$A:$B,2,)),0)*(W66&lt;=Ret_Yr_pre)</f>
        <v/>
      </c>
      <c r="AG66" s="590">
        <f>AC66*overtime</f>
        <v/>
      </c>
      <c r="AH66" s="590">
        <f>AC66*allow_1</f>
        <v/>
      </c>
      <c r="AI66" s="590">
        <f>(AB66&lt;&gt;0)*12*allow_2</f>
        <v/>
      </c>
      <c r="AJ66" s="590" t="n"/>
      <c r="AK66" s="581">
        <f>IF(YEAR(W66)&lt;=Ret_Yr_pre,SUM(AC66:AJ66),0)*IF($W66=Ret_Yr_pre,X66,1)</f>
        <v/>
      </c>
      <c r="AL66" s="581">
        <f>IF($W66&gt;=Ret_Yr_pre,pens_Pre*(GEPF_pre="Y"),0)*IF($W66=Ret_Yr_pre,1-$X66,1)*IF(Ret_Yr_pre&lt;Current,(_xlfn.IFNA(VLOOKUP($D66,CPI!$A:$E,2,FALSE),VLOOKUP(Current,CPI!$A:$E,2,FALSE))/VLOOKUP(Ret_Yr_pre,CPI!$A:$E,2,FALSE)),1)</f>
        <v/>
      </c>
      <c r="AM66" s="590">
        <f>$AC66*ee*IF($W66=Ret_Yr_pre,$X66,1)</f>
        <v/>
      </c>
      <c r="AN66" s="590">
        <f>$AC66*er*IF($W66=Ret_Yr_pre,$X66,1)</f>
        <v/>
      </c>
      <c r="AO66" s="590">
        <f>IF('LOE Sc1'!$W66=Ret_Yr_pre,Gratuity_Pre*(GEPF_pre="Y"),0)</f>
        <v/>
      </c>
      <c r="AP66" s="581">
        <f>AK66+AL66-$AM66-AN66*(GEPF_pre="Y")</f>
        <v/>
      </c>
      <c r="AQ66" s="590">
        <f>IF(DF66&lt;0,0,DF66)</f>
        <v/>
      </c>
      <c r="AR66" s="581">
        <f>(AP66-AQ66+AM66*(AM$7="Y")+AN66*(AN$7="Y"))*IF(W66&lt;Ret_Yr_pre,X66,1)+AO66</f>
        <v/>
      </c>
      <c r="AS66" s="595" t="n"/>
      <c r="AT66" s="6">
        <f>V66</f>
        <v/>
      </c>
      <c r="AU66" s="31">
        <f>W66</f>
        <v/>
      </c>
      <c r="AV66" s="598">
        <f>IF(AU66=Current,ROUND((AT66-AT65)/365.25,5),_xlfn.IFNA(INDEX(Summary!$A$55:$A$72,MATCH('LOE Sc1'!AU66,Summary!$C$55:$C$72,0)),IF(AU66=Ret_Yr_post,ROUND((DoR_Post-AT65)/365.25,5),ROUND((AT66-AT65)/365.25,2))))</f>
        <v/>
      </c>
      <c r="AW66" s="55">
        <f>Y66</f>
        <v/>
      </c>
      <c r="AX66" s="26">
        <f t="array" ref="AX66">IF(AU66&gt;Ret_Yr_post,0,_xlfn.IFNA(VLOOKUP(AW66,N$11:S$1000,5,),IF(AND(AU66=Current,AT66&gt;DoC,MONTH(DoC)&lt;&gt;3),AX65,AX65+INDEX(S$11:S$1000,MATCH(AW66,N$11:N$1000,1)+1))))</f>
        <v/>
      </c>
      <c r="AY66" s="590">
        <f>IF($V66&lt;DoC,AX66*VLOOKUP(YEAR($V66),CPI_Table,4,FALSE)/index,AX66*real_i^INT(BP66))</f>
        <v/>
      </c>
      <c r="AZ66" s="590">
        <f>$AY66/12*Bonus_Post*($AW66&lt;=RetAge_Post)</f>
        <v/>
      </c>
      <c r="BA66" s="590">
        <f>IF($E66="FL",MedSub*m^INT(BP66),MedSub)*IF(Summary!$C$81="Y",1,0)*($AU66&lt;=Ret_Yr_post)*(Summary!$C$81="Y")</f>
        <v/>
      </c>
      <c r="BB66" s="590">
        <f>IF(Summary!$C$80="Y",IF($E66&lt;&gt;"PL",VLOOKUP(Current,'Housing Allowance'!$A:$B,2,),VLOOKUP(YEAR($AT66),'Housing Allowance'!$A:$B,2,)),0)*($AU66&lt;=Ret_Yr_post)</f>
        <v/>
      </c>
      <c r="BC66" s="590">
        <f>AY66*overtime_post</f>
        <v/>
      </c>
      <c r="BD66" s="590">
        <f>$AY66*allow_1_post</f>
        <v/>
      </c>
      <c r="BE66" s="590">
        <f>($AY66&lt;&gt;0)*allow_2_post*12</f>
        <v/>
      </c>
      <c r="BF66" s="590" t="n"/>
      <c r="BG66" s="581">
        <f>IF(YEAR($V66)&lt;=Ret_Yr_post,SUM(AY66:BF66),0)*IF($W66=Ret_Yr_post,AV66,1)</f>
        <v/>
      </c>
      <c r="BH66" s="581">
        <f>IF($W66&gt;=Ret_Yr_post,pens_Post*(GEPF_pre="Y"),0)*IF($W66=Ret_Yr_post,1-$AV66,1)*IF(Ret_Yr_post&lt;Current,(_xlfn.IFNA(VLOOKUP($D66,CPI!$A:$E,2,FALSE),VLOOKUP(Current,CPI!$A:$E,2,FALSE))/VLOOKUP(Ret_Yr_post,CPI!$A:$E,2,FALSE)),1)</f>
        <v/>
      </c>
      <c r="BI66" s="590">
        <f>$AY66*ee_post*IF($W66=Ret_Yr_post,$AV66,1)</f>
        <v/>
      </c>
      <c r="BJ66" s="590">
        <f>$AY66*er_post*IF($W66=Ret_Yr_post,$AV66,1)</f>
        <v/>
      </c>
      <c r="BK66" s="590">
        <f>IF('LOE Sc1'!$W66=Ret_Yr_post,Gratuity_Post*(GEPF_post="Y"),0)</f>
        <v/>
      </c>
      <c r="BL66" s="581">
        <f>BG66+BH66-BI66-BJ66*(GEPF_post="Y")</f>
        <v/>
      </c>
      <c r="BM66" s="590">
        <f>IF(DM66&lt;0,0,DM66)</f>
        <v/>
      </c>
      <c r="BN66" s="581">
        <f>(BL66-BM66+BI66*(BI$7="Y")+BJ66*(BJ$7="Y"))*IF($W66&lt;Ret_Yr_post,AV66,1)+BK66</f>
        <v/>
      </c>
      <c r="BO66" s="591" t="n"/>
      <c r="BP66" s="592">
        <f>IF($E66="FL",IF($X66&lt;=DoC,DATEDIF(DoC,$V66,"M")/12,0),0)</f>
        <v/>
      </c>
      <c r="BQ66" s="592">
        <f>IF($E66="FL",(1+CPI)^INT(BP66),0)</f>
        <v/>
      </c>
      <c r="BR66" s="592">
        <f>IF($E66="FL",IF(($BP66-0.5)&gt;=0,1/(1+d)^($BP66-0.5),1/(1+d)^($BP66)),0)</f>
        <v/>
      </c>
      <c r="BS66" s="592" t="n"/>
      <c r="BT66" s="25">
        <f>IF(gender="M",VLOOKUP($Y66+pre_mort+IF(MONTH(DoC)&lt;MONTH(DoB),IF(MONTH(DoC)&lt;3,0,-1),IF(MONTH(DoB)&lt;3,-1,0)),'SALT LIFE TABLES'!$A$7:$E$106,2),VLOOKUP($Y66+pre_mort+IF(MONTH(DoC)&lt;MONTH(DoB),IF(MONTH(DoC)&lt;3,0,-1),IF(MONTH(DoB)&lt;3,-1,0)),'SALT LIFE TABLES'!$A$7:$E$106,4))</f>
        <v/>
      </c>
      <c r="BU66" s="592">
        <f>IF($E66="PL",1,BT66/BU$7)</f>
        <v/>
      </c>
      <c r="BV66" s="593" t="n"/>
      <c r="BW66" s="25">
        <f>IF(gender="M",VLOOKUP($Y66+post_mort+IF(MONTH(DoC)&lt;MONTH(DoB),IF(MONTH(DoC)&lt;3,0,-1),IF(MONTH(DoB)&lt;3,-1,0)),'SALT LIFE TABLES'!$A$7:$E$106,2),VLOOKUP($Y66+post_mort+IF(MONTH(DoC)&lt;MONTH(DoB),IF(MONTH(DoC)&lt;3,0,-1),IF(MONTH(DoB)&lt;3,-1,0)),'SALT LIFE TABLES'!$A$7:$E$106,4))</f>
        <v/>
      </c>
      <c r="BX66" s="592">
        <f>IF($E66="PL",1,BW66/BX$7)</f>
        <v/>
      </c>
      <c r="BY66" s="594" t="n"/>
      <c r="BZ66" s="592" t="n"/>
      <c r="CA66" s="592">
        <f>IF($E66="FL",$AR66*$BQ66*$BR66*$BU66,$AR66)</f>
        <v/>
      </c>
      <c r="CB66" s="592">
        <f>IF($E66="FL",$BN66*$BQ66*$BR66*$BX66,$BN66)</f>
        <v/>
      </c>
      <c r="CC66" s="592" t="n"/>
      <c r="CD66" s="592">
        <f>IF($E66="FL",$CA66*(1-pre_FL),$CA66*(1-pre_PL))</f>
        <v/>
      </c>
      <c r="CE66" s="592">
        <f>IF($E66="FL",$CB66*(1-post_FL),$CB66*(1-post_PL))</f>
        <v/>
      </c>
      <c r="CF66" s="592" t="n"/>
      <c r="CG66" s="599">
        <f>CD66-CE66</f>
        <v/>
      </c>
      <c r="CH66" s="599">
        <f>MIN(CG66,IF(W66=Ret_Yr_pre,1,$X66)*Cap)</f>
        <v/>
      </c>
      <c r="CI66" s="128" t="n"/>
      <c r="CJ66" s="37">
        <f>IF(D66&gt;Current,Current,D66)</f>
        <v/>
      </c>
      <c r="CK66" s="37">
        <f>MATCH($CJ66,Tax_Tables[Tax Year],0)</f>
        <v/>
      </c>
      <c r="CL66" s="600" t="n">
        <v>0</v>
      </c>
      <c r="CM66" s="600">
        <f t="array" ref="CM66">INDEX(Tax_Tables[[Limits]:[Limits]],$CK66+CM$8)</f>
        <v/>
      </c>
      <c r="CN66" s="600">
        <f t="array" ref="CN66">INDEX(Tax_Tables[[Limits]:[Limits]],$CK66+CN$8)</f>
        <v/>
      </c>
      <c r="CO66" s="600">
        <f t="array" ref="CO66">INDEX(Tax_Tables[[Limits]:[Limits]],$CK66+CO$8)</f>
        <v/>
      </c>
      <c r="CP66" s="600">
        <f t="array" ref="CP66">INDEX(Tax_Tables[[Limits]:[Limits]],$CK66+CP$8)</f>
        <v/>
      </c>
      <c r="CQ66" s="600">
        <f t="array" ref="CQ66">INDEX(Tax_Tables[[Limits]:[Limits]],$CK66+CQ$8)</f>
        <v/>
      </c>
      <c r="CR66" s="600">
        <f t="array" ref="CR66">INDEX(Tax_Tables[[Limits]:[Limits]],$CK66+CR$8)</f>
        <v/>
      </c>
      <c r="CS66" s="37">
        <f>INDEX(Rebate[&lt;65],MATCH($CJ66,Rebate[[Tax Year]:[Tax Year]],0))</f>
        <v/>
      </c>
      <c r="CT66" s="37">
        <f>INDEX(Rebate[&lt;75],MATCH($CJ66,Rebate[[Tax Year]:[Tax Year]],0))</f>
        <v/>
      </c>
      <c r="CU66" s="37">
        <f>INDEX(Rebate[&gt;75],MATCH($CJ66,Rebate[[Tax Year]:[Tax Year]],0))</f>
        <v/>
      </c>
      <c r="CV66" s="37">
        <f>INDEX(Tax_Credit[Principal],MATCH($CJ66,Tax_Credit[[Tax Year]:[Tax Year]],0))</f>
        <v/>
      </c>
      <c r="CW66" s="37">
        <f>INDEX(Tax_Credit[First Dependant],MATCH($CJ66,Tax_Credit[[Tax Year]:[Tax Year]],0))</f>
        <v/>
      </c>
      <c r="CX66" s="37">
        <f>INDEX(Tax_Credit[Each Additional],MATCH($CJ66,Tax_Credit[[Tax Year]:[Tax Year]],0))</f>
        <v/>
      </c>
      <c r="CY66" s="484">
        <f>Y66</f>
        <v/>
      </c>
      <c r="CZ66" s="601">
        <f>AP66</f>
        <v/>
      </c>
      <c r="DA66" s="37">
        <f t="array" ref="DA66">INDEX($CL66:$CR66,0,MATCH($CZ66,$CL66:$CR66,1))</f>
        <v/>
      </c>
      <c r="DB66" s="37">
        <f t="array" ref="DB66">IFERROR(INDEX(Tax_Tables[Percentages],$CK66+MATCH($DA66,$CL66:$CR66,0)-1),"")</f>
        <v/>
      </c>
      <c r="DC66" s="37">
        <f t="array" ref="DC66">IFERROR(INDEX(Tax_Tables[Tax],$CK66+MATCH($DA66,$CL66:$CR66,0)-1),"")</f>
        <v/>
      </c>
      <c r="DD66" s="37">
        <f>IF(CY66&lt;65,CS66,IF(CY66&lt;75,CT66,CU66))</f>
        <v/>
      </c>
      <c r="DE66" s="37">
        <f>CV66*(Summary!$C$31="Y")+(Summary!$C$31="Y")*(CW66*(Pre_MDep&gt;=1)+CX66*MAX(Pre_MDep-1,0))</f>
        <v/>
      </c>
      <c r="DF66" s="599">
        <f>IFERROR(MAX(DB66*(CZ66-DA66)+DC66-DD66-DE66*12,0),"")</f>
        <v/>
      </c>
      <c r="DG66" s="602" t="n"/>
      <c r="DH66" s="601">
        <f>BL66</f>
        <v/>
      </c>
      <c r="DI66" s="37">
        <f t="array" ref="DI66">INDEX($CL66:$CR66,0,MATCH($DH66,$CL66:$CR66,1))</f>
        <v/>
      </c>
      <c r="DJ66" s="37">
        <f t="array" ref="DJ66">IFERROR(INDEX(Tax_Tables[Percentages],$CK66+MATCH($DI66,$CL66:$CR66,0)-1),"")</f>
        <v/>
      </c>
      <c r="DK66" s="37">
        <f t="array" ref="DK66">IFERROR(INDEX(Tax_Tables[Tax],$CK66+MATCH($DI66,$CL66:$CR66,0)-1),"")</f>
        <v/>
      </c>
      <c r="DL66" s="37">
        <f>CV66*(Summary!$C$81="Y")+(Summary!$C$81="Y")*(CW66*(Post_MDep&gt;=1)+CX66*MAX(Post_MDep-1,0))</f>
        <v/>
      </c>
      <c r="DM66" s="599">
        <f>IFERROR(MAX(DJ66*(DH66-DI66)+DK66-DD66-DL66*12,0),"")</f>
        <v/>
      </c>
      <c r="DN66" s="601" t="n"/>
      <c r="DO66" s="37" t="n"/>
      <c r="DP66" s="37" t="n"/>
      <c r="DQ66" s="37" t="n"/>
      <c r="DR66" s="37" t="n"/>
      <c r="DS66" s="37" t="n"/>
      <c r="DT66" s="37" t="n"/>
      <c r="DU66" s="37" t="n"/>
      <c r="DV66" s="37" t="n"/>
      <c r="DW66" s="37" t="n"/>
      <c r="DX66" s="599" t="n"/>
      <c r="DY66" s="131" t="n"/>
      <c r="DZ66" s="601" t="n"/>
      <c r="EA66" s="37" t="n"/>
      <c r="EB66" s="37" t="n"/>
      <c r="EC66" s="37" t="n"/>
      <c r="ED66" s="599" t="n"/>
      <c r="EE66" s="595" t="n"/>
      <c r="EF66" s="25" t="n"/>
    </row>
    <row r="67">
      <c r="C67" s="596">
        <f>C66+D67-D66</f>
        <v/>
      </c>
      <c r="D67" s="160">
        <f>AU67</f>
        <v/>
      </c>
      <c r="E67" s="87">
        <f>IF(DoC=V67,"Calc Date",IF(V67&lt;DoC,"PL","FL"))</f>
        <v/>
      </c>
      <c r="F67" s="310">
        <f>F66+1</f>
        <v/>
      </c>
      <c r="G67" s="31">
        <f>VLOOKUP(F67,C$10:D$148,2)</f>
        <v/>
      </c>
      <c r="H67" s="313">
        <f>H66</f>
        <v/>
      </c>
      <c r="I67" s="281">
        <f>I66</f>
        <v/>
      </c>
      <c r="J67" s="589">
        <f>I67*index/VLOOKUP($H67,CPI!A:E,4,FALSE)</f>
        <v/>
      </c>
      <c r="K67" s="589">
        <f>IF(L67="Linear",(J67-J66)/(G67-G66),0)</f>
        <v/>
      </c>
      <c r="L67" s="311" t="inlineStr">
        <is>
          <t>Flat</t>
        </is>
      </c>
      <c r="M67" s="137" t="n"/>
      <c r="N67" s="310">
        <f>N66+1</f>
        <v/>
      </c>
      <c r="O67" s="31">
        <f>O66+N67-N66</f>
        <v/>
      </c>
      <c r="P67" s="313">
        <f>P66</f>
        <v/>
      </c>
      <c r="Q67" s="281">
        <f>Q66</f>
        <v/>
      </c>
      <c r="R67" s="589">
        <f>Q67*index/VLOOKUP($P67,CPI!A:E,4,FALSE)</f>
        <v/>
      </c>
      <c r="S67" s="589">
        <f>IF(T67="Linear",(R67-R66)/(O67-O66),0)</f>
        <v/>
      </c>
      <c r="T67" s="311" t="inlineStr">
        <is>
          <t>Flat</t>
        </is>
      </c>
      <c r="U67" s="144" t="n"/>
      <c r="V67" s="6">
        <f>IF(AND($V66=DoA,MONTH(V66)&lt;3),DATE(YEAR(DoA),3,1),IF(AND(IFERROR(DATEDIF(V66,DoC,"M"),12)&lt;12,IFERROR(DATEDIF(V66,DoC,"M"),12)&gt;0),DoC,DATE(YEAR(V66)+(1-AND(YEAR(DoC)=Current,V66=DoC)-AND(V66=DoA,MONTH(V66)&lt;3)),3,1)))</f>
        <v/>
      </c>
      <c r="W67" s="31">
        <f>IF(V67=DoR_Pre,IF(MONTH(DoR_Pre)&gt;3,YEAR(DoR_Pre)+1,YEAR(DoR_Pre)),IF(MONTH(V67)&gt;3,Current,YEAR(V67)))</f>
        <v/>
      </c>
      <c r="X67" s="597">
        <f>IF(W67=Current,ROUND((V67-V66)/365.25,5),_xlfn.IFNA(INDEX(Summary!$A$5:$A$22,MATCH('LOE Sc1'!W67,Summary!$C$5:$C$22,0)),IF(W67=Ret_Yr_pre,ROUND((DoR_Pre-V66)/365.25,5),ROUND((V67-V66)/365.25,2))))</f>
        <v/>
      </c>
      <c r="Y67" s="55">
        <f>IF(AND(V67=DoC,MONTH(DoC)&lt;&gt;3),ROUNDDOWN(DATEDIF(DoB,V68,"M")/12,),ROUNDDOWN(DATEDIF(DoB,V67,"M")/12,))</f>
        <v/>
      </c>
      <c r="Z67" s="590" t="n"/>
      <c r="AA67" s="25">
        <f>MAX(RetAge_Pre-Y67,0)</f>
        <v/>
      </c>
      <c r="AB67" s="26">
        <f t="array" ref="AB67">IF(W67&gt;Ret_Yr_pre,0,_xlfn.IFNA(VLOOKUP(Y67,F$11:J$1000,5,),IF(AND(W67=Current,V67&gt;DoC,MONTH(DoC)&lt;&gt;3),AB66,AB66+INDEX(K$11:K$1000,MATCH(Y67,F$11:F$1000,1)+1))))</f>
        <v/>
      </c>
      <c r="AC67" s="590">
        <f>IF(V67&lt;DoC,AB67*VLOOKUP(YEAR(V67),CPI!A:E,4,FALSE)/index,AB67*real_i^INT(BP67))</f>
        <v/>
      </c>
      <c r="AD67" s="590">
        <f>$AC67/12*Bonus</f>
        <v/>
      </c>
      <c r="AE67" s="590">
        <f>IF($E67="FL",MedSub*m^INT(BP67),MedSub)*IF(Summary!$C$31="Y",1,0)*(W67&lt;=Ret_Yr_pre)*(Summary!C$31="Y")</f>
        <v/>
      </c>
      <c r="AF67" s="590">
        <f>IF(Summary!$C$30="Y",IF(E67&lt;&gt;"PL",VLOOKUP(Current,'Housing Allowance'!$A:$B,2,),VLOOKUP(YEAR($V67),'Housing Allowance'!$A:$B,2,)),0)*(W67&lt;=Ret_Yr_pre)</f>
        <v/>
      </c>
      <c r="AG67" s="590">
        <f>AC67*overtime</f>
        <v/>
      </c>
      <c r="AH67" s="590">
        <f>AC67*allow_1</f>
        <v/>
      </c>
      <c r="AI67" s="590">
        <f>(AB67&lt;&gt;0)*12*allow_2</f>
        <v/>
      </c>
      <c r="AJ67" s="590" t="n"/>
      <c r="AK67" s="581">
        <f>IF(YEAR(W67)&lt;=Ret_Yr_pre,SUM(AC67:AJ67),0)*IF($W67=Ret_Yr_pre,X67,1)</f>
        <v/>
      </c>
      <c r="AL67" s="581">
        <f>IF($W67&gt;=Ret_Yr_pre,pens_Pre*(GEPF_pre="Y"),0)*IF($W67=Ret_Yr_pre,1-$X67,1)*IF(Ret_Yr_pre&lt;Current,(_xlfn.IFNA(VLOOKUP($D67,CPI!$A:$E,2,FALSE),VLOOKUP(Current,CPI!$A:$E,2,FALSE))/VLOOKUP(Ret_Yr_pre,CPI!$A:$E,2,FALSE)),1)</f>
        <v/>
      </c>
      <c r="AM67" s="590">
        <f>$AC67*ee*IF($W67=Ret_Yr_pre,$X67,1)</f>
        <v/>
      </c>
      <c r="AN67" s="590">
        <f>$AC67*er*IF($W67=Ret_Yr_pre,$X67,1)</f>
        <v/>
      </c>
      <c r="AO67" s="590">
        <f>IF('LOE Sc1'!$W67=Ret_Yr_pre,Gratuity_Pre*(GEPF_pre="Y"),0)</f>
        <v/>
      </c>
      <c r="AP67" s="581">
        <f>AK67+AL67-$AM67-AN67*(GEPF_pre="Y")</f>
        <v/>
      </c>
      <c r="AQ67" s="590">
        <f>IF(DF67&lt;0,0,DF67)</f>
        <v/>
      </c>
      <c r="AR67" s="581">
        <f>(AP67-AQ67+AM67*(AM$7="Y")+AN67*(AN$7="Y"))*IF(W67&lt;Ret_Yr_pre,X67,1)+AO67</f>
        <v/>
      </c>
      <c r="AS67" s="595" t="n"/>
      <c r="AT67" s="6">
        <f>V67</f>
        <v/>
      </c>
      <c r="AU67" s="31">
        <f>W67</f>
        <v/>
      </c>
      <c r="AV67" s="598">
        <f>IF(AU67=Current,ROUND((AT67-AT66)/365.25,5),_xlfn.IFNA(INDEX(Summary!$A$55:$A$72,MATCH('LOE Sc1'!AU67,Summary!$C$55:$C$72,0)),IF(AU67=Ret_Yr_post,ROUND((DoR_Post-AT66)/365.25,5),ROUND((AT67-AT66)/365.25,2))))</f>
        <v/>
      </c>
      <c r="AW67" s="55">
        <f>Y67</f>
        <v/>
      </c>
      <c r="AX67" s="26">
        <f t="array" ref="AX67">IF(AU67&gt;Ret_Yr_post,0,_xlfn.IFNA(VLOOKUP(AW67,N$11:S$1000,5,),IF(AND(AU67=Current,AT67&gt;DoC,MONTH(DoC)&lt;&gt;3),AX66,AX66+INDEX(S$11:S$1000,MATCH(AW67,N$11:N$1000,1)+1))))</f>
        <v/>
      </c>
      <c r="AY67" s="590">
        <f>IF($V67&lt;DoC,AX67*VLOOKUP(YEAR($V67),CPI_Table,4,FALSE)/index,AX67*real_i^INT(BP67))</f>
        <v/>
      </c>
      <c r="AZ67" s="590">
        <f>$AY67/12*Bonus_Post*($AW67&lt;=RetAge_Post)</f>
        <v/>
      </c>
      <c r="BA67" s="590">
        <f>IF($E67="FL",MedSub*m^INT(BP67),MedSub)*IF(Summary!$C$81="Y",1,0)*($AU67&lt;=Ret_Yr_post)*(Summary!$C$81="Y")</f>
        <v/>
      </c>
      <c r="BB67" s="590">
        <f>IF(Summary!$C$80="Y",IF($E67&lt;&gt;"PL",VLOOKUP(Current,'Housing Allowance'!$A:$B,2,),VLOOKUP(YEAR($AT67),'Housing Allowance'!$A:$B,2,)),0)*($AU67&lt;=Ret_Yr_post)</f>
        <v/>
      </c>
      <c r="BC67" s="590">
        <f>AY67*overtime_post</f>
        <v/>
      </c>
      <c r="BD67" s="590">
        <f>$AY67*allow_1_post</f>
        <v/>
      </c>
      <c r="BE67" s="590">
        <f>($AY67&lt;&gt;0)*allow_2_post*12</f>
        <v/>
      </c>
      <c r="BF67" s="590" t="n"/>
      <c r="BG67" s="581">
        <f>IF(YEAR($V67)&lt;=Ret_Yr_post,SUM(AY67:BF67),0)*IF($W67=Ret_Yr_post,AV67,1)</f>
        <v/>
      </c>
      <c r="BH67" s="581">
        <f>IF($W67&gt;=Ret_Yr_post,pens_Post*(GEPF_pre="Y"),0)*IF($W67=Ret_Yr_post,1-$AV67,1)*IF(Ret_Yr_post&lt;Current,(_xlfn.IFNA(VLOOKUP($D67,CPI!$A:$E,2,FALSE),VLOOKUP(Current,CPI!$A:$E,2,FALSE))/VLOOKUP(Ret_Yr_post,CPI!$A:$E,2,FALSE)),1)</f>
        <v/>
      </c>
      <c r="BI67" s="590">
        <f>$AY67*ee_post*IF($W67=Ret_Yr_post,$AV67,1)</f>
        <v/>
      </c>
      <c r="BJ67" s="590">
        <f>$AY67*er_post*IF($W67=Ret_Yr_post,$AV67,1)</f>
        <v/>
      </c>
      <c r="BK67" s="590">
        <f>IF('LOE Sc1'!$W67=Ret_Yr_post,Gratuity_Post*(GEPF_post="Y"),0)</f>
        <v/>
      </c>
      <c r="BL67" s="581">
        <f>BG67+BH67-BI67-BJ67*(GEPF_post="Y")</f>
        <v/>
      </c>
      <c r="BM67" s="590">
        <f>IF(DM67&lt;0,0,DM67)</f>
        <v/>
      </c>
      <c r="BN67" s="581">
        <f>(BL67-BM67+BI67*(BI$7="Y")+BJ67*(BJ$7="Y"))*IF($W67&lt;Ret_Yr_post,AV67,1)+BK67</f>
        <v/>
      </c>
      <c r="BO67" s="591" t="n"/>
      <c r="BP67" s="592">
        <f>IF($E67="FL",IF($X67&lt;=DoC,DATEDIF(DoC,$V67,"M")/12,0),0)</f>
        <v/>
      </c>
      <c r="BQ67" s="592">
        <f>IF($E67="FL",(1+CPI)^INT(BP67),0)</f>
        <v/>
      </c>
      <c r="BR67" s="592">
        <f>IF($E67="FL",IF(($BP67-0.5)&gt;=0,1/(1+d)^($BP67-0.5),1/(1+d)^($BP67)),0)</f>
        <v/>
      </c>
      <c r="BS67" s="592" t="n"/>
      <c r="BT67" s="25">
        <f>IF(gender="M",VLOOKUP($Y67+pre_mort+IF(MONTH(DoC)&lt;MONTH(DoB),IF(MONTH(DoC)&lt;3,0,-1),IF(MONTH(DoB)&lt;3,-1,0)),'SALT LIFE TABLES'!$A$7:$E$106,2),VLOOKUP($Y67+pre_mort+IF(MONTH(DoC)&lt;MONTH(DoB),IF(MONTH(DoC)&lt;3,0,-1),IF(MONTH(DoB)&lt;3,-1,0)),'SALT LIFE TABLES'!$A$7:$E$106,4))</f>
        <v/>
      </c>
      <c r="BU67" s="592">
        <f>IF($E67="PL",1,BT67/BU$7)</f>
        <v/>
      </c>
      <c r="BV67" s="593" t="n"/>
      <c r="BW67" s="25">
        <f>IF(gender="M",VLOOKUP($Y67+post_mort+IF(MONTH(DoC)&lt;MONTH(DoB),IF(MONTH(DoC)&lt;3,0,-1),IF(MONTH(DoB)&lt;3,-1,0)),'SALT LIFE TABLES'!$A$7:$E$106,2),VLOOKUP($Y67+post_mort+IF(MONTH(DoC)&lt;MONTH(DoB),IF(MONTH(DoC)&lt;3,0,-1),IF(MONTH(DoB)&lt;3,-1,0)),'SALT LIFE TABLES'!$A$7:$E$106,4))</f>
        <v/>
      </c>
      <c r="BX67" s="592">
        <f>IF($E67="PL",1,BW67/BX$7)</f>
        <v/>
      </c>
      <c r="BY67" s="594" t="n"/>
      <c r="BZ67" s="592" t="n"/>
      <c r="CA67" s="592">
        <f>IF($E67="FL",$AR67*$BQ67*$BR67*$BU67,$AR67)</f>
        <v/>
      </c>
      <c r="CB67" s="592">
        <f>IF($E67="FL",$BN67*$BQ67*$BR67*$BX67,$BN67)</f>
        <v/>
      </c>
      <c r="CC67" s="592" t="n"/>
      <c r="CD67" s="592">
        <f>IF($E67="FL",$CA67*(1-pre_FL),$CA67*(1-pre_PL))</f>
        <v/>
      </c>
      <c r="CE67" s="592">
        <f>IF($E67="FL",$CB67*(1-post_FL),$CB67*(1-post_PL))</f>
        <v/>
      </c>
      <c r="CF67" s="592" t="n"/>
      <c r="CG67" s="599">
        <f>CD67-CE67</f>
        <v/>
      </c>
      <c r="CH67" s="599">
        <f>MIN(CG67,IF(W67=Ret_Yr_pre,1,$X67)*Cap)</f>
        <v/>
      </c>
      <c r="CI67" s="128" t="n"/>
      <c r="CJ67" s="37">
        <f>IF(D67&gt;Current,Current,D67)</f>
        <v/>
      </c>
      <c r="CK67" s="37">
        <f>MATCH($CJ67,Tax_Tables[Tax Year],0)</f>
        <v/>
      </c>
      <c r="CL67" s="600" t="n">
        <v>0</v>
      </c>
      <c r="CM67" s="600">
        <f t="array" ref="CM67">INDEX(Tax_Tables[[Limits]:[Limits]],$CK67+CM$8)</f>
        <v/>
      </c>
      <c r="CN67" s="600">
        <f t="array" ref="CN67">INDEX(Tax_Tables[[Limits]:[Limits]],$CK67+CN$8)</f>
        <v/>
      </c>
      <c r="CO67" s="600">
        <f t="array" ref="CO67">INDEX(Tax_Tables[[Limits]:[Limits]],$CK67+CO$8)</f>
        <v/>
      </c>
      <c r="CP67" s="600">
        <f t="array" ref="CP67">INDEX(Tax_Tables[[Limits]:[Limits]],$CK67+CP$8)</f>
        <v/>
      </c>
      <c r="CQ67" s="600">
        <f t="array" ref="CQ67">INDEX(Tax_Tables[[Limits]:[Limits]],$CK67+CQ$8)</f>
        <v/>
      </c>
      <c r="CR67" s="600">
        <f t="array" ref="CR67">INDEX(Tax_Tables[[Limits]:[Limits]],$CK67+CR$8)</f>
        <v/>
      </c>
      <c r="CS67" s="37">
        <f>INDEX(Rebate[&lt;65],MATCH($CJ67,Rebate[[Tax Year]:[Tax Year]],0))</f>
        <v/>
      </c>
      <c r="CT67" s="37">
        <f>INDEX(Rebate[&lt;75],MATCH($CJ67,Rebate[[Tax Year]:[Tax Year]],0))</f>
        <v/>
      </c>
      <c r="CU67" s="37">
        <f>INDEX(Rebate[&gt;75],MATCH($CJ67,Rebate[[Tax Year]:[Tax Year]],0))</f>
        <v/>
      </c>
      <c r="CV67" s="37">
        <f>INDEX(Tax_Credit[Principal],MATCH($CJ67,Tax_Credit[[Tax Year]:[Tax Year]],0))</f>
        <v/>
      </c>
      <c r="CW67" s="37">
        <f>INDEX(Tax_Credit[First Dependant],MATCH($CJ67,Tax_Credit[[Tax Year]:[Tax Year]],0))</f>
        <v/>
      </c>
      <c r="CX67" s="37">
        <f>INDEX(Tax_Credit[Each Additional],MATCH($CJ67,Tax_Credit[[Tax Year]:[Tax Year]],0))</f>
        <v/>
      </c>
      <c r="CY67" s="484">
        <f>Y67</f>
        <v/>
      </c>
      <c r="CZ67" s="601">
        <f>AP67</f>
        <v/>
      </c>
      <c r="DA67" s="37">
        <f t="array" ref="DA67">INDEX($CL67:$CR67,0,MATCH($CZ67,$CL67:$CR67,1))</f>
        <v/>
      </c>
      <c r="DB67" s="37">
        <f t="array" ref="DB67">IFERROR(INDEX(Tax_Tables[Percentages],$CK67+MATCH($DA67,$CL67:$CR67,0)-1),"")</f>
        <v/>
      </c>
      <c r="DC67" s="37">
        <f t="array" ref="DC67">IFERROR(INDEX(Tax_Tables[Tax],$CK67+MATCH($DA67,$CL67:$CR67,0)-1),"")</f>
        <v/>
      </c>
      <c r="DD67" s="37">
        <f>IF(CY67&lt;65,CS67,IF(CY67&lt;75,CT67,CU67))</f>
        <v/>
      </c>
      <c r="DE67" s="37">
        <f>CV67*(Summary!$C$31="Y")+(Summary!$C$31="Y")*(CW67*(Pre_MDep&gt;=1)+CX67*MAX(Pre_MDep-1,0))</f>
        <v/>
      </c>
      <c r="DF67" s="599">
        <f>IFERROR(MAX(DB67*(CZ67-DA67)+DC67-DD67-DE67*12,0),"")</f>
        <v/>
      </c>
      <c r="DG67" s="602" t="n"/>
      <c r="DH67" s="601">
        <f>BL67</f>
        <v/>
      </c>
      <c r="DI67" s="37">
        <f t="array" ref="DI67">INDEX($CL67:$CR67,0,MATCH($DH67,$CL67:$CR67,1))</f>
        <v/>
      </c>
      <c r="DJ67" s="37">
        <f t="array" ref="DJ67">IFERROR(INDEX(Tax_Tables[Percentages],$CK67+MATCH($DI67,$CL67:$CR67,0)-1),"")</f>
        <v/>
      </c>
      <c r="DK67" s="37">
        <f t="array" ref="DK67">IFERROR(INDEX(Tax_Tables[Tax],$CK67+MATCH($DI67,$CL67:$CR67,0)-1),"")</f>
        <v/>
      </c>
      <c r="DL67" s="37">
        <f>CV67*(Summary!$C$81="Y")+(Summary!$C$81="Y")*(CW67*(Post_MDep&gt;=1)+CX67*MAX(Post_MDep-1,0))</f>
        <v/>
      </c>
      <c r="DM67" s="599">
        <f>IFERROR(MAX(DJ67*(DH67-DI67)+DK67-DD67-DL67*12,0),"")</f>
        <v/>
      </c>
      <c r="DN67" s="601" t="n"/>
      <c r="DO67" s="37" t="n"/>
      <c r="DP67" s="37" t="n"/>
      <c r="DQ67" s="37" t="n"/>
      <c r="DR67" s="37" t="n"/>
      <c r="DS67" s="37" t="n"/>
      <c r="DT67" s="37" t="n"/>
      <c r="DU67" s="37" t="n"/>
      <c r="DV67" s="37" t="n"/>
      <c r="DW67" s="37" t="n"/>
      <c r="DX67" s="599" t="n"/>
      <c r="DY67" s="131" t="n"/>
      <c r="DZ67" s="601" t="n"/>
      <c r="EA67" s="37" t="n"/>
      <c r="EB67" s="37" t="n"/>
      <c r="EC67" s="37" t="n"/>
      <c r="ED67" s="599" t="n"/>
      <c r="EE67" s="595" t="n"/>
      <c r="EF67" s="25" t="n"/>
    </row>
    <row r="68">
      <c r="C68" s="596">
        <f>C67+D68-D67</f>
        <v/>
      </c>
      <c r="D68" s="160">
        <f>AU68</f>
        <v/>
      </c>
      <c r="E68" s="87">
        <f>IF(DoC=V68,"Calc Date",IF(V68&lt;DoC,"PL","FL"))</f>
        <v/>
      </c>
      <c r="F68" s="310">
        <f>F67+1</f>
        <v/>
      </c>
      <c r="G68" s="31">
        <f>VLOOKUP(F68,C$10:D$148,2)</f>
        <v/>
      </c>
      <c r="H68" s="313">
        <f>H67</f>
        <v/>
      </c>
      <c r="I68" s="281">
        <f>I67</f>
        <v/>
      </c>
      <c r="J68" s="589">
        <f>I68*index/VLOOKUP($H68,CPI!A:E,4,FALSE)</f>
        <v/>
      </c>
      <c r="K68" s="589">
        <f>IF(L68="Linear",(J68-J67)/(G68-G67),0)</f>
        <v/>
      </c>
      <c r="L68" s="311" t="inlineStr">
        <is>
          <t>Flat</t>
        </is>
      </c>
      <c r="M68" s="137" t="n"/>
      <c r="N68" s="310">
        <f>N67+1</f>
        <v/>
      </c>
      <c r="O68" s="31">
        <f>O67+N68-N67</f>
        <v/>
      </c>
      <c r="P68" s="313">
        <f>P67</f>
        <v/>
      </c>
      <c r="Q68" s="281">
        <f>Q67</f>
        <v/>
      </c>
      <c r="R68" s="589">
        <f>Q68*index/VLOOKUP($P68,CPI!A:E,4,FALSE)</f>
        <v/>
      </c>
      <c r="S68" s="589">
        <f>IF(T68="Linear",(R68-R67)/(O68-O67),0)</f>
        <v/>
      </c>
      <c r="T68" s="311" t="inlineStr">
        <is>
          <t>Flat</t>
        </is>
      </c>
      <c r="U68" s="144" t="n"/>
      <c r="V68" s="6">
        <f>IF(AND($V67=DoA,MONTH(V67)&lt;3),DATE(YEAR(DoA),3,1),IF(AND(IFERROR(DATEDIF(V67,DoC,"M"),12)&lt;12,IFERROR(DATEDIF(V67,DoC,"M"),12)&gt;0),DoC,DATE(YEAR(V67)+(1-AND(YEAR(DoC)=Current,V67=DoC)-AND(V67=DoA,MONTH(V67)&lt;3)),3,1)))</f>
        <v/>
      </c>
      <c r="W68" s="31">
        <f>IF(V68=DoR_Pre,IF(MONTH(DoR_Pre)&gt;3,YEAR(DoR_Pre)+1,YEAR(DoR_Pre)),IF(MONTH(V68)&gt;3,Current,YEAR(V68)))</f>
        <v/>
      </c>
      <c r="X68" s="597">
        <f>IF(W68=Current,ROUND((V68-V67)/365.25,5),_xlfn.IFNA(INDEX(Summary!$A$5:$A$22,MATCH('LOE Sc1'!W68,Summary!$C$5:$C$22,0)),IF(W68=Ret_Yr_pre,ROUND((DoR_Pre-V67)/365.25,5),ROUND((V68-V67)/365.25,2))))</f>
        <v/>
      </c>
      <c r="Y68" s="55">
        <f>IF(AND(V68=DoC,MONTH(DoC)&lt;&gt;3),ROUNDDOWN(DATEDIF(DoB,V69,"M")/12,),ROUNDDOWN(DATEDIF(DoB,V68,"M")/12,))</f>
        <v/>
      </c>
      <c r="Z68" s="590" t="n"/>
      <c r="AA68" s="25">
        <f>MAX(RetAge_Pre-Y68,0)</f>
        <v/>
      </c>
      <c r="AB68" s="26">
        <f t="array" ref="AB68">IF(W68&gt;Ret_Yr_pre,0,_xlfn.IFNA(VLOOKUP(Y68,F$11:J$1000,5,),IF(AND(W68=Current,V68&gt;DoC,MONTH(DoC)&lt;&gt;3),AB67,AB67+INDEX(K$11:K$1000,MATCH(Y68,F$11:F$1000,1)+1))))</f>
        <v/>
      </c>
      <c r="AC68" s="590">
        <f>IF(V68&lt;DoC,AB68*VLOOKUP(YEAR(V68),CPI!A:E,4,FALSE)/index,AB68*real_i^INT(BP68))</f>
        <v/>
      </c>
      <c r="AD68" s="590">
        <f>$AC68/12*Bonus</f>
        <v/>
      </c>
      <c r="AE68" s="590">
        <f>IF($E68="FL",MedSub*m^INT(BP68),MedSub)*IF(Summary!$C$31="Y",1,0)*(W68&lt;=Ret_Yr_pre)*(Summary!C$31="Y")</f>
        <v/>
      </c>
      <c r="AF68" s="590">
        <f>IF(Summary!$C$30="Y",IF(E68&lt;&gt;"PL",VLOOKUP(Current,'Housing Allowance'!$A:$B,2,),VLOOKUP(YEAR($V68),'Housing Allowance'!$A:$B,2,)),0)*(W68&lt;=Ret_Yr_pre)</f>
        <v/>
      </c>
      <c r="AG68" s="590">
        <f>AC68*overtime</f>
        <v/>
      </c>
      <c r="AH68" s="590">
        <f>AC68*allow_1</f>
        <v/>
      </c>
      <c r="AI68" s="590">
        <f>(AB68&lt;&gt;0)*12*allow_2</f>
        <v/>
      </c>
      <c r="AJ68" s="590" t="n"/>
      <c r="AK68" s="581">
        <f>IF(YEAR(W68)&lt;=Ret_Yr_pre,SUM(AC68:AJ68),0)*IF($W68=Ret_Yr_pre,X68,1)</f>
        <v/>
      </c>
      <c r="AL68" s="581">
        <f>IF($W68&gt;=Ret_Yr_pre,pens_Pre*(GEPF_pre="Y"),0)*IF($W68=Ret_Yr_pre,1-$X68,1)*IF(Ret_Yr_pre&lt;Current,(_xlfn.IFNA(VLOOKUP($D68,CPI!$A:$E,2,FALSE),VLOOKUP(Current,CPI!$A:$E,2,FALSE))/VLOOKUP(Ret_Yr_pre,CPI!$A:$E,2,FALSE)),1)</f>
        <v/>
      </c>
      <c r="AM68" s="590">
        <f>$AC68*ee*IF($W68=Ret_Yr_pre,$X68,1)</f>
        <v/>
      </c>
      <c r="AN68" s="590">
        <f>$AC68*er*IF($W68=Ret_Yr_pre,$X68,1)</f>
        <v/>
      </c>
      <c r="AO68" s="590">
        <f>IF('LOE Sc1'!$W68=Ret_Yr_pre,Gratuity_Pre*(GEPF_pre="Y"),0)</f>
        <v/>
      </c>
      <c r="AP68" s="581">
        <f>AK68+AL68-$AM68-AN68*(GEPF_pre="Y")</f>
        <v/>
      </c>
      <c r="AQ68" s="590">
        <f>IF(DF68&lt;0,0,DF68)</f>
        <v/>
      </c>
      <c r="AR68" s="581">
        <f>(AP68-AQ68+AM68*(AM$7="Y")+AN68*(AN$7="Y"))*IF(W68&lt;Ret_Yr_pre,X68,1)+AO68</f>
        <v/>
      </c>
      <c r="AS68" s="595" t="n"/>
      <c r="AT68" s="6">
        <f>V68</f>
        <v/>
      </c>
      <c r="AU68" s="31">
        <f>W68</f>
        <v/>
      </c>
      <c r="AV68" s="598">
        <f>IF(AU68=Current,ROUND((AT68-AT67)/365.25,5),_xlfn.IFNA(INDEX(Summary!$A$55:$A$72,MATCH('LOE Sc1'!AU68,Summary!$C$55:$C$72,0)),IF(AU68=Ret_Yr_post,ROUND((DoR_Post-AT67)/365.25,5),ROUND((AT68-AT67)/365.25,2))))</f>
        <v/>
      </c>
      <c r="AW68" s="55">
        <f>Y68</f>
        <v/>
      </c>
      <c r="AX68" s="26">
        <f t="array" ref="AX68">IF(AU68&gt;Ret_Yr_post,0,_xlfn.IFNA(VLOOKUP(AW68,N$11:S$1000,5,),IF(AND(AU68=Current,AT68&gt;DoC,MONTH(DoC)&lt;&gt;3),AX67,AX67+INDEX(S$11:S$1000,MATCH(AW68,N$11:N$1000,1)+1))))</f>
        <v/>
      </c>
      <c r="AY68" s="590">
        <f>IF($V68&lt;DoC,AX68*VLOOKUP(YEAR($V68),CPI_Table,4,FALSE)/index,AX68*real_i^INT(BP68))</f>
        <v/>
      </c>
      <c r="AZ68" s="590">
        <f>$AY68/12*Bonus_Post*($AW68&lt;=RetAge_Post)</f>
        <v/>
      </c>
      <c r="BA68" s="590">
        <f>IF($E68="FL",MedSub*m^INT(BP68),MedSub)*IF(Summary!$C$81="Y",1,0)*($AU68&lt;=Ret_Yr_post)*(Summary!$C$81="Y")</f>
        <v/>
      </c>
      <c r="BB68" s="590">
        <f>IF(Summary!$C$80="Y",IF($E68&lt;&gt;"PL",VLOOKUP(Current,'Housing Allowance'!$A:$B,2,),VLOOKUP(YEAR($AT68),'Housing Allowance'!$A:$B,2,)),0)*($AU68&lt;=Ret_Yr_post)</f>
        <v/>
      </c>
      <c r="BC68" s="590">
        <f>AY68*overtime_post</f>
        <v/>
      </c>
      <c r="BD68" s="590">
        <f>$AY68*allow_1_post</f>
        <v/>
      </c>
      <c r="BE68" s="590">
        <f>($AY68&lt;&gt;0)*allow_2_post*12</f>
        <v/>
      </c>
      <c r="BF68" s="590" t="n"/>
      <c r="BG68" s="581">
        <f>IF(YEAR($V68)&lt;=Ret_Yr_post,SUM(AY68:BF68),0)*IF($W68=Ret_Yr_post,AV68,1)</f>
        <v/>
      </c>
      <c r="BH68" s="581">
        <f>IF($W68&gt;=Ret_Yr_post,pens_Post*(GEPF_pre="Y"),0)*IF($W68=Ret_Yr_post,1-$AV68,1)*IF(Ret_Yr_post&lt;Current,(_xlfn.IFNA(VLOOKUP($D68,CPI!$A:$E,2,FALSE),VLOOKUP(Current,CPI!$A:$E,2,FALSE))/VLOOKUP(Ret_Yr_post,CPI!$A:$E,2,FALSE)),1)</f>
        <v/>
      </c>
      <c r="BI68" s="590">
        <f>$AY68*ee_post*IF($W68=Ret_Yr_post,$AV68,1)</f>
        <v/>
      </c>
      <c r="BJ68" s="590">
        <f>$AY68*er_post*IF($W68=Ret_Yr_post,$AV68,1)</f>
        <v/>
      </c>
      <c r="BK68" s="590">
        <f>IF('LOE Sc1'!$W68=Ret_Yr_post,Gratuity_Post*(GEPF_post="Y"),0)</f>
        <v/>
      </c>
      <c r="BL68" s="581">
        <f>BG68+BH68-BI68-BJ68*(GEPF_post="Y")</f>
        <v/>
      </c>
      <c r="BM68" s="590">
        <f>IF(DM68&lt;0,0,DM68)</f>
        <v/>
      </c>
      <c r="BN68" s="581">
        <f>(BL68-BM68+BI68*(BI$7="Y")+BJ68*(BJ$7="Y"))*IF($W68&lt;Ret_Yr_post,AV68,1)+BK68</f>
        <v/>
      </c>
      <c r="BO68" s="591" t="n"/>
      <c r="BP68" s="592">
        <f>IF($E68="FL",IF($X68&lt;=DoC,DATEDIF(DoC,$V68,"M")/12,0),0)</f>
        <v/>
      </c>
      <c r="BQ68" s="592">
        <f>IF($E68="FL",(1+CPI)^INT(BP68),0)</f>
        <v/>
      </c>
      <c r="BR68" s="592">
        <f>IF($E68="FL",IF(($BP68-0.5)&gt;=0,1/(1+d)^($BP68-0.5),1/(1+d)^($BP68)),0)</f>
        <v/>
      </c>
      <c r="BS68" s="592" t="n"/>
      <c r="BT68" s="25">
        <f>IF(gender="M",VLOOKUP($Y68+pre_mort+IF(MONTH(DoC)&lt;MONTH(DoB),IF(MONTH(DoC)&lt;3,0,-1),IF(MONTH(DoB)&lt;3,-1,0)),'SALT LIFE TABLES'!$A$7:$E$106,2),VLOOKUP($Y68+pre_mort+IF(MONTH(DoC)&lt;MONTH(DoB),IF(MONTH(DoC)&lt;3,0,-1),IF(MONTH(DoB)&lt;3,-1,0)),'SALT LIFE TABLES'!$A$7:$E$106,4))</f>
        <v/>
      </c>
      <c r="BU68" s="592">
        <f>IF($E68="PL",1,BT68/BU$7)</f>
        <v/>
      </c>
      <c r="BV68" s="593" t="n"/>
      <c r="BW68" s="25">
        <f>IF(gender="M",VLOOKUP($Y68+post_mort+IF(MONTH(DoC)&lt;MONTH(DoB),IF(MONTH(DoC)&lt;3,0,-1),IF(MONTH(DoB)&lt;3,-1,0)),'SALT LIFE TABLES'!$A$7:$E$106,2),VLOOKUP($Y68+post_mort+IF(MONTH(DoC)&lt;MONTH(DoB),IF(MONTH(DoC)&lt;3,0,-1),IF(MONTH(DoB)&lt;3,-1,0)),'SALT LIFE TABLES'!$A$7:$E$106,4))</f>
        <v/>
      </c>
      <c r="BX68" s="592">
        <f>IF($E68="PL",1,BW68/BX$7)</f>
        <v/>
      </c>
      <c r="BY68" s="594" t="n"/>
      <c r="BZ68" s="592" t="n"/>
      <c r="CA68" s="592">
        <f>IF($E68="FL",$AR68*$BQ68*$BR68*$BU68,$AR68)</f>
        <v/>
      </c>
      <c r="CB68" s="592">
        <f>IF($E68="FL",$BN68*$BQ68*$BR68*$BX68,$BN68)</f>
        <v/>
      </c>
      <c r="CC68" s="592" t="n"/>
      <c r="CD68" s="592">
        <f>IF($E68="FL",$CA68*(1-pre_FL),$CA68*(1-pre_PL))</f>
        <v/>
      </c>
      <c r="CE68" s="592">
        <f>IF($E68="FL",$CB68*(1-post_FL),$CB68*(1-post_PL))</f>
        <v/>
      </c>
      <c r="CF68" s="592" t="n"/>
      <c r="CG68" s="599">
        <f>CD68-CE68</f>
        <v/>
      </c>
      <c r="CH68" s="599">
        <f>MIN(CG68,IF(W68=Ret_Yr_pre,1,$X68)*Cap)</f>
        <v/>
      </c>
      <c r="CI68" s="128" t="n"/>
      <c r="CJ68" s="37">
        <f>IF(D68&gt;Current,Current,D68)</f>
        <v/>
      </c>
      <c r="CK68" s="37">
        <f>MATCH($CJ68,Tax_Tables[Tax Year],0)</f>
        <v/>
      </c>
      <c r="CL68" s="600" t="n">
        <v>0</v>
      </c>
      <c r="CM68" s="600">
        <f t="array" ref="CM68">INDEX(Tax_Tables[[Limits]:[Limits]],$CK68+CM$8)</f>
        <v/>
      </c>
      <c r="CN68" s="600">
        <f t="array" ref="CN68">INDEX(Tax_Tables[[Limits]:[Limits]],$CK68+CN$8)</f>
        <v/>
      </c>
      <c r="CO68" s="600">
        <f t="array" ref="CO68">INDEX(Tax_Tables[[Limits]:[Limits]],$CK68+CO$8)</f>
        <v/>
      </c>
      <c r="CP68" s="600">
        <f t="array" ref="CP68">INDEX(Tax_Tables[[Limits]:[Limits]],$CK68+CP$8)</f>
        <v/>
      </c>
      <c r="CQ68" s="600">
        <f t="array" ref="CQ68">INDEX(Tax_Tables[[Limits]:[Limits]],$CK68+CQ$8)</f>
        <v/>
      </c>
      <c r="CR68" s="600">
        <f t="array" ref="CR68">INDEX(Tax_Tables[[Limits]:[Limits]],$CK68+CR$8)</f>
        <v/>
      </c>
      <c r="CS68" s="37">
        <f>INDEX(Rebate[&lt;65],MATCH($CJ68,Rebate[[Tax Year]:[Tax Year]],0))</f>
        <v/>
      </c>
      <c r="CT68" s="37">
        <f>INDEX(Rebate[&lt;75],MATCH($CJ68,Rebate[[Tax Year]:[Tax Year]],0))</f>
        <v/>
      </c>
      <c r="CU68" s="37">
        <f>INDEX(Rebate[&gt;75],MATCH($CJ68,Rebate[[Tax Year]:[Tax Year]],0))</f>
        <v/>
      </c>
      <c r="CV68" s="37">
        <f>INDEX(Tax_Credit[Principal],MATCH($CJ68,Tax_Credit[[Tax Year]:[Tax Year]],0))</f>
        <v/>
      </c>
      <c r="CW68" s="37">
        <f>INDEX(Tax_Credit[First Dependant],MATCH($CJ68,Tax_Credit[[Tax Year]:[Tax Year]],0))</f>
        <v/>
      </c>
      <c r="CX68" s="37">
        <f>INDEX(Tax_Credit[Each Additional],MATCH($CJ68,Tax_Credit[[Tax Year]:[Tax Year]],0))</f>
        <v/>
      </c>
      <c r="CY68" s="484">
        <f>Y68</f>
        <v/>
      </c>
      <c r="CZ68" s="601">
        <f>AP68</f>
        <v/>
      </c>
      <c r="DA68" s="37">
        <f t="array" ref="DA68">INDEX($CL68:$CR68,0,MATCH($CZ68,$CL68:$CR68,1))</f>
        <v/>
      </c>
      <c r="DB68" s="37">
        <f t="array" ref="DB68">IFERROR(INDEX(Tax_Tables[Percentages],$CK68+MATCH($DA68,$CL68:$CR68,0)-1),"")</f>
        <v/>
      </c>
      <c r="DC68" s="37">
        <f t="array" ref="DC68">IFERROR(INDEX(Tax_Tables[Tax],$CK68+MATCH($DA68,$CL68:$CR68,0)-1),"")</f>
        <v/>
      </c>
      <c r="DD68" s="37">
        <f>IF(CY68&lt;65,CS68,IF(CY68&lt;75,CT68,CU68))</f>
        <v/>
      </c>
      <c r="DE68" s="37">
        <f>CV68*(Summary!$C$31="Y")+(Summary!$C$31="Y")*(CW68*(Pre_MDep&gt;=1)+CX68*MAX(Pre_MDep-1,0))</f>
        <v/>
      </c>
      <c r="DF68" s="599">
        <f>IFERROR(MAX(DB68*(CZ68-DA68)+DC68-DD68-DE68*12,0),"")</f>
        <v/>
      </c>
      <c r="DG68" s="602" t="n"/>
      <c r="DH68" s="601">
        <f>BL68</f>
        <v/>
      </c>
      <c r="DI68" s="37">
        <f t="array" ref="DI68">INDEX($CL68:$CR68,0,MATCH($DH68,$CL68:$CR68,1))</f>
        <v/>
      </c>
      <c r="DJ68" s="37">
        <f t="array" ref="DJ68">IFERROR(INDEX(Tax_Tables[Percentages],$CK68+MATCH($DI68,$CL68:$CR68,0)-1),"")</f>
        <v/>
      </c>
      <c r="DK68" s="37">
        <f t="array" ref="DK68">IFERROR(INDEX(Tax_Tables[Tax],$CK68+MATCH($DI68,$CL68:$CR68,0)-1),"")</f>
        <v/>
      </c>
      <c r="DL68" s="37">
        <f>CV68*(Summary!$C$81="Y")+(Summary!$C$81="Y")*(CW68*(Post_MDep&gt;=1)+CX68*MAX(Post_MDep-1,0))</f>
        <v/>
      </c>
      <c r="DM68" s="599">
        <f>IFERROR(MAX(DJ68*(DH68-DI68)+DK68-DD68-DL68*12,0),"")</f>
        <v/>
      </c>
      <c r="DN68" s="601" t="n"/>
      <c r="DO68" s="37" t="n"/>
      <c r="DP68" s="37" t="n"/>
      <c r="DQ68" s="37" t="n"/>
      <c r="DR68" s="37" t="n"/>
      <c r="DS68" s="37" t="n"/>
      <c r="DT68" s="37" t="n"/>
      <c r="DU68" s="37" t="n"/>
      <c r="DV68" s="37" t="n"/>
      <c r="DW68" s="37" t="n"/>
      <c r="DX68" s="599" t="n"/>
      <c r="DY68" s="131" t="n"/>
      <c r="DZ68" s="601" t="n"/>
      <c r="EA68" s="37" t="n"/>
      <c r="EB68" s="37" t="n"/>
      <c r="EC68" s="37" t="n"/>
      <c r="ED68" s="599" t="n"/>
      <c r="EE68" s="595" t="n"/>
      <c r="EF68" s="25" t="n"/>
    </row>
    <row r="69">
      <c r="C69" s="596">
        <f>C68+D69-D68</f>
        <v/>
      </c>
      <c r="D69" s="160">
        <f>AU69</f>
        <v/>
      </c>
      <c r="E69" s="87">
        <f>IF(DoC=V69,"Calc Date",IF(V69&lt;DoC,"PL","FL"))</f>
        <v/>
      </c>
      <c r="F69" s="310">
        <f>F68+1</f>
        <v/>
      </c>
      <c r="G69" s="31">
        <f>VLOOKUP(F69,C$10:D$148,2)</f>
        <v/>
      </c>
      <c r="H69" s="313">
        <f>H68</f>
        <v/>
      </c>
      <c r="I69" s="281">
        <f>I68</f>
        <v/>
      </c>
      <c r="J69" s="589">
        <f>I69*index/VLOOKUP($H69,CPI!A:E,4,FALSE)</f>
        <v/>
      </c>
      <c r="K69" s="589">
        <f>IF(L69="Linear",(J69-J68)/(G69-G68),0)</f>
        <v/>
      </c>
      <c r="L69" s="311" t="inlineStr">
        <is>
          <t>Flat</t>
        </is>
      </c>
      <c r="M69" s="137" t="n"/>
      <c r="N69" s="310">
        <f>N68+1</f>
        <v/>
      </c>
      <c r="O69" s="31">
        <f>O68+N69-N68</f>
        <v/>
      </c>
      <c r="P69" s="313">
        <f>P68</f>
        <v/>
      </c>
      <c r="Q69" s="281">
        <f>Q68</f>
        <v/>
      </c>
      <c r="R69" s="589">
        <f>Q69*index/VLOOKUP($P69,CPI!A:E,4,FALSE)</f>
        <v/>
      </c>
      <c r="S69" s="589">
        <f>IF(T69="Linear",(R69-R68)/(O69-O68),0)</f>
        <v/>
      </c>
      <c r="T69" s="311" t="inlineStr">
        <is>
          <t>Flat</t>
        </is>
      </c>
      <c r="U69" s="144" t="n"/>
      <c r="V69" s="6">
        <f>IF(AND($V68=DoA,MONTH(V68)&lt;3),DATE(YEAR(DoA),3,1),IF(AND(IFERROR(DATEDIF(V68,DoC,"M"),12)&lt;12,IFERROR(DATEDIF(V68,DoC,"M"),12)&gt;0),DoC,DATE(YEAR(V68)+(1-AND(YEAR(DoC)=Current,V68=DoC)-AND(V68=DoA,MONTH(V68)&lt;3)),3,1)))</f>
        <v/>
      </c>
      <c r="W69" s="31">
        <f>IF(V69=DoR_Pre,IF(MONTH(DoR_Pre)&gt;3,YEAR(DoR_Pre)+1,YEAR(DoR_Pre)),IF(MONTH(V69)&gt;3,Current,YEAR(V69)))</f>
        <v/>
      </c>
      <c r="X69" s="597">
        <f>IF(W69=Current,ROUND((V69-V68)/365.25,5),_xlfn.IFNA(INDEX(Summary!$A$5:$A$22,MATCH('LOE Sc1'!W69,Summary!$C$5:$C$22,0)),IF(W69=Ret_Yr_pre,ROUND((DoR_Pre-V68)/365.25,5),ROUND((V69-V68)/365.25,2))))</f>
        <v/>
      </c>
      <c r="Y69" s="55">
        <f>IF(AND(V69=DoC,MONTH(DoC)&lt;&gt;3),ROUNDDOWN(DATEDIF(DoB,V70,"M")/12,),ROUNDDOWN(DATEDIF(DoB,V69,"M")/12,))</f>
        <v/>
      </c>
      <c r="Z69" s="590" t="n"/>
      <c r="AA69" s="25">
        <f>MAX(RetAge_Pre-Y69,0)</f>
        <v/>
      </c>
      <c r="AB69" s="26">
        <f t="array" ref="AB69">IF(W69&gt;Ret_Yr_pre,0,_xlfn.IFNA(VLOOKUP(Y69,F$11:J$1000,5,),IF(AND(W69=Current,V69&gt;DoC,MONTH(DoC)&lt;&gt;3),AB68,AB68+INDEX(K$11:K$1000,MATCH(Y69,F$11:F$1000,1)+1))))</f>
        <v/>
      </c>
      <c r="AC69" s="590">
        <f>IF(V69&lt;DoC,AB69*VLOOKUP(YEAR(V69),CPI!A:E,4,FALSE)/index,AB69*real_i^INT(BP69))</f>
        <v/>
      </c>
      <c r="AD69" s="590">
        <f>$AC69/12*Bonus</f>
        <v/>
      </c>
      <c r="AE69" s="590">
        <f>IF($E69="FL",MedSub*m^INT(BP69),MedSub)*IF(Summary!$C$31="Y",1,0)*(W69&lt;=Ret_Yr_pre)*(Summary!C$31="Y")</f>
        <v/>
      </c>
      <c r="AF69" s="590">
        <f>IF(Summary!$C$30="Y",IF(E69&lt;&gt;"PL",VLOOKUP(Current,'Housing Allowance'!$A:$B,2,),VLOOKUP(YEAR($V69),'Housing Allowance'!$A:$B,2,)),0)*(W69&lt;=Ret_Yr_pre)</f>
        <v/>
      </c>
      <c r="AG69" s="590">
        <f>AC69*overtime</f>
        <v/>
      </c>
      <c r="AH69" s="590">
        <f>AC69*allow_1</f>
        <v/>
      </c>
      <c r="AI69" s="590">
        <f>(AB69&lt;&gt;0)*12*allow_2</f>
        <v/>
      </c>
      <c r="AJ69" s="590" t="n"/>
      <c r="AK69" s="581">
        <f>IF(YEAR(W69)&lt;=Ret_Yr_pre,SUM(AC69:AJ69),0)*IF($W69=Ret_Yr_pre,X69,1)</f>
        <v/>
      </c>
      <c r="AL69" s="581">
        <f>IF($W69&gt;=Ret_Yr_pre,pens_Pre*(GEPF_pre="Y"),0)*IF($W69=Ret_Yr_pre,1-$X69,1)*IF(Ret_Yr_pre&lt;Current,(_xlfn.IFNA(VLOOKUP($D69,CPI!$A:$E,2,FALSE),VLOOKUP(Current,CPI!$A:$E,2,FALSE))/VLOOKUP(Ret_Yr_pre,CPI!$A:$E,2,FALSE)),1)</f>
        <v/>
      </c>
      <c r="AM69" s="590">
        <f>$AC69*ee*IF($W69=Ret_Yr_pre,$X69,1)</f>
        <v/>
      </c>
      <c r="AN69" s="590">
        <f>$AC69*er*IF($W69=Ret_Yr_pre,$X69,1)</f>
        <v/>
      </c>
      <c r="AO69" s="590">
        <f>IF('LOE Sc1'!$W69=Ret_Yr_pre,Gratuity_Pre*(GEPF_pre="Y"),0)</f>
        <v/>
      </c>
      <c r="AP69" s="581">
        <f>AK69+AL69-$AM69-AN69*(GEPF_pre="Y")</f>
        <v/>
      </c>
      <c r="AQ69" s="590">
        <f>IF(DF69&lt;0,0,DF69)</f>
        <v/>
      </c>
      <c r="AR69" s="581">
        <f>(AP69-AQ69+AM69*(AM$7="Y")+AN69*(AN$7="Y"))*IF(W69&lt;Ret_Yr_pre,X69,1)+AO69</f>
        <v/>
      </c>
      <c r="AS69" s="595" t="n"/>
      <c r="AT69" s="6">
        <f>V69</f>
        <v/>
      </c>
      <c r="AU69" s="31">
        <f>W69</f>
        <v/>
      </c>
      <c r="AV69" s="598">
        <f>IF(AU69=Current,ROUND((AT69-AT68)/365.25,5),_xlfn.IFNA(INDEX(Summary!$A$55:$A$72,MATCH('LOE Sc1'!AU69,Summary!$C$55:$C$72,0)),IF(AU69=Ret_Yr_post,ROUND((DoR_Post-AT68)/365.25,5),ROUND((AT69-AT68)/365.25,2))))</f>
        <v/>
      </c>
      <c r="AW69" s="55">
        <f>Y69</f>
        <v/>
      </c>
      <c r="AX69" s="26">
        <f t="array" ref="AX69">IF(AU69&gt;Ret_Yr_post,0,_xlfn.IFNA(VLOOKUP(AW69,N$11:S$1000,5,),IF(AND(AU69=Current,AT69&gt;DoC,MONTH(DoC)&lt;&gt;3),AX68,AX68+INDEX(S$11:S$1000,MATCH(AW69,N$11:N$1000,1)+1))))</f>
        <v/>
      </c>
      <c r="AY69" s="590">
        <f>IF($V69&lt;DoC,AX69*VLOOKUP(YEAR($V69),CPI_Table,4,FALSE)/index,AX69*real_i^INT(BP69))</f>
        <v/>
      </c>
      <c r="AZ69" s="590">
        <f>$AY69/12*Bonus_Post*($AW69&lt;=RetAge_Post)</f>
        <v/>
      </c>
      <c r="BA69" s="590">
        <f>IF($E69="FL",MedSub*m^INT(BP69),MedSub)*IF(Summary!$C$81="Y",1,0)*($AU69&lt;=Ret_Yr_post)*(Summary!$C$81="Y")</f>
        <v/>
      </c>
      <c r="BB69" s="590">
        <f>IF(Summary!$C$80="Y",IF($E69&lt;&gt;"PL",VLOOKUP(Current,'Housing Allowance'!$A:$B,2,),VLOOKUP(YEAR($AT69),'Housing Allowance'!$A:$B,2,)),0)*($AU69&lt;=Ret_Yr_post)</f>
        <v/>
      </c>
      <c r="BC69" s="590">
        <f>AY69*overtime_post</f>
        <v/>
      </c>
      <c r="BD69" s="590">
        <f>$AY69*allow_1_post</f>
        <v/>
      </c>
      <c r="BE69" s="590">
        <f>($AY69&lt;&gt;0)*allow_2_post*12</f>
        <v/>
      </c>
      <c r="BF69" s="590" t="n"/>
      <c r="BG69" s="581">
        <f>IF(YEAR($V69)&lt;=Ret_Yr_post,SUM(AY69:BF69),0)*IF($W69=Ret_Yr_post,AV69,1)</f>
        <v/>
      </c>
      <c r="BH69" s="581">
        <f>IF($W69&gt;=Ret_Yr_post,pens_Post*(GEPF_pre="Y"),0)*IF($W69=Ret_Yr_post,1-$AV69,1)*IF(Ret_Yr_post&lt;Current,(_xlfn.IFNA(VLOOKUP($D69,CPI!$A:$E,2,FALSE),VLOOKUP(Current,CPI!$A:$E,2,FALSE))/VLOOKUP(Ret_Yr_post,CPI!$A:$E,2,FALSE)),1)</f>
        <v/>
      </c>
      <c r="BI69" s="590">
        <f>$AY69*ee_post*IF($W69=Ret_Yr_post,$AV69,1)</f>
        <v/>
      </c>
      <c r="BJ69" s="590">
        <f>$AY69*er_post*IF($W69=Ret_Yr_post,$AV69,1)</f>
        <v/>
      </c>
      <c r="BK69" s="590">
        <f>IF('LOE Sc1'!$W69=Ret_Yr_post,Gratuity_Post*(GEPF_post="Y"),0)</f>
        <v/>
      </c>
      <c r="BL69" s="581">
        <f>BG69+BH69-BI69-BJ69*(GEPF_post="Y")</f>
        <v/>
      </c>
      <c r="BM69" s="590">
        <f>IF(DM69&lt;0,0,DM69)</f>
        <v/>
      </c>
      <c r="BN69" s="581">
        <f>(BL69-BM69+BI69*(BI$7="Y")+BJ69*(BJ$7="Y"))*IF($W69&lt;Ret_Yr_post,AV69,1)+BK69</f>
        <v/>
      </c>
      <c r="BO69" s="591" t="n"/>
      <c r="BP69" s="592">
        <f>IF($E69="FL",IF($X69&lt;=DoC,DATEDIF(DoC,$V69,"M")/12,0),0)</f>
        <v/>
      </c>
      <c r="BQ69" s="592">
        <f>IF($E69="FL",(1+CPI)^INT(BP69),0)</f>
        <v/>
      </c>
      <c r="BR69" s="592">
        <f>IF($E69="FL",IF(($BP69-0.5)&gt;=0,1/(1+d)^($BP69-0.5),1/(1+d)^($BP69)),0)</f>
        <v/>
      </c>
      <c r="BS69" s="592" t="n"/>
      <c r="BT69" s="25">
        <f>IF(gender="M",VLOOKUP($Y69+pre_mort+IF(MONTH(DoC)&lt;MONTH(DoB),IF(MONTH(DoC)&lt;3,0,-1),IF(MONTH(DoB)&lt;3,-1,0)),'SALT LIFE TABLES'!$A$7:$E$106,2),VLOOKUP($Y69+pre_mort+IF(MONTH(DoC)&lt;MONTH(DoB),IF(MONTH(DoC)&lt;3,0,-1),IF(MONTH(DoB)&lt;3,-1,0)),'SALT LIFE TABLES'!$A$7:$E$106,4))</f>
        <v/>
      </c>
      <c r="BU69" s="592">
        <f>IF($E69="PL",1,BT69/BU$7)</f>
        <v/>
      </c>
      <c r="BV69" s="593" t="n"/>
      <c r="BW69" s="25">
        <f>IF(gender="M",VLOOKUP($Y69+post_mort+IF(MONTH(DoC)&lt;MONTH(DoB),IF(MONTH(DoC)&lt;3,0,-1),IF(MONTH(DoB)&lt;3,-1,0)),'SALT LIFE TABLES'!$A$7:$E$106,2),VLOOKUP($Y69+post_mort+IF(MONTH(DoC)&lt;MONTH(DoB),IF(MONTH(DoC)&lt;3,0,-1),IF(MONTH(DoB)&lt;3,-1,0)),'SALT LIFE TABLES'!$A$7:$E$106,4))</f>
        <v/>
      </c>
      <c r="BX69" s="592">
        <f>IF($E69="PL",1,BW69/BX$7)</f>
        <v/>
      </c>
      <c r="BY69" s="594" t="n"/>
      <c r="BZ69" s="592" t="n"/>
      <c r="CA69" s="592">
        <f>IF($E69="FL",$AR69*$BQ69*$BR69*$BU69,$AR69)</f>
        <v/>
      </c>
      <c r="CB69" s="592">
        <f>IF($E69="FL",$BN69*$BQ69*$BR69*$BX69,$BN69)</f>
        <v/>
      </c>
      <c r="CC69" s="592" t="n"/>
      <c r="CD69" s="592">
        <f>IF($E69="FL",$CA69*(1-pre_FL),$CA69*(1-pre_PL))</f>
        <v/>
      </c>
      <c r="CE69" s="592">
        <f>IF($E69="FL",$CB69*(1-post_FL),$CB69*(1-post_PL))</f>
        <v/>
      </c>
      <c r="CF69" s="592" t="n"/>
      <c r="CG69" s="599">
        <f>CD69-CE69</f>
        <v/>
      </c>
      <c r="CH69" s="599">
        <f>MIN(CG69,IF(W69=Ret_Yr_pre,1,$X69)*Cap)</f>
        <v/>
      </c>
      <c r="CI69" s="128" t="n"/>
      <c r="CJ69" s="37">
        <f>IF(D69&gt;Current,Current,D69)</f>
        <v/>
      </c>
      <c r="CK69" s="37">
        <f>MATCH($CJ69,Tax_Tables[Tax Year],0)</f>
        <v/>
      </c>
      <c r="CL69" s="600" t="n">
        <v>0</v>
      </c>
      <c r="CM69" s="600">
        <f t="array" ref="CM69">INDEX(Tax_Tables[[Limits]:[Limits]],$CK69+CM$8)</f>
        <v/>
      </c>
      <c r="CN69" s="600">
        <f t="array" ref="CN69">INDEX(Tax_Tables[[Limits]:[Limits]],$CK69+CN$8)</f>
        <v/>
      </c>
      <c r="CO69" s="600">
        <f t="array" ref="CO69">INDEX(Tax_Tables[[Limits]:[Limits]],$CK69+CO$8)</f>
        <v/>
      </c>
      <c r="CP69" s="600">
        <f t="array" ref="CP69">INDEX(Tax_Tables[[Limits]:[Limits]],$CK69+CP$8)</f>
        <v/>
      </c>
      <c r="CQ69" s="600">
        <f t="array" ref="CQ69">INDEX(Tax_Tables[[Limits]:[Limits]],$CK69+CQ$8)</f>
        <v/>
      </c>
      <c r="CR69" s="600">
        <f t="array" ref="CR69">INDEX(Tax_Tables[[Limits]:[Limits]],$CK69+CR$8)</f>
        <v/>
      </c>
      <c r="CS69" s="37">
        <f>INDEX(Rebate[&lt;65],MATCH($CJ69,Rebate[[Tax Year]:[Tax Year]],0))</f>
        <v/>
      </c>
      <c r="CT69" s="37">
        <f>INDEX(Rebate[&lt;75],MATCH($CJ69,Rebate[[Tax Year]:[Tax Year]],0))</f>
        <v/>
      </c>
      <c r="CU69" s="37">
        <f>INDEX(Rebate[&gt;75],MATCH($CJ69,Rebate[[Tax Year]:[Tax Year]],0))</f>
        <v/>
      </c>
      <c r="CV69" s="37">
        <f>INDEX(Tax_Credit[Principal],MATCH($CJ69,Tax_Credit[[Tax Year]:[Tax Year]],0))</f>
        <v/>
      </c>
      <c r="CW69" s="37">
        <f>INDEX(Tax_Credit[First Dependant],MATCH($CJ69,Tax_Credit[[Tax Year]:[Tax Year]],0))</f>
        <v/>
      </c>
      <c r="CX69" s="37">
        <f>INDEX(Tax_Credit[Each Additional],MATCH($CJ69,Tax_Credit[[Tax Year]:[Tax Year]],0))</f>
        <v/>
      </c>
      <c r="CY69" s="484">
        <f>Y69</f>
        <v/>
      </c>
      <c r="CZ69" s="601">
        <f>AP69</f>
        <v/>
      </c>
      <c r="DA69" s="37">
        <f t="array" ref="DA69">INDEX($CL69:$CR69,0,MATCH($CZ69,$CL69:$CR69,1))</f>
        <v/>
      </c>
      <c r="DB69" s="37">
        <f t="array" ref="DB69">IFERROR(INDEX(Tax_Tables[Percentages],$CK69+MATCH($DA69,$CL69:$CR69,0)-1),"")</f>
        <v/>
      </c>
      <c r="DC69" s="37">
        <f t="array" ref="DC69">IFERROR(INDEX(Tax_Tables[Tax],$CK69+MATCH($DA69,$CL69:$CR69,0)-1),"")</f>
        <v/>
      </c>
      <c r="DD69" s="37">
        <f>IF(CY69&lt;65,CS69,IF(CY69&lt;75,CT69,CU69))</f>
        <v/>
      </c>
      <c r="DE69" s="37">
        <f>CV69*(Summary!$C$31="Y")+(Summary!$C$31="Y")*(CW69*(Pre_MDep&gt;=1)+CX69*MAX(Pre_MDep-1,0))</f>
        <v/>
      </c>
      <c r="DF69" s="599">
        <f>IFERROR(MAX(DB69*(CZ69-DA69)+DC69-DD69-DE69*12,0),"")</f>
        <v/>
      </c>
      <c r="DG69" s="602" t="n"/>
      <c r="DH69" s="601">
        <f>BL69</f>
        <v/>
      </c>
      <c r="DI69" s="37">
        <f t="array" ref="DI69">INDEX($CL69:$CR69,0,MATCH($DH69,$CL69:$CR69,1))</f>
        <v/>
      </c>
      <c r="DJ69" s="37">
        <f t="array" ref="DJ69">IFERROR(INDEX(Tax_Tables[Percentages],$CK69+MATCH($DI69,$CL69:$CR69,0)-1),"")</f>
        <v/>
      </c>
      <c r="DK69" s="37">
        <f t="array" ref="DK69">IFERROR(INDEX(Tax_Tables[Tax],$CK69+MATCH($DI69,$CL69:$CR69,0)-1),"")</f>
        <v/>
      </c>
      <c r="DL69" s="37">
        <f>CV69*(Summary!$C$81="Y")+(Summary!$C$81="Y")*(CW69*(Post_MDep&gt;=1)+CX69*MAX(Post_MDep-1,0))</f>
        <v/>
      </c>
      <c r="DM69" s="599">
        <f>IFERROR(MAX(DJ69*(DH69-DI69)+DK69-DD69-DL69*12,0),"")</f>
        <v/>
      </c>
      <c r="DN69" s="601" t="n"/>
      <c r="DO69" s="37" t="n"/>
      <c r="DP69" s="37" t="n"/>
      <c r="DQ69" s="37" t="n"/>
      <c r="DR69" s="37" t="n"/>
      <c r="DS69" s="37" t="n"/>
      <c r="DT69" s="37" t="n"/>
      <c r="DU69" s="37" t="n"/>
      <c r="DV69" s="37" t="n"/>
      <c r="DW69" s="37" t="n"/>
      <c r="DX69" s="599" t="n"/>
      <c r="DY69" s="131" t="n"/>
      <c r="DZ69" s="601" t="n"/>
      <c r="EA69" s="37" t="n"/>
      <c r="EB69" s="37" t="n"/>
      <c r="EC69" s="37" t="n"/>
      <c r="ED69" s="599" t="n"/>
      <c r="EE69" s="595" t="n"/>
      <c r="EF69" s="25" t="n"/>
    </row>
    <row r="70">
      <c r="C70" s="596">
        <f>C69+D70-D69</f>
        <v/>
      </c>
      <c r="D70" s="160">
        <f>AU70</f>
        <v/>
      </c>
      <c r="E70" s="87">
        <f>IF(DoC=V70,"Calc Date",IF(V70&lt;DoC,"PL","FL"))</f>
        <v/>
      </c>
      <c r="F70" s="310">
        <f>F69+1</f>
        <v/>
      </c>
      <c r="G70" s="31">
        <f>VLOOKUP(F70,C$10:D$148,2)</f>
        <v/>
      </c>
      <c r="H70" s="313">
        <f>H69</f>
        <v/>
      </c>
      <c r="I70" s="281">
        <f>I69</f>
        <v/>
      </c>
      <c r="J70" s="589">
        <f>I70*index/VLOOKUP($H70,CPI!A:E,4,FALSE)</f>
        <v/>
      </c>
      <c r="K70" s="589">
        <f>IF(L70="Linear",(J70-J69)/(G70-G69),0)</f>
        <v/>
      </c>
      <c r="L70" s="311" t="inlineStr">
        <is>
          <t>Flat</t>
        </is>
      </c>
      <c r="M70" s="137" t="n"/>
      <c r="N70" s="310">
        <f>N69+1</f>
        <v/>
      </c>
      <c r="O70" s="31">
        <f>O69+N70-N69</f>
        <v/>
      </c>
      <c r="P70" s="313">
        <f>P69</f>
        <v/>
      </c>
      <c r="Q70" s="281">
        <f>Q69</f>
        <v/>
      </c>
      <c r="R70" s="589">
        <f>Q70*index/VLOOKUP($P70,CPI!A:E,4,FALSE)</f>
        <v/>
      </c>
      <c r="S70" s="589">
        <f>IF(T70="Linear",(R70-R69)/(O70-O69),0)</f>
        <v/>
      </c>
      <c r="T70" s="311" t="inlineStr">
        <is>
          <t>Flat</t>
        </is>
      </c>
      <c r="U70" s="144" t="n"/>
      <c r="V70" s="6">
        <f>IF(AND($V69=DoA,MONTH(V69)&lt;3),DATE(YEAR(DoA),3,1),IF(AND(IFERROR(DATEDIF(V69,DoC,"M"),12)&lt;12,IFERROR(DATEDIF(V69,DoC,"M"),12)&gt;0),DoC,DATE(YEAR(V69)+(1-AND(YEAR(DoC)=Current,V69=DoC)-AND(V69=DoA,MONTH(V69)&lt;3)),3,1)))</f>
        <v/>
      </c>
      <c r="W70" s="31">
        <f>IF(V70=DoR_Pre,IF(MONTH(DoR_Pre)&gt;3,YEAR(DoR_Pre)+1,YEAR(DoR_Pre)),IF(MONTH(V70)&gt;3,Current,YEAR(V70)))</f>
        <v/>
      </c>
      <c r="X70" s="597">
        <f>IF(W70=Current,ROUND((V70-V69)/365.25,5),_xlfn.IFNA(INDEX(Summary!$A$5:$A$22,MATCH('LOE Sc1'!W70,Summary!$C$5:$C$22,0)),IF(W70=Ret_Yr_pre,ROUND((DoR_Pre-V69)/365.25,5),ROUND((V70-V69)/365.25,2))))</f>
        <v/>
      </c>
      <c r="Y70" s="55">
        <f>IF(AND(V70=DoC,MONTH(DoC)&lt;&gt;3),ROUNDDOWN(DATEDIF(DoB,V71,"M")/12,),ROUNDDOWN(DATEDIF(DoB,V70,"M")/12,))</f>
        <v/>
      </c>
      <c r="Z70" s="590" t="n"/>
      <c r="AA70" s="25">
        <f>MAX(RetAge_Pre-Y70,0)</f>
        <v/>
      </c>
      <c r="AB70" s="26">
        <f t="array" ref="AB70">IF(W70&gt;Ret_Yr_pre,0,_xlfn.IFNA(VLOOKUP(Y70,F$11:J$1000,5,),IF(AND(W70=Current,V70&gt;DoC,MONTH(DoC)&lt;&gt;3),AB69,AB69+INDEX(K$11:K$1000,MATCH(Y70,F$11:F$1000,1)+1))))</f>
        <v/>
      </c>
      <c r="AC70" s="590">
        <f>IF(V70&lt;DoC,AB70*VLOOKUP(YEAR(V70),CPI!A:E,4,FALSE)/index,AB70*real_i^INT(BP70))</f>
        <v/>
      </c>
      <c r="AD70" s="590">
        <f>$AC70/12*Bonus</f>
        <v/>
      </c>
      <c r="AE70" s="590">
        <f>IF($E70="FL",MedSub*m^INT(BP70),MedSub)*IF(Summary!$C$31="Y",1,0)*(W70&lt;=Ret_Yr_pre)*(Summary!C$31="Y")</f>
        <v/>
      </c>
      <c r="AF70" s="590">
        <f>IF(Summary!$C$30="Y",IF(E70&lt;&gt;"PL",VLOOKUP(Current,'Housing Allowance'!$A:$B,2,),VLOOKUP(YEAR($V70),'Housing Allowance'!$A:$B,2,)),0)*(W70&lt;=Ret_Yr_pre)</f>
        <v/>
      </c>
      <c r="AG70" s="590">
        <f>AC70*overtime</f>
        <v/>
      </c>
      <c r="AH70" s="590">
        <f>AC70*allow_1</f>
        <v/>
      </c>
      <c r="AI70" s="590">
        <f>(AB70&lt;&gt;0)*12*allow_2</f>
        <v/>
      </c>
      <c r="AJ70" s="590" t="n"/>
      <c r="AK70" s="581">
        <f>IF(YEAR(W70)&lt;=Ret_Yr_pre,SUM(AC70:AJ70),0)*IF($W70=Ret_Yr_pre,X70,1)</f>
        <v/>
      </c>
      <c r="AL70" s="581">
        <f>IF($W70&gt;=Ret_Yr_pre,pens_Pre*(GEPF_pre="Y"),0)*IF($W70=Ret_Yr_pre,1-$X70,1)*IF(Ret_Yr_pre&lt;Current,(_xlfn.IFNA(VLOOKUP($D70,CPI!$A:$E,2,FALSE),VLOOKUP(Current,CPI!$A:$E,2,FALSE))/VLOOKUP(Ret_Yr_pre,CPI!$A:$E,2,FALSE)),1)</f>
        <v/>
      </c>
      <c r="AM70" s="590">
        <f>$AC70*ee*IF($W70=Ret_Yr_pre,$X70,1)</f>
        <v/>
      </c>
      <c r="AN70" s="590">
        <f>$AC70*er*IF($W70=Ret_Yr_pre,$X70,1)</f>
        <v/>
      </c>
      <c r="AO70" s="590">
        <f>IF('LOE Sc1'!$W70=Ret_Yr_pre,Gratuity_Pre*(GEPF_pre="Y"),0)</f>
        <v/>
      </c>
      <c r="AP70" s="581">
        <f>AK70+AL70-$AM70-AN70*(GEPF_pre="Y")</f>
        <v/>
      </c>
      <c r="AQ70" s="590">
        <f>IF(DF70&lt;0,0,DF70)</f>
        <v/>
      </c>
      <c r="AR70" s="581">
        <f>(AP70-AQ70+AM70*(AM$7="Y")+AN70*(AN$7="Y"))*IF(W70&lt;Ret_Yr_pre,X70,1)+AO70</f>
        <v/>
      </c>
      <c r="AS70" s="595" t="n"/>
      <c r="AT70" s="6">
        <f>V70</f>
        <v/>
      </c>
      <c r="AU70" s="31">
        <f>W70</f>
        <v/>
      </c>
      <c r="AV70" s="598">
        <f>IF(AU70=Current,ROUND((AT70-AT69)/365.25,5),_xlfn.IFNA(INDEX(Summary!$A$55:$A$72,MATCH('LOE Sc1'!AU70,Summary!$C$55:$C$72,0)),IF(AU70=Ret_Yr_post,ROUND((DoR_Post-AT69)/365.25,5),ROUND((AT70-AT69)/365.25,2))))</f>
        <v/>
      </c>
      <c r="AW70" s="55">
        <f>Y70</f>
        <v/>
      </c>
      <c r="AX70" s="26">
        <f t="array" ref="AX70">IF(AU70&gt;Ret_Yr_post,0,_xlfn.IFNA(VLOOKUP(AW70,N$11:S$1000,5,),IF(AND(AU70=Current,AT70&gt;DoC,MONTH(DoC)&lt;&gt;3),AX69,AX69+INDEX(S$11:S$1000,MATCH(AW70,N$11:N$1000,1)+1))))</f>
        <v/>
      </c>
      <c r="AY70" s="590">
        <f>IF($V70&lt;DoC,AX70*VLOOKUP(YEAR($V70),CPI_Table,4,FALSE)/index,AX70*real_i^INT(BP70))</f>
        <v/>
      </c>
      <c r="AZ70" s="590">
        <f>$AY70/12*Bonus_Post*($AW70&lt;=RetAge_Post)</f>
        <v/>
      </c>
      <c r="BA70" s="590">
        <f>IF($E70="FL",MedSub*m^INT(BP70),MedSub)*IF(Summary!$C$81="Y",1,0)*($AU70&lt;=Ret_Yr_post)*(Summary!$C$81="Y")</f>
        <v/>
      </c>
      <c r="BB70" s="590">
        <f>IF(Summary!$C$80="Y",IF($E70&lt;&gt;"PL",VLOOKUP(Current,'Housing Allowance'!$A:$B,2,),VLOOKUP(YEAR($AT70),'Housing Allowance'!$A:$B,2,)),0)*($AU70&lt;=Ret_Yr_post)</f>
        <v/>
      </c>
      <c r="BC70" s="590">
        <f>AY70*overtime_post</f>
        <v/>
      </c>
      <c r="BD70" s="590">
        <f>$AY70*allow_1_post</f>
        <v/>
      </c>
      <c r="BE70" s="590">
        <f>($AY70&lt;&gt;0)*allow_2_post*12</f>
        <v/>
      </c>
      <c r="BF70" s="590" t="n"/>
      <c r="BG70" s="581">
        <f>IF(YEAR($V70)&lt;=Ret_Yr_post,SUM(AY70:BF70),0)*IF($W70=Ret_Yr_post,AV70,1)</f>
        <v/>
      </c>
      <c r="BH70" s="581">
        <f>IF($W70&gt;=Ret_Yr_post,pens_Post*(GEPF_pre="Y"),0)*IF($W70=Ret_Yr_post,1-$AV70,1)*IF(Ret_Yr_post&lt;Current,(_xlfn.IFNA(VLOOKUP($D70,CPI!$A:$E,2,FALSE),VLOOKUP(Current,CPI!$A:$E,2,FALSE))/VLOOKUP(Ret_Yr_post,CPI!$A:$E,2,FALSE)),1)</f>
        <v/>
      </c>
      <c r="BI70" s="590">
        <f>$AY70*ee_post*IF($W70=Ret_Yr_post,$AV70,1)</f>
        <v/>
      </c>
      <c r="BJ70" s="590">
        <f>$AY70*er_post*IF($W70=Ret_Yr_post,$AV70,1)</f>
        <v/>
      </c>
      <c r="BK70" s="590">
        <f>IF('LOE Sc1'!$W70=Ret_Yr_post,Gratuity_Post*(GEPF_post="Y"),0)</f>
        <v/>
      </c>
      <c r="BL70" s="581">
        <f>BG70+BH70-BI70-BJ70*(GEPF_post="Y")</f>
        <v/>
      </c>
      <c r="BM70" s="590">
        <f>IF(DM70&lt;0,0,DM70)</f>
        <v/>
      </c>
      <c r="BN70" s="581">
        <f>(BL70-BM70+BI70*(BI$7="Y")+BJ70*(BJ$7="Y"))*IF($W70&lt;Ret_Yr_post,AV70,1)+BK70</f>
        <v/>
      </c>
      <c r="BO70" s="591" t="n"/>
      <c r="BP70" s="592">
        <f>IF($E70="FL",IF($X70&lt;=DoC,DATEDIF(DoC,$V70,"M")/12,0),0)</f>
        <v/>
      </c>
      <c r="BQ70" s="592">
        <f>IF($E70="FL",(1+CPI)^INT(BP70),0)</f>
        <v/>
      </c>
      <c r="BR70" s="592">
        <f>IF($E70="FL",IF(($BP70-0.5)&gt;=0,1/(1+d)^($BP70-0.5),1/(1+d)^($BP70)),0)</f>
        <v/>
      </c>
      <c r="BS70" s="592" t="n"/>
      <c r="BT70" s="25">
        <f>IF(gender="M",VLOOKUP($Y70+pre_mort+IF(MONTH(DoC)&lt;MONTH(DoB),IF(MONTH(DoC)&lt;3,0,-1),IF(MONTH(DoB)&lt;3,-1,0)),'SALT LIFE TABLES'!$A$7:$E$106,2),VLOOKUP($Y70+pre_mort+IF(MONTH(DoC)&lt;MONTH(DoB),IF(MONTH(DoC)&lt;3,0,-1),IF(MONTH(DoB)&lt;3,-1,0)),'SALT LIFE TABLES'!$A$7:$E$106,4))</f>
        <v/>
      </c>
      <c r="BU70" s="592">
        <f>IF($E70="PL",1,BT70/BU$7)</f>
        <v/>
      </c>
      <c r="BV70" s="593" t="n"/>
      <c r="BW70" s="25">
        <f>IF(gender="M",VLOOKUP($Y70+post_mort+IF(MONTH(DoC)&lt;MONTH(DoB),IF(MONTH(DoC)&lt;3,0,-1),IF(MONTH(DoB)&lt;3,-1,0)),'SALT LIFE TABLES'!$A$7:$E$106,2),VLOOKUP($Y70+post_mort+IF(MONTH(DoC)&lt;MONTH(DoB),IF(MONTH(DoC)&lt;3,0,-1),IF(MONTH(DoB)&lt;3,-1,0)),'SALT LIFE TABLES'!$A$7:$E$106,4))</f>
        <v/>
      </c>
      <c r="BX70" s="592">
        <f>IF($E70="PL",1,BW70/BX$7)</f>
        <v/>
      </c>
      <c r="BY70" s="594" t="n"/>
      <c r="BZ70" s="592" t="n"/>
      <c r="CA70" s="592">
        <f>IF($E70="FL",$AR70*$BQ70*$BR70*$BU70,$AR70)</f>
        <v/>
      </c>
      <c r="CB70" s="592">
        <f>IF($E70="FL",$BN70*$BQ70*$BR70*$BX70,$BN70)</f>
        <v/>
      </c>
      <c r="CC70" s="592" t="n"/>
      <c r="CD70" s="592">
        <f>IF($E70="FL",$CA70*(1-pre_FL),$CA70*(1-pre_PL))</f>
        <v/>
      </c>
      <c r="CE70" s="592">
        <f>IF($E70="FL",$CB70*(1-post_FL),$CB70*(1-post_PL))</f>
        <v/>
      </c>
      <c r="CF70" s="592" t="n"/>
      <c r="CG70" s="599">
        <f>CD70-CE70</f>
        <v/>
      </c>
      <c r="CH70" s="599">
        <f>MIN(CG70,IF(W70=Ret_Yr_pre,1,$X70)*Cap)</f>
        <v/>
      </c>
      <c r="CI70" s="128" t="n"/>
      <c r="CJ70" s="37">
        <f>IF(D70&gt;Current,Current,D70)</f>
        <v/>
      </c>
      <c r="CK70" s="37">
        <f>MATCH($CJ70,Tax_Tables[Tax Year],0)</f>
        <v/>
      </c>
      <c r="CL70" s="600" t="n">
        <v>0</v>
      </c>
      <c r="CM70" s="600">
        <f t="array" ref="CM70">INDEX(Tax_Tables[[Limits]:[Limits]],$CK70+CM$8)</f>
        <v/>
      </c>
      <c r="CN70" s="600">
        <f t="array" ref="CN70">INDEX(Tax_Tables[[Limits]:[Limits]],$CK70+CN$8)</f>
        <v/>
      </c>
      <c r="CO70" s="600">
        <f t="array" ref="CO70">INDEX(Tax_Tables[[Limits]:[Limits]],$CK70+CO$8)</f>
        <v/>
      </c>
      <c r="CP70" s="600">
        <f t="array" ref="CP70">INDEX(Tax_Tables[[Limits]:[Limits]],$CK70+CP$8)</f>
        <v/>
      </c>
      <c r="CQ70" s="600">
        <f t="array" ref="CQ70">INDEX(Tax_Tables[[Limits]:[Limits]],$CK70+CQ$8)</f>
        <v/>
      </c>
      <c r="CR70" s="600">
        <f t="array" ref="CR70">INDEX(Tax_Tables[[Limits]:[Limits]],$CK70+CR$8)</f>
        <v/>
      </c>
      <c r="CS70" s="37">
        <f>INDEX(Rebate[&lt;65],MATCH($CJ70,Rebate[[Tax Year]:[Tax Year]],0))</f>
        <v/>
      </c>
      <c r="CT70" s="37">
        <f>INDEX(Rebate[&lt;75],MATCH($CJ70,Rebate[[Tax Year]:[Tax Year]],0))</f>
        <v/>
      </c>
      <c r="CU70" s="37">
        <f>INDEX(Rebate[&gt;75],MATCH($CJ70,Rebate[[Tax Year]:[Tax Year]],0))</f>
        <v/>
      </c>
      <c r="CV70" s="37">
        <f>INDEX(Tax_Credit[Principal],MATCH($CJ70,Tax_Credit[[Tax Year]:[Tax Year]],0))</f>
        <v/>
      </c>
      <c r="CW70" s="37">
        <f>INDEX(Tax_Credit[First Dependant],MATCH($CJ70,Tax_Credit[[Tax Year]:[Tax Year]],0))</f>
        <v/>
      </c>
      <c r="CX70" s="37">
        <f>INDEX(Tax_Credit[Each Additional],MATCH($CJ70,Tax_Credit[[Tax Year]:[Tax Year]],0))</f>
        <v/>
      </c>
      <c r="CY70" s="484">
        <f>Y70</f>
        <v/>
      </c>
      <c r="CZ70" s="601">
        <f>AP70</f>
        <v/>
      </c>
      <c r="DA70" s="37">
        <f t="array" ref="DA70">INDEX($CL70:$CR70,0,MATCH($CZ70,$CL70:$CR70,1))</f>
        <v/>
      </c>
      <c r="DB70" s="37">
        <f t="array" ref="DB70">IFERROR(INDEX(Tax_Tables[Percentages],$CK70+MATCH($DA70,$CL70:$CR70,0)-1),"")</f>
        <v/>
      </c>
      <c r="DC70" s="37">
        <f t="array" ref="DC70">IFERROR(INDEX(Tax_Tables[Tax],$CK70+MATCH($DA70,$CL70:$CR70,0)-1),"")</f>
        <v/>
      </c>
      <c r="DD70" s="37">
        <f>IF(CY70&lt;65,CS70,IF(CY70&lt;75,CT70,CU70))</f>
        <v/>
      </c>
      <c r="DE70" s="37">
        <f>CV70*(Summary!$C$31="Y")+(Summary!$C$31="Y")*(CW70*(Pre_MDep&gt;=1)+CX70*MAX(Pre_MDep-1,0))</f>
        <v/>
      </c>
      <c r="DF70" s="599">
        <f>IFERROR(MAX(DB70*(CZ70-DA70)+DC70-DD70-DE70*12,0),"")</f>
        <v/>
      </c>
      <c r="DG70" s="602" t="n"/>
      <c r="DH70" s="601">
        <f>BL70</f>
        <v/>
      </c>
      <c r="DI70" s="37">
        <f t="array" ref="DI70">INDEX($CL70:$CR70,0,MATCH($DH70,$CL70:$CR70,1))</f>
        <v/>
      </c>
      <c r="DJ70" s="37">
        <f t="array" ref="DJ70">IFERROR(INDEX(Tax_Tables[Percentages],$CK70+MATCH($DI70,$CL70:$CR70,0)-1),"")</f>
        <v/>
      </c>
      <c r="DK70" s="37">
        <f t="array" ref="DK70">IFERROR(INDEX(Tax_Tables[Tax],$CK70+MATCH($DI70,$CL70:$CR70,0)-1),"")</f>
        <v/>
      </c>
      <c r="DL70" s="37">
        <f>CV70*(Summary!$C$81="Y")+(Summary!$C$81="Y")*(CW70*(Post_MDep&gt;=1)+CX70*MAX(Post_MDep-1,0))</f>
        <v/>
      </c>
      <c r="DM70" s="599">
        <f>IFERROR(MAX(DJ70*(DH70-DI70)+DK70-DD70-DL70*12,0),"")</f>
        <v/>
      </c>
      <c r="DN70" s="601" t="n"/>
      <c r="DO70" s="37" t="n"/>
      <c r="DP70" s="37" t="n"/>
      <c r="DQ70" s="37" t="n"/>
      <c r="DR70" s="37" t="n"/>
      <c r="DS70" s="37" t="n"/>
      <c r="DT70" s="37" t="n"/>
      <c r="DU70" s="37" t="n"/>
      <c r="DV70" s="37" t="n"/>
      <c r="DW70" s="37" t="n"/>
      <c r="DX70" s="599" t="n"/>
      <c r="DY70" s="131" t="n"/>
      <c r="DZ70" s="601" t="n"/>
      <c r="EA70" s="37" t="n"/>
      <c r="EB70" s="37" t="n"/>
      <c r="EC70" s="37" t="n"/>
      <c r="ED70" s="599" t="n"/>
      <c r="EE70" s="595" t="n"/>
      <c r="EF70" s="25" t="n"/>
    </row>
    <row r="71">
      <c r="C71" s="596">
        <f>C70+D71-D70</f>
        <v/>
      </c>
      <c r="D71" s="160">
        <f>AU71</f>
        <v/>
      </c>
      <c r="E71" s="87">
        <f>IF(DoC=V71,"Calc Date",IF(V71&lt;DoC,"PL","FL"))</f>
        <v/>
      </c>
      <c r="F71" s="310">
        <f>F70+1</f>
        <v/>
      </c>
      <c r="G71" s="31">
        <f>VLOOKUP(F71,C$10:D$148,2)</f>
        <v/>
      </c>
      <c r="H71" s="313">
        <f>H70</f>
        <v/>
      </c>
      <c r="I71" s="281">
        <f>I70</f>
        <v/>
      </c>
      <c r="J71" s="589">
        <f>I71*index/VLOOKUP($H71,CPI!A:E,4,FALSE)</f>
        <v/>
      </c>
      <c r="K71" s="589">
        <f>IF(L71="Linear",(J71-J70)/(G71-G70),0)</f>
        <v/>
      </c>
      <c r="L71" s="311" t="inlineStr">
        <is>
          <t>Flat</t>
        </is>
      </c>
      <c r="M71" s="137" t="n"/>
      <c r="N71" s="310">
        <f>N70+1</f>
        <v/>
      </c>
      <c r="O71" s="31">
        <f>O70+N71-N70</f>
        <v/>
      </c>
      <c r="P71" s="313">
        <f>P70</f>
        <v/>
      </c>
      <c r="Q71" s="281">
        <f>Q70</f>
        <v/>
      </c>
      <c r="R71" s="589">
        <f>Q71*index/VLOOKUP($P71,CPI!A:E,4,FALSE)</f>
        <v/>
      </c>
      <c r="S71" s="589">
        <f>IF(T71="Linear",(R71-R70)/(O71-O70),0)</f>
        <v/>
      </c>
      <c r="T71" s="311" t="inlineStr">
        <is>
          <t>Flat</t>
        </is>
      </c>
      <c r="U71" s="144" t="n"/>
      <c r="V71" s="6">
        <f>IF(AND($V70=DoA,MONTH(V70)&lt;3),DATE(YEAR(DoA),3,1),IF(AND(IFERROR(DATEDIF(V70,DoC,"M"),12)&lt;12,IFERROR(DATEDIF(V70,DoC,"M"),12)&gt;0),DoC,DATE(YEAR(V70)+(1-AND(YEAR(DoC)=Current,V70=DoC)-AND(V70=DoA,MONTH(V70)&lt;3)),3,1)))</f>
        <v/>
      </c>
      <c r="W71" s="31">
        <f>IF(V71=DoR_Pre,IF(MONTH(DoR_Pre)&gt;3,YEAR(DoR_Pre)+1,YEAR(DoR_Pre)),IF(MONTH(V71)&gt;3,Current,YEAR(V71)))</f>
        <v/>
      </c>
      <c r="X71" s="597">
        <f>IF(W71=Current,ROUND((V71-V70)/365.25,5),_xlfn.IFNA(INDEX(Summary!$A$5:$A$22,MATCH('LOE Sc1'!W71,Summary!$C$5:$C$22,0)),IF(W71=Ret_Yr_pre,ROUND((DoR_Pre-V70)/365.25,5),ROUND((V71-V70)/365.25,2))))</f>
        <v/>
      </c>
      <c r="Y71" s="55">
        <f>IF(AND(V71=DoC,MONTH(DoC)&lt;&gt;3),ROUNDDOWN(DATEDIF(DoB,V72,"M")/12,),ROUNDDOWN(DATEDIF(DoB,V71,"M")/12,))</f>
        <v/>
      </c>
      <c r="Z71" s="590" t="n"/>
      <c r="AA71" s="25">
        <f>MAX(RetAge_Pre-Y71,0)</f>
        <v/>
      </c>
      <c r="AB71" s="26">
        <f t="array" ref="AB71">IF(W71&gt;Ret_Yr_pre,0,_xlfn.IFNA(VLOOKUP(Y71,F$11:J$1000,5,),IF(AND(W71=Current,V71&gt;DoC,MONTH(DoC)&lt;&gt;3),AB70,AB70+INDEX(K$11:K$1000,MATCH(Y71,F$11:F$1000,1)+1))))</f>
        <v/>
      </c>
      <c r="AC71" s="590">
        <f>IF(V71&lt;DoC,AB71*VLOOKUP(YEAR(V71),CPI!A:E,4,FALSE)/index,AB71*real_i^INT(BP71))</f>
        <v/>
      </c>
      <c r="AD71" s="590">
        <f>$AC71/12*Bonus</f>
        <v/>
      </c>
      <c r="AE71" s="590">
        <f>IF($E71="FL",MedSub*m^INT(BP71),MedSub)*IF(Summary!$C$31="Y",1,0)*(W71&lt;=Ret_Yr_pre)*(Summary!C$31="Y")</f>
        <v/>
      </c>
      <c r="AF71" s="590">
        <f>IF(Summary!$C$30="Y",IF(E71&lt;&gt;"PL",VLOOKUP(Current,'Housing Allowance'!$A:$B,2,),VLOOKUP(YEAR($V71),'Housing Allowance'!$A:$B,2,)),0)*(W71&lt;=Ret_Yr_pre)</f>
        <v/>
      </c>
      <c r="AG71" s="590">
        <f>AC71*overtime</f>
        <v/>
      </c>
      <c r="AH71" s="590">
        <f>AC71*allow_1</f>
        <v/>
      </c>
      <c r="AI71" s="590">
        <f>(AB71&lt;&gt;0)*12*allow_2</f>
        <v/>
      </c>
      <c r="AJ71" s="590" t="n"/>
      <c r="AK71" s="581">
        <f>IF(YEAR(W71)&lt;=Ret_Yr_pre,SUM(AC71:AJ71),0)*IF($W71=Ret_Yr_pre,X71,1)</f>
        <v/>
      </c>
      <c r="AL71" s="581">
        <f>IF($W71&gt;=Ret_Yr_pre,pens_Pre*(GEPF_pre="Y"),0)*IF($W71=Ret_Yr_pre,1-$X71,1)*IF(Ret_Yr_pre&lt;Current,(_xlfn.IFNA(VLOOKUP($D71,CPI!$A:$E,2,FALSE),VLOOKUP(Current,CPI!$A:$E,2,FALSE))/VLOOKUP(Ret_Yr_pre,CPI!$A:$E,2,FALSE)),1)</f>
        <v/>
      </c>
      <c r="AM71" s="590">
        <f>$AC71*ee*IF($W71=Ret_Yr_pre,$X71,1)</f>
        <v/>
      </c>
      <c r="AN71" s="590">
        <f>$AC71*er*IF($W71=Ret_Yr_pre,$X71,1)</f>
        <v/>
      </c>
      <c r="AO71" s="590">
        <f>IF('LOE Sc1'!$W71=Ret_Yr_pre,Gratuity_Pre*(GEPF_pre="Y"),0)</f>
        <v/>
      </c>
      <c r="AP71" s="581">
        <f>AK71+AL71-$AM71-AN71*(GEPF_pre="Y")</f>
        <v/>
      </c>
      <c r="AQ71" s="590">
        <f>IF(DF71&lt;0,0,DF71)</f>
        <v/>
      </c>
      <c r="AR71" s="581">
        <f>(AP71-AQ71+AM71*(AM$7="Y")+AN71*(AN$7="Y"))*IF(W71&lt;Ret_Yr_pre,X71,1)+AO71</f>
        <v/>
      </c>
      <c r="AS71" s="595" t="n"/>
      <c r="AT71" s="6">
        <f>V71</f>
        <v/>
      </c>
      <c r="AU71" s="31">
        <f>W71</f>
        <v/>
      </c>
      <c r="AV71" s="598">
        <f>IF(AU71=Current,ROUND((AT71-AT70)/365.25,5),_xlfn.IFNA(INDEX(Summary!$A$55:$A$72,MATCH('LOE Sc1'!AU71,Summary!$C$55:$C$72,0)),IF(AU71=Ret_Yr_post,ROUND((DoR_Post-AT70)/365.25,5),ROUND((AT71-AT70)/365.25,2))))</f>
        <v/>
      </c>
      <c r="AW71" s="55">
        <f>Y71</f>
        <v/>
      </c>
      <c r="AX71" s="26">
        <f t="array" ref="AX71">IF(AU71&gt;Ret_Yr_post,0,_xlfn.IFNA(VLOOKUP(AW71,N$11:S$1000,5,),IF(AND(AU71=Current,AT71&gt;DoC,MONTH(DoC)&lt;&gt;3),AX70,AX70+INDEX(S$11:S$1000,MATCH(AW71,N$11:N$1000,1)+1))))</f>
        <v/>
      </c>
      <c r="AY71" s="590">
        <f>IF($V71&lt;DoC,AX71*VLOOKUP(YEAR($V71),CPI_Table,4,FALSE)/index,AX71*real_i^INT(BP71))</f>
        <v/>
      </c>
      <c r="AZ71" s="590">
        <f>$AY71/12*Bonus_Post*($AW71&lt;=RetAge_Post)</f>
        <v/>
      </c>
      <c r="BA71" s="590">
        <f>IF($E71="FL",MedSub*m^INT(BP71),MedSub)*IF(Summary!$C$81="Y",1,0)*($AU71&lt;=Ret_Yr_post)*(Summary!$C$81="Y")</f>
        <v/>
      </c>
      <c r="BB71" s="590">
        <f>IF(Summary!$C$80="Y",IF($E71&lt;&gt;"PL",VLOOKUP(Current,'Housing Allowance'!$A:$B,2,),VLOOKUP(YEAR($AT71),'Housing Allowance'!$A:$B,2,)),0)*($AU71&lt;=Ret_Yr_post)</f>
        <v/>
      </c>
      <c r="BC71" s="590">
        <f>AY71*overtime_post</f>
        <v/>
      </c>
      <c r="BD71" s="590">
        <f>$AY71*allow_1_post</f>
        <v/>
      </c>
      <c r="BE71" s="590">
        <f>($AY71&lt;&gt;0)*allow_2_post*12</f>
        <v/>
      </c>
      <c r="BF71" s="590" t="n"/>
      <c r="BG71" s="581">
        <f>IF(YEAR($V71)&lt;=Ret_Yr_post,SUM(AY71:BF71),0)*IF($W71=Ret_Yr_post,AV71,1)</f>
        <v/>
      </c>
      <c r="BH71" s="581">
        <f>IF($W71&gt;=Ret_Yr_post,pens_Post*(GEPF_pre="Y"),0)*IF($W71=Ret_Yr_post,1-$AV71,1)*IF(Ret_Yr_post&lt;Current,(_xlfn.IFNA(VLOOKUP($D71,CPI!$A:$E,2,FALSE),VLOOKUP(Current,CPI!$A:$E,2,FALSE))/VLOOKUP(Ret_Yr_post,CPI!$A:$E,2,FALSE)),1)</f>
        <v/>
      </c>
      <c r="BI71" s="590">
        <f>$AY71*ee_post*IF($W71=Ret_Yr_post,$AV71,1)</f>
        <v/>
      </c>
      <c r="BJ71" s="590">
        <f>$AY71*er_post*IF($W71=Ret_Yr_post,$AV71,1)</f>
        <v/>
      </c>
      <c r="BK71" s="590">
        <f>IF('LOE Sc1'!$W71=Ret_Yr_post,Gratuity_Post*(GEPF_post="Y"),0)</f>
        <v/>
      </c>
      <c r="BL71" s="581">
        <f>BG71+BH71-BI71-BJ71*(GEPF_post="Y")</f>
        <v/>
      </c>
      <c r="BM71" s="590">
        <f>IF(DM71&lt;0,0,DM71)</f>
        <v/>
      </c>
      <c r="BN71" s="581">
        <f>(BL71-BM71+BI71*(BI$7="Y")+BJ71*(BJ$7="Y"))*IF($W71&lt;Ret_Yr_post,AV71,1)+BK71</f>
        <v/>
      </c>
      <c r="BO71" s="591" t="n"/>
      <c r="BP71" s="592">
        <f>IF($E71="FL",IF($X71&lt;=DoC,DATEDIF(DoC,$V71,"M")/12,0),0)</f>
        <v/>
      </c>
      <c r="BQ71" s="592">
        <f>IF($E71="FL",(1+CPI)^INT(BP71),0)</f>
        <v/>
      </c>
      <c r="BR71" s="592">
        <f>IF($E71="FL",IF(($BP71-0.5)&gt;=0,1/(1+d)^($BP71-0.5),1/(1+d)^($BP71)),0)</f>
        <v/>
      </c>
      <c r="BS71" s="592" t="n"/>
      <c r="BT71" s="25">
        <f>IF(gender="M",VLOOKUP($Y71+pre_mort+IF(MONTH(DoC)&lt;MONTH(DoB),IF(MONTH(DoC)&lt;3,0,-1),IF(MONTH(DoB)&lt;3,-1,0)),'SALT LIFE TABLES'!$A$7:$E$106,2),VLOOKUP($Y71+pre_mort+IF(MONTH(DoC)&lt;MONTH(DoB),IF(MONTH(DoC)&lt;3,0,-1),IF(MONTH(DoB)&lt;3,-1,0)),'SALT LIFE TABLES'!$A$7:$E$106,4))</f>
        <v/>
      </c>
      <c r="BU71" s="592">
        <f>IF($E71="PL",1,BT71/BU$7)</f>
        <v/>
      </c>
      <c r="BV71" s="593" t="n"/>
      <c r="BW71" s="25">
        <f>IF(gender="M",VLOOKUP($Y71+post_mort+IF(MONTH(DoC)&lt;MONTH(DoB),IF(MONTH(DoC)&lt;3,0,-1),IF(MONTH(DoB)&lt;3,-1,0)),'SALT LIFE TABLES'!$A$7:$E$106,2),VLOOKUP($Y71+post_mort+IF(MONTH(DoC)&lt;MONTH(DoB),IF(MONTH(DoC)&lt;3,0,-1),IF(MONTH(DoB)&lt;3,-1,0)),'SALT LIFE TABLES'!$A$7:$E$106,4))</f>
        <v/>
      </c>
      <c r="BX71" s="592">
        <f>IF($E71="PL",1,BW71/BX$7)</f>
        <v/>
      </c>
      <c r="BY71" s="594" t="n"/>
      <c r="BZ71" s="592" t="n"/>
      <c r="CA71" s="592">
        <f>IF($E71="FL",$AR71*$BQ71*$BR71*$BU71,$AR71)</f>
        <v/>
      </c>
      <c r="CB71" s="592">
        <f>IF($E71="FL",$BN71*$BQ71*$BR71*$BX71,$BN71)</f>
        <v/>
      </c>
      <c r="CC71" s="592" t="n"/>
      <c r="CD71" s="592">
        <f>IF($E71="FL",$CA71*(1-pre_FL),$CA71*(1-pre_PL))</f>
        <v/>
      </c>
      <c r="CE71" s="592">
        <f>IF($E71="FL",$CB71*(1-post_FL),$CB71*(1-post_PL))</f>
        <v/>
      </c>
      <c r="CF71" s="592" t="n"/>
      <c r="CG71" s="599">
        <f>CD71-CE71</f>
        <v/>
      </c>
      <c r="CH71" s="599">
        <f>MIN(CG71,IF(W71=Ret_Yr_pre,1,$X71)*Cap)</f>
        <v/>
      </c>
      <c r="CI71" s="128" t="n"/>
      <c r="CJ71" s="37">
        <f>IF(D71&gt;Current,Current,D71)</f>
        <v/>
      </c>
      <c r="CK71" s="37">
        <f>MATCH($CJ71,Tax_Tables[Tax Year],0)</f>
        <v/>
      </c>
      <c r="CL71" s="600" t="n">
        <v>0</v>
      </c>
      <c r="CM71" s="600">
        <f t="array" ref="CM71">INDEX(Tax_Tables[[Limits]:[Limits]],$CK71+CM$8)</f>
        <v/>
      </c>
      <c r="CN71" s="600">
        <f t="array" ref="CN71">INDEX(Tax_Tables[[Limits]:[Limits]],$CK71+CN$8)</f>
        <v/>
      </c>
      <c r="CO71" s="600">
        <f t="array" ref="CO71">INDEX(Tax_Tables[[Limits]:[Limits]],$CK71+CO$8)</f>
        <v/>
      </c>
      <c r="CP71" s="600">
        <f t="array" ref="CP71">INDEX(Tax_Tables[[Limits]:[Limits]],$CK71+CP$8)</f>
        <v/>
      </c>
      <c r="CQ71" s="600">
        <f t="array" ref="CQ71">INDEX(Tax_Tables[[Limits]:[Limits]],$CK71+CQ$8)</f>
        <v/>
      </c>
      <c r="CR71" s="600">
        <f t="array" ref="CR71">INDEX(Tax_Tables[[Limits]:[Limits]],$CK71+CR$8)</f>
        <v/>
      </c>
      <c r="CS71" s="37">
        <f>INDEX(Rebate[&lt;65],MATCH($CJ71,Rebate[[Tax Year]:[Tax Year]],0))</f>
        <v/>
      </c>
      <c r="CT71" s="37">
        <f>INDEX(Rebate[&lt;75],MATCH($CJ71,Rebate[[Tax Year]:[Tax Year]],0))</f>
        <v/>
      </c>
      <c r="CU71" s="37">
        <f>INDEX(Rebate[&gt;75],MATCH($CJ71,Rebate[[Tax Year]:[Tax Year]],0))</f>
        <v/>
      </c>
      <c r="CV71" s="37">
        <f>INDEX(Tax_Credit[Principal],MATCH($CJ71,Tax_Credit[[Tax Year]:[Tax Year]],0))</f>
        <v/>
      </c>
      <c r="CW71" s="37">
        <f>INDEX(Tax_Credit[First Dependant],MATCH($CJ71,Tax_Credit[[Tax Year]:[Tax Year]],0))</f>
        <v/>
      </c>
      <c r="CX71" s="37">
        <f>INDEX(Tax_Credit[Each Additional],MATCH($CJ71,Tax_Credit[[Tax Year]:[Tax Year]],0))</f>
        <v/>
      </c>
      <c r="CY71" s="484">
        <f>Y71</f>
        <v/>
      </c>
      <c r="CZ71" s="601">
        <f>AP71</f>
        <v/>
      </c>
      <c r="DA71" s="37">
        <f t="array" ref="DA71">INDEX($CL71:$CR71,0,MATCH($CZ71,$CL71:$CR71,1))</f>
        <v/>
      </c>
      <c r="DB71" s="37">
        <f t="array" ref="DB71">IFERROR(INDEX(Tax_Tables[Percentages],$CK71+MATCH($DA71,$CL71:$CR71,0)-1),"")</f>
        <v/>
      </c>
      <c r="DC71" s="37">
        <f t="array" ref="DC71">IFERROR(INDEX(Tax_Tables[Tax],$CK71+MATCH($DA71,$CL71:$CR71,0)-1),"")</f>
        <v/>
      </c>
      <c r="DD71" s="37">
        <f>IF(CY71&lt;65,CS71,IF(CY71&lt;75,CT71,CU71))</f>
        <v/>
      </c>
      <c r="DE71" s="37">
        <f>CV71*(Summary!$C$31="Y")+(Summary!$C$31="Y")*(CW71*(Pre_MDep&gt;=1)+CX71*MAX(Pre_MDep-1,0))</f>
        <v/>
      </c>
      <c r="DF71" s="599">
        <f>IFERROR(MAX(DB71*(CZ71-DA71)+DC71-DD71-DE71*12,0),"")</f>
        <v/>
      </c>
      <c r="DG71" s="602" t="n"/>
      <c r="DH71" s="601">
        <f>BL71</f>
        <v/>
      </c>
      <c r="DI71" s="37">
        <f t="array" ref="DI71">INDEX($CL71:$CR71,0,MATCH($DH71,$CL71:$CR71,1))</f>
        <v/>
      </c>
      <c r="DJ71" s="37">
        <f t="array" ref="DJ71">IFERROR(INDEX(Tax_Tables[Percentages],$CK71+MATCH($DI71,$CL71:$CR71,0)-1),"")</f>
        <v/>
      </c>
      <c r="DK71" s="37">
        <f t="array" ref="DK71">IFERROR(INDEX(Tax_Tables[Tax],$CK71+MATCH($DI71,$CL71:$CR71,0)-1),"")</f>
        <v/>
      </c>
      <c r="DL71" s="37">
        <f>CV71*(Summary!$C$81="Y")+(Summary!$C$81="Y")*(CW71*(Post_MDep&gt;=1)+CX71*MAX(Post_MDep-1,0))</f>
        <v/>
      </c>
      <c r="DM71" s="599">
        <f>IFERROR(MAX(DJ71*(DH71-DI71)+DK71-DD71-DL71*12,0),"")</f>
        <v/>
      </c>
      <c r="DN71" s="601" t="n"/>
      <c r="DO71" s="37" t="n"/>
      <c r="DP71" s="37" t="n"/>
      <c r="DQ71" s="37" t="n"/>
      <c r="DR71" s="37" t="n"/>
      <c r="DS71" s="37" t="n"/>
      <c r="DT71" s="37" t="n"/>
      <c r="DU71" s="37" t="n"/>
      <c r="DV71" s="37" t="n"/>
      <c r="DW71" s="37" t="n"/>
      <c r="DX71" s="599" t="n"/>
      <c r="DY71" s="131" t="n"/>
      <c r="DZ71" s="601" t="n"/>
      <c r="EA71" s="37" t="n"/>
      <c r="EB71" s="37" t="n"/>
      <c r="EC71" s="37" t="n"/>
      <c r="ED71" s="599" t="n"/>
      <c r="EE71" s="595" t="n"/>
      <c r="EF71" s="25" t="n"/>
    </row>
    <row r="72">
      <c r="C72" s="596">
        <f>C71+D72-D71</f>
        <v/>
      </c>
      <c r="D72" s="160">
        <f>AU72</f>
        <v/>
      </c>
      <c r="E72" s="87">
        <f>IF(DoC=V72,"Calc Date",IF(V72&lt;DoC,"PL","FL"))</f>
        <v/>
      </c>
      <c r="F72" s="310">
        <f>F71+1</f>
        <v/>
      </c>
      <c r="G72" s="31">
        <f>VLOOKUP(F72,C$10:D$148,2)</f>
        <v/>
      </c>
      <c r="H72" s="313">
        <f>H71</f>
        <v/>
      </c>
      <c r="I72" s="281">
        <f>I71</f>
        <v/>
      </c>
      <c r="J72" s="589">
        <f>I72*index/VLOOKUP($H72,CPI!A:E,4,FALSE)</f>
        <v/>
      </c>
      <c r="K72" s="589">
        <f>IF(L72="Linear",(J72-J71)/(G72-G71),0)</f>
        <v/>
      </c>
      <c r="L72" s="311" t="inlineStr">
        <is>
          <t>Flat</t>
        </is>
      </c>
      <c r="M72" s="137" t="n"/>
      <c r="N72" s="310">
        <f>N71+1</f>
        <v/>
      </c>
      <c r="O72" s="31">
        <f>O71+N72-N71</f>
        <v/>
      </c>
      <c r="P72" s="313">
        <f>P71</f>
        <v/>
      </c>
      <c r="Q72" s="281">
        <f>Q71</f>
        <v/>
      </c>
      <c r="R72" s="589">
        <f>Q72*index/VLOOKUP($P72,CPI!A:E,4,FALSE)</f>
        <v/>
      </c>
      <c r="S72" s="589">
        <f>IF(T72="Linear",(R72-R71)/(O72-O71),0)</f>
        <v/>
      </c>
      <c r="T72" s="311" t="inlineStr">
        <is>
          <t>Flat</t>
        </is>
      </c>
      <c r="U72" s="144" t="n"/>
      <c r="V72" s="6">
        <f>IF(AND($V71=DoA,MONTH(V71)&lt;3),DATE(YEAR(DoA),3,1),IF(AND(IFERROR(DATEDIF(V71,DoC,"M"),12)&lt;12,IFERROR(DATEDIF(V71,DoC,"M"),12)&gt;0),DoC,DATE(YEAR(V71)+(1-AND(YEAR(DoC)=Current,V71=DoC)-AND(V71=DoA,MONTH(V71)&lt;3)),3,1)))</f>
        <v/>
      </c>
      <c r="W72" s="31">
        <f>IF(V72=DoR_Pre,IF(MONTH(DoR_Pre)&gt;3,YEAR(DoR_Pre)+1,YEAR(DoR_Pre)),IF(MONTH(V72)&gt;3,Current,YEAR(V72)))</f>
        <v/>
      </c>
      <c r="X72" s="597">
        <f>IF(W72=Current,ROUND((V72-V71)/365.25,5),_xlfn.IFNA(INDEX(Summary!$A$5:$A$22,MATCH('LOE Sc1'!W72,Summary!$C$5:$C$22,0)),IF(W72=Ret_Yr_pre,ROUND((DoR_Pre-V71)/365.25,5),ROUND((V72-V71)/365.25,2))))</f>
        <v/>
      </c>
      <c r="Y72" s="55">
        <f>IF(AND(V72=DoC,MONTH(DoC)&lt;&gt;3),ROUNDDOWN(DATEDIF(DoB,V73,"M")/12,),ROUNDDOWN(DATEDIF(DoB,V72,"M")/12,))</f>
        <v/>
      </c>
      <c r="Z72" s="590" t="n"/>
      <c r="AA72" s="25">
        <f>MAX(RetAge_Pre-Y72,0)</f>
        <v/>
      </c>
      <c r="AB72" s="26">
        <f t="array" ref="AB72">IF(W72&gt;Ret_Yr_pre,0,_xlfn.IFNA(VLOOKUP(Y72,F$11:J$1000,5,),IF(AND(W72=Current,V72&gt;DoC,MONTH(DoC)&lt;&gt;3),AB71,AB71+INDEX(K$11:K$1000,MATCH(Y72,F$11:F$1000,1)+1))))</f>
        <v/>
      </c>
      <c r="AC72" s="590">
        <f>IF(V72&lt;DoC,AB72*VLOOKUP(YEAR(V72),CPI!A:E,4,FALSE)/index,AB72*real_i^INT(BP72))</f>
        <v/>
      </c>
      <c r="AD72" s="590">
        <f>$AC72/12*Bonus</f>
        <v/>
      </c>
      <c r="AE72" s="590">
        <f>IF($E72="FL",MedSub*m^INT(BP72),MedSub)*IF(Summary!$C$31="Y",1,0)*(W72&lt;=Ret_Yr_pre)*(Summary!C$31="Y")</f>
        <v/>
      </c>
      <c r="AF72" s="590">
        <f>IF(Summary!$C$30="Y",IF(E72&lt;&gt;"PL",VLOOKUP(Current,'Housing Allowance'!$A:$B,2,),VLOOKUP(YEAR($V72),'Housing Allowance'!$A:$B,2,)),0)*(W72&lt;=Ret_Yr_pre)</f>
        <v/>
      </c>
      <c r="AG72" s="590">
        <f>AC72*overtime</f>
        <v/>
      </c>
      <c r="AH72" s="590">
        <f>AC72*allow_1</f>
        <v/>
      </c>
      <c r="AI72" s="590">
        <f>(AB72&lt;&gt;0)*12*allow_2</f>
        <v/>
      </c>
      <c r="AJ72" s="590" t="n"/>
      <c r="AK72" s="581">
        <f>IF(YEAR(W72)&lt;=Ret_Yr_pre,SUM(AC72:AJ72),0)*IF($W72=Ret_Yr_pre,X72,1)</f>
        <v/>
      </c>
      <c r="AL72" s="581">
        <f>IF($W72&gt;=Ret_Yr_pre,pens_Pre*(GEPF_pre="Y"),0)*IF($W72=Ret_Yr_pre,1-$X72,1)*IF(Ret_Yr_pre&lt;Current,(_xlfn.IFNA(VLOOKUP($D72,CPI!$A:$E,2,FALSE),VLOOKUP(Current,CPI!$A:$E,2,FALSE))/VLOOKUP(Ret_Yr_pre,CPI!$A:$E,2,FALSE)),1)</f>
        <v/>
      </c>
      <c r="AM72" s="590">
        <f>$AC72*ee*IF($W72=Ret_Yr_pre,$X72,1)</f>
        <v/>
      </c>
      <c r="AN72" s="590">
        <f>$AC72*er*IF($W72=Ret_Yr_pre,$X72,1)</f>
        <v/>
      </c>
      <c r="AO72" s="590">
        <f>IF('LOE Sc1'!$W72=Ret_Yr_pre,Gratuity_Pre*(GEPF_pre="Y"),0)</f>
        <v/>
      </c>
      <c r="AP72" s="581">
        <f>AK72+AL72-$AM72-AN72*(GEPF_pre="Y")</f>
        <v/>
      </c>
      <c r="AQ72" s="590">
        <f>IF(DF72&lt;0,0,DF72)</f>
        <v/>
      </c>
      <c r="AR72" s="581">
        <f>(AP72-AQ72+AM72*(AM$7="Y")+AN72*(AN$7="Y"))*IF(W72&lt;Ret_Yr_pre,X72,1)+AO72</f>
        <v/>
      </c>
      <c r="AS72" s="595" t="n"/>
      <c r="AT72" s="6">
        <f>V72</f>
        <v/>
      </c>
      <c r="AU72" s="31">
        <f>W72</f>
        <v/>
      </c>
      <c r="AV72" s="598">
        <f>IF(AU72=Current,ROUND((AT72-AT71)/365.25,5),_xlfn.IFNA(INDEX(Summary!$A$55:$A$72,MATCH('LOE Sc1'!AU72,Summary!$C$55:$C$72,0)),IF(AU72=Ret_Yr_post,ROUND((DoR_Post-AT71)/365.25,5),ROUND((AT72-AT71)/365.25,2))))</f>
        <v/>
      </c>
      <c r="AW72" s="55">
        <f>Y72</f>
        <v/>
      </c>
      <c r="AX72" s="26">
        <f t="array" ref="AX72">IF(AU72&gt;Ret_Yr_post,0,_xlfn.IFNA(VLOOKUP(AW72,N$11:S$1000,5,),IF(AND(AU72=Current,AT72&gt;DoC,MONTH(DoC)&lt;&gt;3),AX71,AX71+INDEX(S$11:S$1000,MATCH(AW72,N$11:N$1000,1)+1))))</f>
        <v/>
      </c>
      <c r="AY72" s="590">
        <f>IF($V72&lt;DoC,AX72*VLOOKUP(YEAR($V72),CPI_Table,4,FALSE)/index,AX72*real_i^INT(BP72))</f>
        <v/>
      </c>
      <c r="AZ72" s="590">
        <f>$AY72/12*Bonus_Post*($AW72&lt;=RetAge_Post)</f>
        <v/>
      </c>
      <c r="BA72" s="590">
        <f>IF($E72="FL",MedSub*m^INT(BP72),MedSub)*IF(Summary!$C$81="Y",1,0)*($AU72&lt;=Ret_Yr_post)*(Summary!$C$81="Y")</f>
        <v/>
      </c>
      <c r="BB72" s="590">
        <f>IF(Summary!$C$80="Y",IF($E72&lt;&gt;"PL",VLOOKUP(Current,'Housing Allowance'!$A:$B,2,),VLOOKUP(YEAR($AT72),'Housing Allowance'!$A:$B,2,)),0)*($AU72&lt;=Ret_Yr_post)</f>
        <v/>
      </c>
      <c r="BC72" s="590">
        <f>AY72*overtime_post</f>
        <v/>
      </c>
      <c r="BD72" s="590">
        <f>$AY72*allow_1_post</f>
        <v/>
      </c>
      <c r="BE72" s="590">
        <f>($AY72&lt;&gt;0)*allow_2_post*12</f>
        <v/>
      </c>
      <c r="BF72" s="590" t="n"/>
      <c r="BG72" s="581">
        <f>IF(YEAR($V72)&lt;=Ret_Yr_post,SUM(AY72:BF72),0)*IF($W72=Ret_Yr_post,AV72,1)</f>
        <v/>
      </c>
      <c r="BH72" s="581">
        <f>IF($W72&gt;=Ret_Yr_post,pens_Post*(GEPF_pre="Y"),0)*IF($W72=Ret_Yr_post,1-$AV72,1)*IF(Ret_Yr_post&lt;Current,(_xlfn.IFNA(VLOOKUP($D72,CPI!$A:$E,2,FALSE),VLOOKUP(Current,CPI!$A:$E,2,FALSE))/VLOOKUP(Ret_Yr_post,CPI!$A:$E,2,FALSE)),1)</f>
        <v/>
      </c>
      <c r="BI72" s="590">
        <f>$AY72*ee_post*IF($W72=Ret_Yr_post,$AV72,1)</f>
        <v/>
      </c>
      <c r="BJ72" s="590">
        <f>$AY72*er_post*IF($W72=Ret_Yr_post,$AV72,1)</f>
        <v/>
      </c>
      <c r="BK72" s="590">
        <f>IF('LOE Sc1'!$W72=Ret_Yr_post,Gratuity_Post*(GEPF_post="Y"),0)</f>
        <v/>
      </c>
      <c r="BL72" s="581">
        <f>BG72+BH72-BI72-BJ72*(GEPF_post="Y")</f>
        <v/>
      </c>
      <c r="BM72" s="590">
        <f>IF(DM72&lt;0,0,DM72)</f>
        <v/>
      </c>
      <c r="BN72" s="581">
        <f>(BL72-BM72+BI72*(BI$7="Y")+BJ72*(BJ$7="Y"))*IF($W72&lt;Ret_Yr_post,AV72,1)+BK72</f>
        <v/>
      </c>
      <c r="BO72" s="591" t="n"/>
      <c r="BP72" s="592">
        <f>IF($E72="FL",IF($X72&lt;=DoC,DATEDIF(DoC,$V72,"M")/12,0),0)</f>
        <v/>
      </c>
      <c r="BQ72" s="592">
        <f>IF($E72="FL",(1+CPI)^INT(BP72),0)</f>
        <v/>
      </c>
      <c r="BR72" s="592">
        <f>IF($E72="FL",IF(($BP72-0.5)&gt;=0,1/(1+d)^($BP72-0.5),1/(1+d)^($BP72)),0)</f>
        <v/>
      </c>
      <c r="BS72" s="592" t="n"/>
      <c r="BT72" s="25">
        <f>IF(gender="M",VLOOKUP($Y72+pre_mort+IF(MONTH(DoC)&lt;MONTH(DoB),IF(MONTH(DoC)&lt;3,0,-1),IF(MONTH(DoB)&lt;3,-1,0)),'SALT LIFE TABLES'!$A$7:$E$106,2),VLOOKUP($Y72+pre_mort+IF(MONTH(DoC)&lt;MONTH(DoB),IF(MONTH(DoC)&lt;3,0,-1),IF(MONTH(DoB)&lt;3,-1,0)),'SALT LIFE TABLES'!$A$7:$E$106,4))</f>
        <v/>
      </c>
      <c r="BU72" s="592">
        <f>IF($E72="PL",1,BT72/BU$7)</f>
        <v/>
      </c>
      <c r="BV72" s="593" t="n"/>
      <c r="BW72" s="25">
        <f>IF(gender="M",VLOOKUP($Y72+post_mort+IF(MONTH(DoC)&lt;MONTH(DoB),IF(MONTH(DoC)&lt;3,0,-1),IF(MONTH(DoB)&lt;3,-1,0)),'SALT LIFE TABLES'!$A$7:$E$106,2),VLOOKUP($Y72+post_mort+IF(MONTH(DoC)&lt;MONTH(DoB),IF(MONTH(DoC)&lt;3,0,-1),IF(MONTH(DoB)&lt;3,-1,0)),'SALT LIFE TABLES'!$A$7:$E$106,4))</f>
        <v/>
      </c>
      <c r="BX72" s="592">
        <f>IF($E72="PL",1,BW72/BX$7)</f>
        <v/>
      </c>
      <c r="BY72" s="594" t="n"/>
      <c r="BZ72" s="592" t="n"/>
      <c r="CA72" s="592">
        <f>IF($E72="FL",$AR72*$BQ72*$BR72*$BU72,$AR72)</f>
        <v/>
      </c>
      <c r="CB72" s="592">
        <f>IF($E72="FL",$BN72*$BQ72*$BR72*$BX72,$BN72)</f>
        <v/>
      </c>
      <c r="CC72" s="592" t="n"/>
      <c r="CD72" s="592">
        <f>IF($E72="FL",$CA72*(1-pre_FL),$CA72*(1-pre_PL))</f>
        <v/>
      </c>
      <c r="CE72" s="592">
        <f>IF($E72="FL",$CB72*(1-post_FL),$CB72*(1-post_PL))</f>
        <v/>
      </c>
      <c r="CF72" s="592" t="n"/>
      <c r="CG72" s="599">
        <f>CD72-CE72</f>
        <v/>
      </c>
      <c r="CH72" s="599">
        <f>MIN(CG72,IF(W72=Ret_Yr_pre,1,$X72)*Cap)</f>
        <v/>
      </c>
      <c r="CI72" s="128" t="n"/>
      <c r="CJ72" s="37">
        <f>IF(D72&gt;Current,Current,D72)</f>
        <v/>
      </c>
      <c r="CK72" s="37">
        <f>MATCH($CJ72,Tax_Tables[Tax Year],0)</f>
        <v/>
      </c>
      <c r="CL72" s="600" t="n">
        <v>0</v>
      </c>
      <c r="CM72" s="600">
        <f t="array" ref="CM72">INDEX(Tax_Tables[[Limits]:[Limits]],$CK72+CM$8)</f>
        <v/>
      </c>
      <c r="CN72" s="600">
        <f t="array" ref="CN72">INDEX(Tax_Tables[[Limits]:[Limits]],$CK72+CN$8)</f>
        <v/>
      </c>
      <c r="CO72" s="600">
        <f t="array" ref="CO72">INDEX(Tax_Tables[[Limits]:[Limits]],$CK72+CO$8)</f>
        <v/>
      </c>
      <c r="CP72" s="600">
        <f t="array" ref="CP72">INDEX(Tax_Tables[[Limits]:[Limits]],$CK72+CP$8)</f>
        <v/>
      </c>
      <c r="CQ72" s="600">
        <f t="array" ref="CQ72">INDEX(Tax_Tables[[Limits]:[Limits]],$CK72+CQ$8)</f>
        <v/>
      </c>
      <c r="CR72" s="600">
        <f t="array" ref="CR72">INDEX(Tax_Tables[[Limits]:[Limits]],$CK72+CR$8)</f>
        <v/>
      </c>
      <c r="CS72" s="37">
        <f>INDEX(Rebate[&lt;65],MATCH($CJ72,Rebate[[Tax Year]:[Tax Year]],0))</f>
        <v/>
      </c>
      <c r="CT72" s="37">
        <f>INDEX(Rebate[&lt;75],MATCH($CJ72,Rebate[[Tax Year]:[Tax Year]],0))</f>
        <v/>
      </c>
      <c r="CU72" s="37">
        <f>INDEX(Rebate[&gt;75],MATCH($CJ72,Rebate[[Tax Year]:[Tax Year]],0))</f>
        <v/>
      </c>
      <c r="CV72" s="37">
        <f>INDEX(Tax_Credit[Principal],MATCH($CJ72,Tax_Credit[[Tax Year]:[Tax Year]],0))</f>
        <v/>
      </c>
      <c r="CW72" s="37">
        <f>INDEX(Tax_Credit[First Dependant],MATCH($CJ72,Tax_Credit[[Tax Year]:[Tax Year]],0))</f>
        <v/>
      </c>
      <c r="CX72" s="37">
        <f>INDEX(Tax_Credit[Each Additional],MATCH($CJ72,Tax_Credit[[Tax Year]:[Tax Year]],0))</f>
        <v/>
      </c>
      <c r="CY72" s="484">
        <f>Y72</f>
        <v/>
      </c>
      <c r="CZ72" s="601">
        <f>AP72</f>
        <v/>
      </c>
      <c r="DA72" s="37">
        <f t="array" ref="DA72">INDEX($CL72:$CR72,0,MATCH($CZ72,$CL72:$CR72,1))</f>
        <v/>
      </c>
      <c r="DB72" s="37">
        <f t="array" ref="DB72">IFERROR(INDEX(Tax_Tables[Percentages],$CK72+MATCH($DA72,$CL72:$CR72,0)-1),"")</f>
        <v/>
      </c>
      <c r="DC72" s="37">
        <f t="array" ref="DC72">IFERROR(INDEX(Tax_Tables[Tax],$CK72+MATCH($DA72,$CL72:$CR72,0)-1),"")</f>
        <v/>
      </c>
      <c r="DD72" s="37">
        <f>IF(CY72&lt;65,CS72,IF(CY72&lt;75,CT72,CU72))</f>
        <v/>
      </c>
      <c r="DE72" s="37">
        <f>CV72*(Summary!$C$31="Y")+(Summary!$C$31="Y")*(CW72*(Pre_MDep&gt;=1)+CX72*MAX(Pre_MDep-1,0))</f>
        <v/>
      </c>
      <c r="DF72" s="599">
        <f>IFERROR(MAX(DB72*(CZ72-DA72)+DC72-DD72-DE72*12,0),"")</f>
        <v/>
      </c>
      <c r="DG72" s="602" t="n"/>
      <c r="DH72" s="601">
        <f>BL72</f>
        <v/>
      </c>
      <c r="DI72" s="37">
        <f t="array" ref="DI72">INDEX($CL72:$CR72,0,MATCH($DH72,$CL72:$CR72,1))</f>
        <v/>
      </c>
      <c r="DJ72" s="37">
        <f t="array" ref="DJ72">IFERROR(INDEX(Tax_Tables[Percentages],$CK72+MATCH($DI72,$CL72:$CR72,0)-1),"")</f>
        <v/>
      </c>
      <c r="DK72" s="37">
        <f t="array" ref="DK72">IFERROR(INDEX(Tax_Tables[Tax],$CK72+MATCH($DI72,$CL72:$CR72,0)-1),"")</f>
        <v/>
      </c>
      <c r="DL72" s="37">
        <f>CV72*(Summary!$C$81="Y")+(Summary!$C$81="Y")*(CW72*(Post_MDep&gt;=1)+CX72*MAX(Post_MDep-1,0))</f>
        <v/>
      </c>
      <c r="DM72" s="599">
        <f>IFERROR(MAX(DJ72*(DH72-DI72)+DK72-DD72-DL72*12,0),"")</f>
        <v/>
      </c>
      <c r="DN72" s="601" t="n"/>
      <c r="DO72" s="37" t="n"/>
      <c r="DP72" s="37" t="n"/>
      <c r="DQ72" s="37" t="n"/>
      <c r="DR72" s="37" t="n"/>
      <c r="DS72" s="37" t="n"/>
      <c r="DT72" s="37" t="n"/>
      <c r="DU72" s="37" t="n"/>
      <c r="DV72" s="37" t="n"/>
      <c r="DW72" s="37" t="n"/>
      <c r="DX72" s="599" t="n"/>
      <c r="DY72" s="131" t="n"/>
      <c r="DZ72" s="601" t="n"/>
      <c r="EA72" s="37" t="n"/>
      <c r="EB72" s="37" t="n"/>
      <c r="EC72" s="37" t="n"/>
      <c r="ED72" s="599" t="n"/>
      <c r="EE72" s="595" t="n"/>
      <c r="EF72" s="25" t="n"/>
    </row>
    <row r="73">
      <c r="C73" s="596">
        <f>C72+D73-D72</f>
        <v/>
      </c>
      <c r="D73" s="160">
        <f>AU73</f>
        <v/>
      </c>
      <c r="E73" s="87">
        <f>IF(DoC=V73,"Calc Date",IF(V73&lt;DoC,"PL","FL"))</f>
        <v/>
      </c>
      <c r="F73" s="310">
        <f>F72+1</f>
        <v/>
      </c>
      <c r="G73" s="31">
        <f>VLOOKUP(F73,C$10:D$148,2)</f>
        <v/>
      </c>
      <c r="H73" s="313">
        <f>H72</f>
        <v/>
      </c>
      <c r="I73" s="281">
        <f>I72</f>
        <v/>
      </c>
      <c r="J73" s="589">
        <f>I73*index/VLOOKUP($H73,CPI!A:E,4,FALSE)</f>
        <v/>
      </c>
      <c r="K73" s="589">
        <f>IF(L73="Linear",(J73-J72)/(G73-G72),0)</f>
        <v/>
      </c>
      <c r="L73" s="311" t="inlineStr">
        <is>
          <t>Flat</t>
        </is>
      </c>
      <c r="M73" s="137" t="n"/>
      <c r="N73" s="310">
        <f>N72+1</f>
        <v/>
      </c>
      <c r="O73" s="31">
        <f>O72+N73-N72</f>
        <v/>
      </c>
      <c r="P73" s="313">
        <f>P72</f>
        <v/>
      </c>
      <c r="Q73" s="281">
        <f>Q72</f>
        <v/>
      </c>
      <c r="R73" s="589">
        <f>Q73*index/VLOOKUP($P73,CPI!A:E,4,FALSE)</f>
        <v/>
      </c>
      <c r="S73" s="589">
        <f>IF(T73="Linear",(R73-R72)/(O73-O72),0)</f>
        <v/>
      </c>
      <c r="T73" s="311" t="inlineStr">
        <is>
          <t>Flat</t>
        </is>
      </c>
      <c r="U73" s="144" t="n"/>
      <c r="V73" s="6">
        <f>IF(AND($V72=DoA,MONTH(V72)&lt;3),DATE(YEAR(DoA),3,1),IF(AND(IFERROR(DATEDIF(V72,DoC,"M"),12)&lt;12,IFERROR(DATEDIF(V72,DoC,"M"),12)&gt;0),DoC,DATE(YEAR(V72)+(1-AND(YEAR(DoC)=Current,V72=DoC)-AND(V72=DoA,MONTH(V72)&lt;3)),3,1)))</f>
        <v/>
      </c>
      <c r="W73" s="31">
        <f>IF(V73=DoR_Pre,IF(MONTH(DoR_Pre)&gt;3,YEAR(DoR_Pre)+1,YEAR(DoR_Pre)),IF(MONTH(V73)&gt;3,Current,YEAR(V73)))</f>
        <v/>
      </c>
      <c r="X73" s="597">
        <f>IF(W73=Current,ROUND((V73-V72)/365.25,5),_xlfn.IFNA(INDEX(Summary!$A$5:$A$22,MATCH('LOE Sc1'!W73,Summary!$C$5:$C$22,0)),IF(W73=Ret_Yr_pre,ROUND((DoR_Pre-V72)/365.25,5),ROUND((V73-V72)/365.25,2))))</f>
        <v/>
      </c>
      <c r="Y73" s="55">
        <f>IF(AND(V73=DoC,MONTH(DoC)&lt;&gt;3),ROUNDDOWN(DATEDIF(DoB,V74,"M")/12,),ROUNDDOWN(DATEDIF(DoB,V73,"M")/12,))</f>
        <v/>
      </c>
      <c r="Z73" s="590" t="n"/>
      <c r="AA73" s="25">
        <f>MAX(RetAge_Pre-Y73,0)</f>
        <v/>
      </c>
      <c r="AB73" s="26">
        <f t="array" ref="AB73">IF(W73&gt;Ret_Yr_pre,0,_xlfn.IFNA(VLOOKUP(Y73,F$11:J$1000,5,),IF(AND(W73=Current,V73&gt;DoC,MONTH(DoC)&lt;&gt;3),AB72,AB72+INDEX(K$11:K$1000,MATCH(Y73,F$11:F$1000,1)+1))))</f>
        <v/>
      </c>
      <c r="AC73" s="590">
        <f>IF(V73&lt;DoC,AB73*VLOOKUP(YEAR(V73),CPI!A:E,4,FALSE)/index,AB73*real_i^INT(BP73))</f>
        <v/>
      </c>
      <c r="AD73" s="590">
        <f>$AC73/12*Bonus</f>
        <v/>
      </c>
      <c r="AE73" s="590">
        <f>IF($E73="FL",MedSub*m^INT(BP73),MedSub)*IF(Summary!$C$31="Y",1,0)*(W73&lt;=Ret_Yr_pre)*(Summary!C$31="Y")</f>
        <v/>
      </c>
      <c r="AF73" s="590">
        <f>IF(Summary!$C$30="Y",IF(E73&lt;&gt;"PL",VLOOKUP(Current,'Housing Allowance'!$A:$B,2,),VLOOKUP(YEAR($V73),'Housing Allowance'!$A:$B,2,)),0)*(W73&lt;=Ret_Yr_pre)</f>
        <v/>
      </c>
      <c r="AG73" s="590">
        <f>AC73*overtime</f>
        <v/>
      </c>
      <c r="AH73" s="590">
        <f>AC73*allow_1</f>
        <v/>
      </c>
      <c r="AI73" s="590">
        <f>(AB73&lt;&gt;0)*12*allow_2</f>
        <v/>
      </c>
      <c r="AJ73" s="590" t="n"/>
      <c r="AK73" s="581">
        <f>IF(YEAR(W73)&lt;=Ret_Yr_pre,SUM(AC73:AJ73),0)*IF($W73=Ret_Yr_pre,X73,1)</f>
        <v/>
      </c>
      <c r="AL73" s="581">
        <f>IF($W73&gt;=Ret_Yr_pre,pens_Pre*(GEPF_pre="Y"),0)*IF($W73=Ret_Yr_pre,1-$X73,1)*IF(Ret_Yr_pre&lt;Current,(_xlfn.IFNA(VLOOKUP($D73,CPI!$A:$E,2,FALSE),VLOOKUP(Current,CPI!$A:$E,2,FALSE))/VLOOKUP(Ret_Yr_pre,CPI!$A:$E,2,FALSE)),1)</f>
        <v/>
      </c>
      <c r="AM73" s="590">
        <f>$AC73*ee*IF($W73=Ret_Yr_pre,$X73,1)</f>
        <v/>
      </c>
      <c r="AN73" s="590">
        <f>$AC73*er*IF($W73=Ret_Yr_pre,$X73,1)</f>
        <v/>
      </c>
      <c r="AO73" s="590">
        <f>IF('LOE Sc1'!$W73=Ret_Yr_pre,Gratuity_Pre*(GEPF_pre="Y"),0)</f>
        <v/>
      </c>
      <c r="AP73" s="581">
        <f>AK73+AL73-$AM73-AN73*(GEPF_pre="Y")</f>
        <v/>
      </c>
      <c r="AQ73" s="590">
        <f>IF(DF73&lt;0,0,DF73)</f>
        <v/>
      </c>
      <c r="AR73" s="581">
        <f>(AP73-AQ73+AM73*(AM$7="Y")+AN73*(AN$7="Y"))*IF(W73&lt;Ret_Yr_pre,X73,1)+AO73</f>
        <v/>
      </c>
      <c r="AS73" s="595" t="n"/>
      <c r="AT73" s="6">
        <f>V73</f>
        <v/>
      </c>
      <c r="AU73" s="31">
        <f>W73</f>
        <v/>
      </c>
      <c r="AV73" s="598">
        <f>IF(AU73=Current,ROUND((AT73-AT72)/365.25,5),_xlfn.IFNA(INDEX(Summary!$A$55:$A$72,MATCH('LOE Sc1'!AU73,Summary!$C$55:$C$72,0)),IF(AU73=Ret_Yr_post,ROUND((DoR_Post-AT72)/365.25,5),ROUND((AT73-AT72)/365.25,2))))</f>
        <v/>
      </c>
      <c r="AW73" s="55">
        <f>Y73</f>
        <v/>
      </c>
      <c r="AX73" s="26">
        <f t="array" ref="AX73">IF(AU73&gt;Ret_Yr_post,0,_xlfn.IFNA(VLOOKUP(AW73,N$11:S$1000,5,),IF(AND(AU73=Current,AT73&gt;DoC,MONTH(DoC)&lt;&gt;3),AX72,AX72+INDEX(S$11:S$1000,MATCH(AW73,N$11:N$1000,1)+1))))</f>
        <v/>
      </c>
      <c r="AY73" s="590">
        <f>IF($V73&lt;DoC,AX73*VLOOKUP(YEAR($V73),CPI_Table,4,FALSE)/index,AX73*real_i^INT(BP73))</f>
        <v/>
      </c>
      <c r="AZ73" s="590">
        <f>$AY73/12*Bonus_Post*($AW73&lt;=RetAge_Post)</f>
        <v/>
      </c>
      <c r="BA73" s="590">
        <f>IF($E73="FL",MedSub*m^INT(BP73),MedSub)*IF(Summary!$C$81="Y",1,0)*($AU73&lt;=Ret_Yr_post)*(Summary!$C$81="Y")</f>
        <v/>
      </c>
      <c r="BB73" s="590">
        <f>IF(Summary!$C$80="Y",IF($E73&lt;&gt;"PL",VLOOKUP(Current,'Housing Allowance'!$A:$B,2,),VLOOKUP(YEAR($AT73),'Housing Allowance'!$A:$B,2,)),0)*($AU73&lt;=Ret_Yr_post)</f>
        <v/>
      </c>
      <c r="BC73" s="590">
        <f>AY73*overtime_post</f>
        <v/>
      </c>
      <c r="BD73" s="590">
        <f>$AY73*allow_1_post</f>
        <v/>
      </c>
      <c r="BE73" s="590">
        <f>($AY73&lt;&gt;0)*allow_2_post*12</f>
        <v/>
      </c>
      <c r="BF73" s="590" t="n"/>
      <c r="BG73" s="581">
        <f>IF(YEAR($V73)&lt;=Ret_Yr_post,SUM(AY73:BF73),0)*IF($W73=Ret_Yr_post,AV73,1)</f>
        <v/>
      </c>
      <c r="BH73" s="581">
        <f>IF($W73&gt;=Ret_Yr_post,pens_Post*(GEPF_pre="Y"),0)*IF($W73=Ret_Yr_post,1-$AV73,1)*IF(Ret_Yr_post&lt;Current,(_xlfn.IFNA(VLOOKUP($D73,CPI!$A:$E,2,FALSE),VLOOKUP(Current,CPI!$A:$E,2,FALSE))/VLOOKUP(Ret_Yr_post,CPI!$A:$E,2,FALSE)),1)</f>
        <v/>
      </c>
      <c r="BI73" s="590">
        <f>$AY73*ee_post*IF($W73=Ret_Yr_post,$AV73,1)</f>
        <v/>
      </c>
      <c r="BJ73" s="590">
        <f>$AY73*er_post*IF($W73=Ret_Yr_post,$AV73,1)</f>
        <v/>
      </c>
      <c r="BK73" s="590">
        <f>IF('LOE Sc1'!$W73=Ret_Yr_post,Gratuity_Post*(GEPF_post="Y"),0)</f>
        <v/>
      </c>
      <c r="BL73" s="581">
        <f>BG73+BH73-BI73-BJ73*(GEPF_post="Y")</f>
        <v/>
      </c>
      <c r="BM73" s="590">
        <f>IF(DM73&lt;0,0,DM73)</f>
        <v/>
      </c>
      <c r="BN73" s="581">
        <f>(BL73-BM73+BI73*(BI$7="Y")+BJ73*(BJ$7="Y"))*IF($W73&lt;Ret_Yr_post,AV73,1)+BK73</f>
        <v/>
      </c>
      <c r="BO73" s="591" t="n"/>
      <c r="BP73" s="592">
        <f>IF($E73="FL",IF($X73&lt;=DoC,DATEDIF(DoC,$V73,"M")/12,0),0)</f>
        <v/>
      </c>
      <c r="BQ73" s="592">
        <f>IF($E73="FL",(1+CPI)^INT(BP73),0)</f>
        <v/>
      </c>
      <c r="BR73" s="592">
        <f>IF($E73="FL",IF(($BP73-0.5)&gt;=0,1/(1+d)^($BP73-0.5),1/(1+d)^($BP73)),0)</f>
        <v/>
      </c>
      <c r="BS73" s="592" t="n"/>
      <c r="BT73" s="25">
        <f>IF(gender="M",VLOOKUP($Y73+pre_mort+IF(MONTH(DoC)&lt;MONTH(DoB),IF(MONTH(DoC)&lt;3,0,-1),IF(MONTH(DoB)&lt;3,-1,0)),'SALT LIFE TABLES'!$A$7:$E$106,2),VLOOKUP($Y73+pre_mort+IF(MONTH(DoC)&lt;MONTH(DoB),IF(MONTH(DoC)&lt;3,0,-1),IF(MONTH(DoB)&lt;3,-1,0)),'SALT LIFE TABLES'!$A$7:$E$106,4))</f>
        <v/>
      </c>
      <c r="BU73" s="592">
        <f>IF($E73="PL",1,BT73/BU$7)</f>
        <v/>
      </c>
      <c r="BV73" s="593" t="n"/>
      <c r="BW73" s="25">
        <f>IF(gender="M",VLOOKUP($Y73+post_mort+IF(MONTH(DoC)&lt;MONTH(DoB),IF(MONTH(DoC)&lt;3,0,-1),IF(MONTH(DoB)&lt;3,-1,0)),'SALT LIFE TABLES'!$A$7:$E$106,2),VLOOKUP($Y73+post_mort+IF(MONTH(DoC)&lt;MONTH(DoB),IF(MONTH(DoC)&lt;3,0,-1),IF(MONTH(DoB)&lt;3,-1,0)),'SALT LIFE TABLES'!$A$7:$E$106,4))</f>
        <v/>
      </c>
      <c r="BX73" s="592">
        <f>IF($E73="PL",1,BW73/BX$7)</f>
        <v/>
      </c>
      <c r="BY73" s="594" t="n"/>
      <c r="BZ73" s="592" t="n"/>
      <c r="CA73" s="592">
        <f>IF($E73="FL",$AR73*$BQ73*$BR73*$BU73,$AR73)</f>
        <v/>
      </c>
      <c r="CB73" s="592">
        <f>IF($E73="FL",$BN73*$BQ73*$BR73*$BX73,$BN73)</f>
        <v/>
      </c>
      <c r="CC73" s="592" t="n"/>
      <c r="CD73" s="592">
        <f>IF($E73="FL",$CA73*(1-pre_FL),$CA73*(1-pre_PL))</f>
        <v/>
      </c>
      <c r="CE73" s="592">
        <f>IF($E73="FL",$CB73*(1-post_FL),$CB73*(1-post_PL))</f>
        <v/>
      </c>
      <c r="CF73" s="592" t="n"/>
      <c r="CG73" s="599">
        <f>CD73-CE73</f>
        <v/>
      </c>
      <c r="CH73" s="599">
        <f>MIN(CG73,IF(W73=Ret_Yr_pre,1,$X73)*Cap)</f>
        <v/>
      </c>
      <c r="CI73" s="128" t="n"/>
      <c r="CJ73" s="37">
        <f>IF(D73&gt;Current,Current,D73)</f>
        <v/>
      </c>
      <c r="CK73" s="37">
        <f>MATCH($CJ73,Tax_Tables[Tax Year],0)</f>
        <v/>
      </c>
      <c r="CL73" s="600" t="n">
        <v>0</v>
      </c>
      <c r="CM73" s="600">
        <f t="array" ref="CM73">INDEX(Tax_Tables[[Limits]:[Limits]],$CK73+CM$8)</f>
        <v/>
      </c>
      <c r="CN73" s="600">
        <f t="array" ref="CN73">INDEX(Tax_Tables[[Limits]:[Limits]],$CK73+CN$8)</f>
        <v/>
      </c>
      <c r="CO73" s="600">
        <f t="array" ref="CO73">INDEX(Tax_Tables[[Limits]:[Limits]],$CK73+CO$8)</f>
        <v/>
      </c>
      <c r="CP73" s="600">
        <f t="array" ref="CP73">INDEX(Tax_Tables[[Limits]:[Limits]],$CK73+CP$8)</f>
        <v/>
      </c>
      <c r="CQ73" s="600">
        <f t="array" ref="CQ73">INDEX(Tax_Tables[[Limits]:[Limits]],$CK73+CQ$8)</f>
        <v/>
      </c>
      <c r="CR73" s="600">
        <f t="array" ref="CR73">INDEX(Tax_Tables[[Limits]:[Limits]],$CK73+CR$8)</f>
        <v/>
      </c>
      <c r="CS73" s="37">
        <f>INDEX(Rebate[&lt;65],MATCH($CJ73,Rebate[[Tax Year]:[Tax Year]],0))</f>
        <v/>
      </c>
      <c r="CT73" s="37">
        <f>INDEX(Rebate[&lt;75],MATCH($CJ73,Rebate[[Tax Year]:[Tax Year]],0))</f>
        <v/>
      </c>
      <c r="CU73" s="37">
        <f>INDEX(Rebate[&gt;75],MATCH($CJ73,Rebate[[Tax Year]:[Tax Year]],0))</f>
        <v/>
      </c>
      <c r="CV73" s="37">
        <f>INDEX(Tax_Credit[Principal],MATCH($CJ73,Tax_Credit[[Tax Year]:[Tax Year]],0))</f>
        <v/>
      </c>
      <c r="CW73" s="37">
        <f>INDEX(Tax_Credit[First Dependant],MATCH($CJ73,Tax_Credit[[Tax Year]:[Tax Year]],0))</f>
        <v/>
      </c>
      <c r="CX73" s="37">
        <f>INDEX(Tax_Credit[Each Additional],MATCH($CJ73,Tax_Credit[[Tax Year]:[Tax Year]],0))</f>
        <v/>
      </c>
      <c r="CY73" s="484">
        <f>Y73</f>
        <v/>
      </c>
      <c r="CZ73" s="601">
        <f>AP73</f>
        <v/>
      </c>
      <c r="DA73" s="37">
        <f t="array" ref="DA73">INDEX($CL73:$CR73,0,MATCH($CZ73,$CL73:$CR73,1))</f>
        <v/>
      </c>
      <c r="DB73" s="37">
        <f t="array" ref="DB73">IFERROR(INDEX(Tax_Tables[Percentages],$CK73+MATCH($DA73,$CL73:$CR73,0)-1),"")</f>
        <v/>
      </c>
      <c r="DC73" s="37">
        <f t="array" ref="DC73">IFERROR(INDEX(Tax_Tables[Tax],$CK73+MATCH($DA73,$CL73:$CR73,0)-1),"")</f>
        <v/>
      </c>
      <c r="DD73" s="37">
        <f>IF(CY73&lt;65,CS73,IF(CY73&lt;75,CT73,CU73))</f>
        <v/>
      </c>
      <c r="DE73" s="37">
        <f>CV73*(Summary!$C$31="Y")+(Summary!$C$31="Y")*(CW73*(Pre_MDep&gt;=1)+CX73*MAX(Pre_MDep-1,0))</f>
        <v/>
      </c>
      <c r="DF73" s="599">
        <f>IFERROR(MAX(DB73*(CZ73-DA73)+DC73-DD73-DE73*12,0),"")</f>
        <v/>
      </c>
      <c r="DG73" s="602" t="n"/>
      <c r="DH73" s="601">
        <f>BL73</f>
        <v/>
      </c>
      <c r="DI73" s="37">
        <f t="array" ref="DI73">INDEX($CL73:$CR73,0,MATCH($DH73,$CL73:$CR73,1))</f>
        <v/>
      </c>
      <c r="DJ73" s="37">
        <f t="array" ref="DJ73">IFERROR(INDEX(Tax_Tables[Percentages],$CK73+MATCH($DI73,$CL73:$CR73,0)-1),"")</f>
        <v/>
      </c>
      <c r="DK73" s="37">
        <f t="array" ref="DK73">IFERROR(INDEX(Tax_Tables[Tax],$CK73+MATCH($DI73,$CL73:$CR73,0)-1),"")</f>
        <v/>
      </c>
      <c r="DL73" s="37">
        <f>CV73*(Summary!$C$81="Y")+(Summary!$C$81="Y")*(CW73*(Post_MDep&gt;=1)+CX73*MAX(Post_MDep-1,0))</f>
        <v/>
      </c>
      <c r="DM73" s="599">
        <f>IFERROR(MAX(DJ73*(DH73-DI73)+DK73-DD73-DL73*12,0),"")</f>
        <v/>
      </c>
      <c r="DN73" s="601" t="n"/>
      <c r="DO73" s="37" t="n"/>
      <c r="DP73" s="37" t="n"/>
      <c r="DQ73" s="37" t="n"/>
      <c r="DR73" s="37" t="n"/>
      <c r="DS73" s="37" t="n"/>
      <c r="DT73" s="37" t="n"/>
      <c r="DU73" s="37" t="n"/>
      <c r="DV73" s="37" t="n"/>
      <c r="DW73" s="37" t="n"/>
      <c r="DX73" s="599" t="n"/>
      <c r="DY73" s="131" t="n"/>
      <c r="DZ73" s="601" t="n"/>
      <c r="EA73" s="37" t="n"/>
      <c r="EB73" s="37" t="n"/>
      <c r="EC73" s="37" t="n"/>
      <c r="ED73" s="599" t="n"/>
      <c r="EE73" s="595" t="n"/>
      <c r="EF73" s="25" t="n"/>
    </row>
    <row r="74">
      <c r="C74" s="596">
        <f>C73+D74-D73</f>
        <v/>
      </c>
      <c r="D74" s="160">
        <f>AU74</f>
        <v/>
      </c>
      <c r="E74" s="87">
        <f>IF(DoC=V74,"Calc Date",IF(V74&lt;DoC,"PL","FL"))</f>
        <v/>
      </c>
      <c r="F74" s="310">
        <f>F73+1</f>
        <v/>
      </c>
      <c r="G74" s="31">
        <f>VLOOKUP(F74,C$10:D$148,2)</f>
        <v/>
      </c>
      <c r="H74" s="313">
        <f>H73</f>
        <v/>
      </c>
      <c r="I74" s="281">
        <f>I73</f>
        <v/>
      </c>
      <c r="J74" s="589">
        <f>I74*index/VLOOKUP($H74,CPI!A:E,4,FALSE)</f>
        <v/>
      </c>
      <c r="K74" s="589">
        <f>IF(L74="Linear",(J74-J73)/(G74-G73),0)</f>
        <v/>
      </c>
      <c r="L74" s="311" t="inlineStr">
        <is>
          <t>Flat</t>
        </is>
      </c>
      <c r="M74" s="137" t="n"/>
      <c r="N74" s="310">
        <f>N73+1</f>
        <v/>
      </c>
      <c r="O74" s="31">
        <f>O73+N74-N73</f>
        <v/>
      </c>
      <c r="P74" s="313">
        <f>P73</f>
        <v/>
      </c>
      <c r="Q74" s="281">
        <f>Q73</f>
        <v/>
      </c>
      <c r="R74" s="589">
        <f>Q74*index/VLOOKUP($P74,CPI!A:E,4,FALSE)</f>
        <v/>
      </c>
      <c r="S74" s="589">
        <f>IF(T74="Linear",(R74-R73)/(O74-O73),0)</f>
        <v/>
      </c>
      <c r="T74" s="311" t="inlineStr">
        <is>
          <t>Flat</t>
        </is>
      </c>
      <c r="U74" s="144" t="n"/>
      <c r="V74" s="6">
        <f>IF(AND($V73=DoA,MONTH(V73)&lt;3),DATE(YEAR(DoA),3,1),IF(AND(IFERROR(DATEDIF(V73,DoC,"M"),12)&lt;12,IFERROR(DATEDIF(V73,DoC,"M"),12)&gt;0),DoC,DATE(YEAR(V73)+(1-AND(YEAR(DoC)=Current,V73=DoC)-AND(V73=DoA,MONTH(V73)&lt;3)),3,1)))</f>
        <v/>
      </c>
      <c r="W74" s="31">
        <f>IF(V74=DoR_Pre,IF(MONTH(DoR_Pre)&gt;3,YEAR(DoR_Pre)+1,YEAR(DoR_Pre)),IF(MONTH(V74)&gt;3,Current,YEAR(V74)))</f>
        <v/>
      </c>
      <c r="X74" s="597">
        <f>IF(W74=Current,ROUND((V74-V73)/365.25,5),_xlfn.IFNA(INDEX(Summary!$A$5:$A$22,MATCH('LOE Sc1'!W74,Summary!$C$5:$C$22,0)),IF(W74=Ret_Yr_pre,ROUND((DoR_Pre-V73)/365.25,5),ROUND((V74-V73)/365.25,2))))</f>
        <v/>
      </c>
      <c r="Y74" s="55">
        <f>IF(AND(V74=DoC,MONTH(DoC)&lt;&gt;3),ROUNDDOWN(DATEDIF(DoB,V75,"M")/12,),ROUNDDOWN(DATEDIF(DoB,V74,"M")/12,))</f>
        <v/>
      </c>
      <c r="Z74" s="590" t="n"/>
      <c r="AA74" s="25">
        <f>MAX(RetAge_Pre-Y74,0)</f>
        <v/>
      </c>
      <c r="AB74" s="26">
        <f t="array" ref="AB74">IF(W74&gt;Ret_Yr_pre,0,_xlfn.IFNA(VLOOKUP(Y74,F$11:J$1000,5,),IF(AND(W74=Current,V74&gt;DoC,MONTH(DoC)&lt;&gt;3),AB73,AB73+INDEX(K$11:K$1000,MATCH(Y74,F$11:F$1000,1)+1))))</f>
        <v/>
      </c>
      <c r="AC74" s="590">
        <f>IF(V74&lt;DoC,AB74*VLOOKUP(YEAR(V74),CPI!A:E,4,FALSE)/index,AB74*real_i^INT(BP74))</f>
        <v/>
      </c>
      <c r="AD74" s="590">
        <f>$AC74/12*Bonus</f>
        <v/>
      </c>
      <c r="AE74" s="590">
        <f>IF($E74="FL",MedSub*m^INT(BP74),MedSub)*IF(Summary!$C$31="Y",1,0)*(W74&lt;=Ret_Yr_pre)*(Summary!C$31="Y")</f>
        <v/>
      </c>
      <c r="AF74" s="590">
        <f>IF(Summary!$C$30="Y",IF(E74&lt;&gt;"PL",VLOOKUP(Current,'Housing Allowance'!$A:$B,2,),VLOOKUP(YEAR($V74),'Housing Allowance'!$A:$B,2,)),0)*(W74&lt;=Ret_Yr_pre)</f>
        <v/>
      </c>
      <c r="AG74" s="590">
        <f>AC74*overtime</f>
        <v/>
      </c>
      <c r="AH74" s="590">
        <f>AC74*allow_1</f>
        <v/>
      </c>
      <c r="AI74" s="590">
        <f>(AB74&lt;&gt;0)*12*allow_2</f>
        <v/>
      </c>
      <c r="AJ74" s="590" t="n"/>
      <c r="AK74" s="581">
        <f>IF(YEAR(W74)&lt;=Ret_Yr_pre,SUM(AC74:AJ74),0)*IF($W74=Ret_Yr_pre,X74,1)</f>
        <v/>
      </c>
      <c r="AL74" s="581">
        <f>IF($W74&gt;=Ret_Yr_pre,pens_Pre*(GEPF_pre="Y"),0)*IF($W74=Ret_Yr_pre,1-$X74,1)*IF(Ret_Yr_pre&lt;Current,(_xlfn.IFNA(VLOOKUP($D74,CPI!$A:$E,2,FALSE),VLOOKUP(Current,CPI!$A:$E,2,FALSE))/VLOOKUP(Ret_Yr_pre,CPI!$A:$E,2,FALSE)),1)</f>
        <v/>
      </c>
      <c r="AM74" s="590">
        <f>$AC74*ee*IF($W74=Ret_Yr_pre,$X74,1)</f>
        <v/>
      </c>
      <c r="AN74" s="590">
        <f>$AC74*er*IF($W74=Ret_Yr_pre,$X74,1)</f>
        <v/>
      </c>
      <c r="AO74" s="590">
        <f>IF('LOE Sc1'!$W74=Ret_Yr_pre,Gratuity_Pre*(GEPF_pre="Y"),0)</f>
        <v/>
      </c>
      <c r="AP74" s="581">
        <f>AK74+AL74-$AM74-AN74*(GEPF_pre="Y")</f>
        <v/>
      </c>
      <c r="AQ74" s="590">
        <f>IF(DF74&lt;0,0,DF74)</f>
        <v/>
      </c>
      <c r="AR74" s="581">
        <f>(AP74-AQ74+AM74*(AM$7="Y")+AN74*(AN$7="Y"))*IF(W74&lt;Ret_Yr_pre,X74,1)+AO74</f>
        <v/>
      </c>
      <c r="AS74" s="595" t="n"/>
      <c r="AT74" s="6">
        <f>V74</f>
        <v/>
      </c>
      <c r="AU74" s="31">
        <f>W74</f>
        <v/>
      </c>
      <c r="AV74" s="598">
        <f>IF(AU74=Current,ROUND((AT74-AT73)/365.25,5),_xlfn.IFNA(INDEX(Summary!$A$55:$A$72,MATCH('LOE Sc1'!AU74,Summary!$C$55:$C$72,0)),IF(AU74=Ret_Yr_post,ROUND((DoR_Post-AT73)/365.25,5),ROUND((AT74-AT73)/365.25,2))))</f>
        <v/>
      </c>
      <c r="AW74" s="55">
        <f>Y74</f>
        <v/>
      </c>
      <c r="AX74" s="26">
        <f t="array" ref="AX74">IF(AU74&gt;Ret_Yr_post,0,_xlfn.IFNA(VLOOKUP(AW74,N$11:S$1000,5,),IF(AND(AU74=Current,AT74&gt;DoC,MONTH(DoC)&lt;&gt;3),AX73,AX73+INDEX(S$11:S$1000,MATCH(AW74,N$11:N$1000,1)+1))))</f>
        <v/>
      </c>
      <c r="AY74" s="590">
        <f>IF($V74&lt;DoC,AX74*VLOOKUP(YEAR($V74),CPI_Table,4,FALSE)/index,AX74*real_i^INT(BP74))</f>
        <v/>
      </c>
      <c r="AZ74" s="590">
        <f>$AY74/12*Bonus_Post*($AW74&lt;=RetAge_Post)</f>
        <v/>
      </c>
      <c r="BA74" s="590">
        <f>IF($E74="FL",MedSub*m^INT(BP74),MedSub)*IF(Summary!$C$81="Y",1,0)*($AU74&lt;=Ret_Yr_post)*(Summary!$C$81="Y")</f>
        <v/>
      </c>
      <c r="BB74" s="590">
        <f>IF(Summary!$C$80="Y",IF($E74&lt;&gt;"PL",VLOOKUP(Current,'Housing Allowance'!$A:$B,2,),VLOOKUP(YEAR($AT74),'Housing Allowance'!$A:$B,2,)),0)*($AU74&lt;=Ret_Yr_post)</f>
        <v/>
      </c>
      <c r="BC74" s="590">
        <f>AY74*overtime_post</f>
        <v/>
      </c>
      <c r="BD74" s="590">
        <f>$AY74*allow_1_post</f>
        <v/>
      </c>
      <c r="BE74" s="590">
        <f>($AY74&lt;&gt;0)*allow_2_post*12</f>
        <v/>
      </c>
      <c r="BF74" s="590" t="n"/>
      <c r="BG74" s="581">
        <f>IF(YEAR($V74)&lt;=Ret_Yr_post,SUM(AY74:BF74),0)*IF($W74=Ret_Yr_post,AV74,1)</f>
        <v/>
      </c>
      <c r="BH74" s="581">
        <f>IF($W74&gt;=Ret_Yr_post,pens_Post*(GEPF_pre="Y"),0)*IF($W74=Ret_Yr_post,1-$AV74,1)*IF(Ret_Yr_post&lt;Current,(_xlfn.IFNA(VLOOKUP($D74,CPI!$A:$E,2,FALSE),VLOOKUP(Current,CPI!$A:$E,2,FALSE))/VLOOKUP(Ret_Yr_post,CPI!$A:$E,2,FALSE)),1)</f>
        <v/>
      </c>
      <c r="BI74" s="590">
        <f>$AY74*ee_post*IF($W74=Ret_Yr_post,$AV74,1)</f>
        <v/>
      </c>
      <c r="BJ74" s="590">
        <f>$AY74*er_post*IF($W74=Ret_Yr_post,$AV74,1)</f>
        <v/>
      </c>
      <c r="BK74" s="590">
        <f>IF('LOE Sc1'!$W74=Ret_Yr_post,Gratuity_Post*(GEPF_post="Y"),0)</f>
        <v/>
      </c>
      <c r="BL74" s="581">
        <f>BG74+BH74-BI74-BJ74*(GEPF_post="Y")</f>
        <v/>
      </c>
      <c r="BM74" s="590">
        <f>IF(DM74&lt;0,0,DM74)</f>
        <v/>
      </c>
      <c r="BN74" s="581">
        <f>(BL74-BM74+BI74*(BI$7="Y")+BJ74*(BJ$7="Y"))*IF($W74&lt;Ret_Yr_post,AV74,1)+BK74</f>
        <v/>
      </c>
      <c r="BO74" s="591" t="n"/>
      <c r="BP74" s="592">
        <f>IF($E74="FL",IF($X74&lt;=DoC,DATEDIF(DoC,$V74,"M")/12,0),0)</f>
        <v/>
      </c>
      <c r="BQ74" s="592">
        <f>IF($E74="FL",(1+CPI)^INT(BP74),0)</f>
        <v/>
      </c>
      <c r="BR74" s="592">
        <f>IF($E74="FL",IF(($BP74-0.5)&gt;=0,1/(1+d)^($BP74-0.5),1/(1+d)^($BP74)),0)</f>
        <v/>
      </c>
      <c r="BS74" s="592" t="n"/>
      <c r="BT74" s="25">
        <f>IF(gender="M",VLOOKUP($Y74+pre_mort+IF(MONTH(DoC)&lt;MONTH(DoB),IF(MONTH(DoC)&lt;3,0,-1),IF(MONTH(DoB)&lt;3,-1,0)),'SALT LIFE TABLES'!$A$7:$E$106,2),VLOOKUP($Y74+pre_mort+IF(MONTH(DoC)&lt;MONTH(DoB),IF(MONTH(DoC)&lt;3,0,-1),IF(MONTH(DoB)&lt;3,-1,0)),'SALT LIFE TABLES'!$A$7:$E$106,4))</f>
        <v/>
      </c>
      <c r="BU74" s="592">
        <f>IF($E74="PL",1,BT74/BU$7)</f>
        <v/>
      </c>
      <c r="BV74" s="593" t="n"/>
      <c r="BW74" s="25">
        <f>IF(gender="M",VLOOKUP($Y74+post_mort+IF(MONTH(DoC)&lt;MONTH(DoB),IF(MONTH(DoC)&lt;3,0,-1),IF(MONTH(DoB)&lt;3,-1,0)),'SALT LIFE TABLES'!$A$7:$E$106,2),VLOOKUP($Y74+post_mort+IF(MONTH(DoC)&lt;MONTH(DoB),IF(MONTH(DoC)&lt;3,0,-1),IF(MONTH(DoB)&lt;3,-1,0)),'SALT LIFE TABLES'!$A$7:$E$106,4))</f>
        <v/>
      </c>
      <c r="BX74" s="592">
        <f>IF($E74="PL",1,BW74/BX$7)</f>
        <v/>
      </c>
      <c r="BY74" s="594" t="n"/>
      <c r="BZ74" s="592" t="n"/>
      <c r="CA74" s="592">
        <f>IF($E74="FL",$AR74*$BQ74*$BR74*$BU74,$AR74)</f>
        <v/>
      </c>
      <c r="CB74" s="592">
        <f>IF($E74="FL",$BN74*$BQ74*$BR74*$BX74,$BN74)</f>
        <v/>
      </c>
      <c r="CC74" s="592" t="n"/>
      <c r="CD74" s="592">
        <f>IF($E74="FL",$CA74*(1-pre_FL),$CA74*(1-pre_PL))</f>
        <v/>
      </c>
      <c r="CE74" s="592">
        <f>IF($E74="FL",$CB74*(1-post_FL),$CB74*(1-post_PL))</f>
        <v/>
      </c>
      <c r="CF74" s="592" t="n"/>
      <c r="CG74" s="599">
        <f>CD74-CE74</f>
        <v/>
      </c>
      <c r="CH74" s="599">
        <f>MIN(CG74,IF(W74=Ret_Yr_pre,1,$X74)*Cap)</f>
        <v/>
      </c>
      <c r="CI74" s="128" t="n"/>
      <c r="CJ74" s="37">
        <f>IF(D74&gt;Current,Current,D74)</f>
        <v/>
      </c>
      <c r="CK74" s="37">
        <f>MATCH($CJ74,Tax_Tables[Tax Year],0)</f>
        <v/>
      </c>
      <c r="CL74" s="600" t="n">
        <v>0</v>
      </c>
      <c r="CM74" s="600">
        <f t="array" ref="CM74">INDEX(Tax_Tables[[Limits]:[Limits]],$CK74+CM$8)</f>
        <v/>
      </c>
      <c r="CN74" s="600">
        <f t="array" ref="CN74">INDEX(Tax_Tables[[Limits]:[Limits]],$CK74+CN$8)</f>
        <v/>
      </c>
      <c r="CO74" s="600">
        <f t="array" ref="CO74">INDEX(Tax_Tables[[Limits]:[Limits]],$CK74+CO$8)</f>
        <v/>
      </c>
      <c r="CP74" s="600">
        <f t="array" ref="CP74">INDEX(Tax_Tables[[Limits]:[Limits]],$CK74+CP$8)</f>
        <v/>
      </c>
      <c r="CQ74" s="600">
        <f t="array" ref="CQ74">INDEX(Tax_Tables[[Limits]:[Limits]],$CK74+CQ$8)</f>
        <v/>
      </c>
      <c r="CR74" s="600">
        <f t="array" ref="CR74">INDEX(Tax_Tables[[Limits]:[Limits]],$CK74+CR$8)</f>
        <v/>
      </c>
      <c r="CS74" s="37">
        <f>INDEX(Rebate[&lt;65],MATCH($CJ74,Rebate[[Tax Year]:[Tax Year]],0))</f>
        <v/>
      </c>
      <c r="CT74" s="37">
        <f>INDEX(Rebate[&lt;75],MATCH($CJ74,Rebate[[Tax Year]:[Tax Year]],0))</f>
        <v/>
      </c>
      <c r="CU74" s="37">
        <f>INDEX(Rebate[&gt;75],MATCH($CJ74,Rebate[[Tax Year]:[Tax Year]],0))</f>
        <v/>
      </c>
      <c r="CV74" s="37">
        <f>INDEX(Tax_Credit[Principal],MATCH($CJ74,Tax_Credit[[Tax Year]:[Tax Year]],0))</f>
        <v/>
      </c>
      <c r="CW74" s="37">
        <f>INDEX(Tax_Credit[First Dependant],MATCH($CJ74,Tax_Credit[[Tax Year]:[Tax Year]],0))</f>
        <v/>
      </c>
      <c r="CX74" s="37">
        <f>INDEX(Tax_Credit[Each Additional],MATCH($CJ74,Tax_Credit[[Tax Year]:[Tax Year]],0))</f>
        <v/>
      </c>
      <c r="CY74" s="484">
        <f>Y74</f>
        <v/>
      </c>
      <c r="CZ74" s="601">
        <f>AP74</f>
        <v/>
      </c>
      <c r="DA74" s="37">
        <f t="array" ref="DA74">INDEX($CL74:$CR74,0,MATCH($CZ74,$CL74:$CR74,1))</f>
        <v/>
      </c>
      <c r="DB74" s="37">
        <f t="array" ref="DB74">IFERROR(INDEX(Tax_Tables[Percentages],$CK74+MATCH($DA74,$CL74:$CR74,0)-1),"")</f>
        <v/>
      </c>
      <c r="DC74" s="37">
        <f t="array" ref="DC74">IFERROR(INDEX(Tax_Tables[Tax],$CK74+MATCH($DA74,$CL74:$CR74,0)-1),"")</f>
        <v/>
      </c>
      <c r="DD74" s="37">
        <f>IF(CY74&lt;65,CS74,IF(CY74&lt;75,CT74,CU74))</f>
        <v/>
      </c>
      <c r="DE74" s="37">
        <f>CV74*(Summary!$C$31="Y")+(Summary!$C$31="Y")*(CW74*(Pre_MDep&gt;=1)+CX74*MAX(Pre_MDep-1,0))</f>
        <v/>
      </c>
      <c r="DF74" s="599">
        <f>IFERROR(MAX(DB74*(CZ74-DA74)+DC74-DD74-DE74*12,0),"")</f>
        <v/>
      </c>
      <c r="DG74" s="602" t="n"/>
      <c r="DH74" s="601">
        <f>BL74</f>
        <v/>
      </c>
      <c r="DI74" s="37">
        <f t="array" ref="DI74">INDEX($CL74:$CR74,0,MATCH($DH74,$CL74:$CR74,1))</f>
        <v/>
      </c>
      <c r="DJ74" s="37">
        <f t="array" ref="DJ74">IFERROR(INDEX(Tax_Tables[Percentages],$CK74+MATCH($DI74,$CL74:$CR74,0)-1),"")</f>
        <v/>
      </c>
      <c r="DK74" s="37">
        <f t="array" ref="DK74">IFERROR(INDEX(Tax_Tables[Tax],$CK74+MATCH($DI74,$CL74:$CR74,0)-1),"")</f>
        <v/>
      </c>
      <c r="DL74" s="37">
        <f>CV74*(Summary!$C$81="Y")+(Summary!$C$81="Y")*(CW74*(Post_MDep&gt;=1)+CX74*MAX(Post_MDep-1,0))</f>
        <v/>
      </c>
      <c r="DM74" s="599">
        <f>IFERROR(MAX(DJ74*(DH74-DI74)+DK74-DD74-DL74*12,0),"")</f>
        <v/>
      </c>
      <c r="DN74" s="601" t="n"/>
      <c r="DO74" s="37" t="n"/>
      <c r="DP74" s="37" t="n"/>
      <c r="DQ74" s="37" t="n"/>
      <c r="DR74" s="37" t="n"/>
      <c r="DS74" s="37" t="n"/>
      <c r="DT74" s="37" t="n"/>
      <c r="DU74" s="37" t="n"/>
      <c r="DV74" s="37" t="n"/>
      <c r="DW74" s="37" t="n"/>
      <c r="DX74" s="599" t="n"/>
      <c r="DY74" s="131" t="n"/>
      <c r="DZ74" s="601" t="n"/>
      <c r="EA74" s="37" t="n"/>
      <c r="EB74" s="37" t="n"/>
      <c r="EC74" s="37" t="n"/>
      <c r="ED74" s="599" t="n"/>
      <c r="EE74" s="595" t="n"/>
      <c r="EF74" s="25" t="n"/>
    </row>
    <row r="75">
      <c r="C75" s="596">
        <f>C74+D75-D74</f>
        <v/>
      </c>
      <c r="D75" s="160">
        <f>AU75</f>
        <v/>
      </c>
      <c r="E75" s="87">
        <f>IF(DoC=V75,"Calc Date",IF(V75&lt;DoC,"PL","FL"))</f>
        <v/>
      </c>
      <c r="F75" s="310">
        <f>F74+1</f>
        <v/>
      </c>
      <c r="G75" s="31">
        <f>VLOOKUP(F75,C$10:D$148,2)</f>
        <v/>
      </c>
      <c r="H75" s="313">
        <f>H74</f>
        <v/>
      </c>
      <c r="I75" s="281">
        <f>I74</f>
        <v/>
      </c>
      <c r="J75" s="589">
        <f>I75*index/VLOOKUP($H75,CPI!A:E,4,FALSE)</f>
        <v/>
      </c>
      <c r="K75" s="589">
        <f>IF(L75="Linear",(J75-J74)/(G75-G74),0)</f>
        <v/>
      </c>
      <c r="L75" s="311" t="inlineStr">
        <is>
          <t>Flat</t>
        </is>
      </c>
      <c r="M75" s="137" t="n"/>
      <c r="N75" s="310">
        <f>N74+1</f>
        <v/>
      </c>
      <c r="O75" s="31">
        <f>O74+N75-N74</f>
        <v/>
      </c>
      <c r="P75" s="313">
        <f>P74</f>
        <v/>
      </c>
      <c r="Q75" s="281">
        <f>Q74</f>
        <v/>
      </c>
      <c r="R75" s="589">
        <f>Q75*index/VLOOKUP($P75,CPI!A:E,4,FALSE)</f>
        <v/>
      </c>
      <c r="S75" s="589">
        <f>IF(T75="Linear",(R75-R74)/(O75-O74),0)</f>
        <v/>
      </c>
      <c r="T75" s="311" t="inlineStr">
        <is>
          <t>Flat</t>
        </is>
      </c>
      <c r="U75" s="144" t="n"/>
      <c r="V75" s="6">
        <f>IF(AND($V74=DoA,MONTH(V74)&lt;3),DATE(YEAR(DoA),3,1),IF(AND(IFERROR(DATEDIF(V74,DoC,"M"),12)&lt;12,IFERROR(DATEDIF(V74,DoC,"M"),12)&gt;0),DoC,DATE(YEAR(V74)+(1-AND(YEAR(DoC)=Current,V74=DoC)-AND(V74=DoA,MONTH(V74)&lt;3)),3,1)))</f>
        <v/>
      </c>
      <c r="W75" s="31">
        <f>IF(V75=DoR_Pre,IF(MONTH(DoR_Pre)&gt;3,YEAR(DoR_Pre)+1,YEAR(DoR_Pre)),IF(MONTH(V75)&gt;3,Current,YEAR(V75)))</f>
        <v/>
      </c>
      <c r="X75" s="597">
        <f>IF(W75=Current,ROUND((V75-V74)/365.25,5),_xlfn.IFNA(INDEX(Summary!$A$5:$A$22,MATCH('LOE Sc1'!W75,Summary!$C$5:$C$22,0)),IF(W75=Ret_Yr_pre,ROUND((DoR_Pre-V74)/365.25,5),ROUND((V75-V74)/365.25,2))))</f>
        <v/>
      </c>
      <c r="Y75" s="55">
        <f>IF(AND(V75=DoC,MONTH(DoC)&lt;&gt;3),ROUNDDOWN(DATEDIF(DoB,V76,"M")/12,),ROUNDDOWN(DATEDIF(DoB,V75,"M")/12,))</f>
        <v/>
      </c>
      <c r="Z75" s="590" t="n"/>
      <c r="AA75" s="25">
        <f>MAX(RetAge_Pre-Y75,0)</f>
        <v/>
      </c>
      <c r="AB75" s="26">
        <f t="array" ref="AB75">IF(W75&gt;Ret_Yr_pre,0,_xlfn.IFNA(VLOOKUP(Y75,F$11:J$1000,5,),IF(AND(W75=Current,V75&gt;DoC,MONTH(DoC)&lt;&gt;3),AB74,AB74+INDEX(K$11:K$1000,MATCH(Y75,F$11:F$1000,1)+1))))</f>
        <v/>
      </c>
      <c r="AC75" s="590">
        <f>IF(V75&lt;DoC,AB75*VLOOKUP(YEAR(V75),CPI!A:E,4,FALSE)/index,AB75*real_i^INT(BP75))</f>
        <v/>
      </c>
      <c r="AD75" s="590">
        <f>$AC75/12*Bonus</f>
        <v/>
      </c>
      <c r="AE75" s="590">
        <f>IF($E75="FL",MedSub*m^INT(BP75),MedSub)*IF(Summary!$C$31="Y",1,0)*(W75&lt;=Ret_Yr_pre)*(Summary!C$31="Y")</f>
        <v/>
      </c>
      <c r="AF75" s="590">
        <f>IF(Summary!$C$30="Y",IF(E75&lt;&gt;"PL",VLOOKUP(Current,'Housing Allowance'!$A:$B,2,),VLOOKUP(YEAR($V75),'Housing Allowance'!$A:$B,2,)),0)*(W75&lt;=Ret_Yr_pre)</f>
        <v/>
      </c>
      <c r="AG75" s="590">
        <f>AC75*overtime</f>
        <v/>
      </c>
      <c r="AH75" s="590">
        <f>AC75*allow_1</f>
        <v/>
      </c>
      <c r="AI75" s="590">
        <f>(AB75&lt;&gt;0)*12*allow_2</f>
        <v/>
      </c>
      <c r="AJ75" s="590" t="n"/>
      <c r="AK75" s="581">
        <f>IF(YEAR(W75)&lt;=Ret_Yr_pre,SUM(AC75:AJ75),0)*IF($W75=Ret_Yr_pre,X75,1)</f>
        <v/>
      </c>
      <c r="AL75" s="581">
        <f>IF($W75&gt;=Ret_Yr_pre,pens_Pre*(GEPF_pre="Y"),0)*IF($W75=Ret_Yr_pre,1-$X75,1)*IF(Ret_Yr_pre&lt;Current,(_xlfn.IFNA(VLOOKUP($D75,CPI!$A:$E,2,FALSE),VLOOKUP(Current,CPI!$A:$E,2,FALSE))/VLOOKUP(Ret_Yr_pre,CPI!$A:$E,2,FALSE)),1)</f>
        <v/>
      </c>
      <c r="AM75" s="590">
        <f>$AC75*ee*IF($W75=Ret_Yr_pre,$X75,1)</f>
        <v/>
      </c>
      <c r="AN75" s="590">
        <f>$AC75*er*IF($W75=Ret_Yr_pre,$X75,1)</f>
        <v/>
      </c>
      <c r="AO75" s="590">
        <f>IF('LOE Sc1'!$W75=Ret_Yr_pre,Gratuity_Pre*(GEPF_pre="Y"),0)</f>
        <v/>
      </c>
      <c r="AP75" s="581">
        <f>AK75+AL75-$AM75-AN75*(GEPF_pre="Y")</f>
        <v/>
      </c>
      <c r="AQ75" s="590">
        <f>IF(DF75&lt;0,0,DF75)</f>
        <v/>
      </c>
      <c r="AR75" s="581">
        <f>(AP75-AQ75+AM75*(AM$7="Y")+AN75*(AN$7="Y"))*IF(W75&lt;Ret_Yr_pre,X75,1)+AO75</f>
        <v/>
      </c>
      <c r="AS75" s="595" t="n"/>
      <c r="AT75" s="6">
        <f>V75</f>
        <v/>
      </c>
      <c r="AU75" s="31">
        <f>W75</f>
        <v/>
      </c>
      <c r="AV75" s="598">
        <f>IF(AU75=Current,ROUND((AT75-AT74)/365.25,5),_xlfn.IFNA(INDEX(Summary!$A$55:$A$72,MATCH('LOE Sc1'!AU75,Summary!$C$55:$C$72,0)),IF(AU75=Ret_Yr_post,ROUND((DoR_Post-AT74)/365.25,5),ROUND((AT75-AT74)/365.25,2))))</f>
        <v/>
      </c>
      <c r="AW75" s="55">
        <f>Y75</f>
        <v/>
      </c>
      <c r="AX75" s="26">
        <f t="array" ref="AX75">IF(AU75&gt;Ret_Yr_post,0,_xlfn.IFNA(VLOOKUP(AW75,N$11:S$1000,5,),IF(AND(AU75=Current,AT75&gt;DoC,MONTH(DoC)&lt;&gt;3),AX74,AX74+INDEX(S$11:S$1000,MATCH(AW75,N$11:N$1000,1)+1))))</f>
        <v/>
      </c>
      <c r="AY75" s="590">
        <f>IF($V75&lt;DoC,AX75*VLOOKUP(YEAR($V75),CPI_Table,4,FALSE)/index,AX75*real_i^INT(BP75))</f>
        <v/>
      </c>
      <c r="AZ75" s="590">
        <f>$AY75/12*Bonus_Post*($AW75&lt;=RetAge_Post)</f>
        <v/>
      </c>
      <c r="BA75" s="590">
        <f>IF($E75="FL",MedSub*m^INT(BP75),MedSub)*IF(Summary!$C$81="Y",1,0)*($AU75&lt;=Ret_Yr_post)*(Summary!$C$81="Y")</f>
        <v/>
      </c>
      <c r="BB75" s="590">
        <f>IF(Summary!$C$80="Y",IF($E75&lt;&gt;"PL",VLOOKUP(Current,'Housing Allowance'!$A:$B,2,),VLOOKUP(YEAR($AT75),'Housing Allowance'!$A:$B,2,)),0)*($AU75&lt;=Ret_Yr_post)</f>
        <v/>
      </c>
      <c r="BC75" s="590">
        <f>AY75*overtime_post</f>
        <v/>
      </c>
      <c r="BD75" s="590">
        <f>$AY75*allow_1_post</f>
        <v/>
      </c>
      <c r="BE75" s="590">
        <f>($AY75&lt;&gt;0)*allow_2_post*12</f>
        <v/>
      </c>
      <c r="BF75" s="590" t="n"/>
      <c r="BG75" s="581">
        <f>IF(YEAR($V75)&lt;=Ret_Yr_post,SUM(AY75:BF75),0)*IF($W75=Ret_Yr_post,AV75,1)</f>
        <v/>
      </c>
      <c r="BH75" s="581">
        <f>IF($W75&gt;=Ret_Yr_post,pens_Post*(GEPF_pre="Y"),0)*IF($W75=Ret_Yr_post,1-$AV75,1)*IF(Ret_Yr_post&lt;Current,(_xlfn.IFNA(VLOOKUP($D75,CPI!$A:$E,2,FALSE),VLOOKUP(Current,CPI!$A:$E,2,FALSE))/VLOOKUP(Ret_Yr_post,CPI!$A:$E,2,FALSE)),1)</f>
        <v/>
      </c>
      <c r="BI75" s="590">
        <f>$AY75*ee_post*IF($W75=Ret_Yr_post,$AV75,1)</f>
        <v/>
      </c>
      <c r="BJ75" s="590">
        <f>$AY75*er_post*IF($W75=Ret_Yr_post,$AV75,1)</f>
        <v/>
      </c>
      <c r="BK75" s="590">
        <f>IF('LOE Sc1'!$W75=Ret_Yr_post,Gratuity_Post*(GEPF_post="Y"),0)</f>
        <v/>
      </c>
      <c r="BL75" s="581">
        <f>BG75+BH75-BI75-BJ75*(GEPF_post="Y")</f>
        <v/>
      </c>
      <c r="BM75" s="590">
        <f>IF(DM75&lt;0,0,DM75)</f>
        <v/>
      </c>
      <c r="BN75" s="581">
        <f>(BL75-BM75+BI75*(BI$7="Y")+BJ75*(BJ$7="Y"))*IF($W75&lt;Ret_Yr_post,AV75,1)+BK75</f>
        <v/>
      </c>
      <c r="BO75" s="591" t="n"/>
      <c r="BP75" s="592">
        <f>IF($E75="FL",IF($X75&lt;=DoC,DATEDIF(DoC,$V75,"M")/12,0),0)</f>
        <v/>
      </c>
      <c r="BQ75" s="592">
        <f>IF($E75="FL",(1+CPI)^INT(BP75),0)</f>
        <v/>
      </c>
      <c r="BR75" s="592">
        <f>IF($E75="FL",IF(($BP75-0.5)&gt;=0,1/(1+d)^($BP75-0.5),1/(1+d)^($BP75)),0)</f>
        <v/>
      </c>
      <c r="BS75" s="592" t="n"/>
      <c r="BT75" s="25">
        <f>IF(gender="M",VLOOKUP($Y75+pre_mort+IF(MONTH(DoC)&lt;MONTH(DoB),IF(MONTH(DoC)&lt;3,0,-1),IF(MONTH(DoB)&lt;3,-1,0)),'SALT LIFE TABLES'!$A$7:$E$106,2),VLOOKUP($Y75+pre_mort+IF(MONTH(DoC)&lt;MONTH(DoB),IF(MONTH(DoC)&lt;3,0,-1),IF(MONTH(DoB)&lt;3,-1,0)),'SALT LIFE TABLES'!$A$7:$E$106,4))</f>
        <v/>
      </c>
      <c r="BU75" s="592">
        <f>IF($E75="PL",1,BT75/BU$7)</f>
        <v/>
      </c>
      <c r="BV75" s="593" t="n"/>
      <c r="BW75" s="25">
        <f>IF(gender="M",VLOOKUP($Y75+post_mort+IF(MONTH(DoC)&lt;MONTH(DoB),IF(MONTH(DoC)&lt;3,0,-1),IF(MONTH(DoB)&lt;3,-1,0)),'SALT LIFE TABLES'!$A$7:$E$106,2),VLOOKUP($Y75+post_mort+IF(MONTH(DoC)&lt;MONTH(DoB),IF(MONTH(DoC)&lt;3,0,-1),IF(MONTH(DoB)&lt;3,-1,0)),'SALT LIFE TABLES'!$A$7:$E$106,4))</f>
        <v/>
      </c>
      <c r="BX75" s="592">
        <f>IF($E75="PL",1,BW75/BX$7)</f>
        <v/>
      </c>
      <c r="BY75" s="594" t="n"/>
      <c r="BZ75" s="592" t="n"/>
      <c r="CA75" s="592">
        <f>IF($E75="FL",$AR75*$BQ75*$BR75*$BU75,$AR75)</f>
        <v/>
      </c>
      <c r="CB75" s="592">
        <f>IF($E75="FL",$BN75*$BQ75*$BR75*$BX75,$BN75)</f>
        <v/>
      </c>
      <c r="CC75" s="592" t="n"/>
      <c r="CD75" s="592">
        <f>IF($E75="FL",$CA75*(1-pre_FL),$CA75*(1-pre_PL))</f>
        <v/>
      </c>
      <c r="CE75" s="592">
        <f>IF($E75="FL",$CB75*(1-post_FL),$CB75*(1-post_PL))</f>
        <v/>
      </c>
      <c r="CF75" s="592" t="n"/>
      <c r="CG75" s="599">
        <f>CD75-CE75</f>
        <v/>
      </c>
      <c r="CH75" s="599">
        <f>MIN(CG75,IF(W75=Ret_Yr_pre,1,$X75)*Cap)</f>
        <v/>
      </c>
      <c r="CI75" s="128" t="n"/>
      <c r="CJ75" s="37">
        <f>IF(D75&gt;Current,Current,D75)</f>
        <v/>
      </c>
      <c r="CK75" s="37">
        <f>MATCH($CJ75,Tax_Tables[Tax Year],0)</f>
        <v/>
      </c>
      <c r="CL75" s="600" t="n">
        <v>0</v>
      </c>
      <c r="CM75" s="600">
        <f t="array" ref="CM75">INDEX(Tax_Tables[[Limits]:[Limits]],$CK75+CM$8)</f>
        <v/>
      </c>
      <c r="CN75" s="600">
        <f t="array" ref="CN75">INDEX(Tax_Tables[[Limits]:[Limits]],$CK75+CN$8)</f>
        <v/>
      </c>
      <c r="CO75" s="600">
        <f t="array" ref="CO75">INDEX(Tax_Tables[[Limits]:[Limits]],$CK75+CO$8)</f>
        <v/>
      </c>
      <c r="CP75" s="600">
        <f t="array" ref="CP75">INDEX(Tax_Tables[[Limits]:[Limits]],$CK75+CP$8)</f>
        <v/>
      </c>
      <c r="CQ75" s="600">
        <f t="array" ref="CQ75">INDEX(Tax_Tables[[Limits]:[Limits]],$CK75+CQ$8)</f>
        <v/>
      </c>
      <c r="CR75" s="600">
        <f t="array" ref="CR75">INDEX(Tax_Tables[[Limits]:[Limits]],$CK75+CR$8)</f>
        <v/>
      </c>
      <c r="CS75" s="37">
        <f>INDEX(Rebate[&lt;65],MATCH($CJ75,Rebate[[Tax Year]:[Tax Year]],0))</f>
        <v/>
      </c>
      <c r="CT75" s="37">
        <f>INDEX(Rebate[&lt;75],MATCH($CJ75,Rebate[[Tax Year]:[Tax Year]],0))</f>
        <v/>
      </c>
      <c r="CU75" s="37">
        <f>INDEX(Rebate[&gt;75],MATCH($CJ75,Rebate[[Tax Year]:[Tax Year]],0))</f>
        <v/>
      </c>
      <c r="CV75" s="37">
        <f>INDEX(Tax_Credit[Principal],MATCH($CJ75,Tax_Credit[[Tax Year]:[Tax Year]],0))</f>
        <v/>
      </c>
      <c r="CW75" s="37">
        <f>INDEX(Tax_Credit[First Dependant],MATCH($CJ75,Tax_Credit[[Tax Year]:[Tax Year]],0))</f>
        <v/>
      </c>
      <c r="CX75" s="37">
        <f>INDEX(Tax_Credit[Each Additional],MATCH($CJ75,Tax_Credit[[Tax Year]:[Tax Year]],0))</f>
        <v/>
      </c>
      <c r="CY75" s="484">
        <f>Y75</f>
        <v/>
      </c>
      <c r="CZ75" s="601">
        <f>AP75</f>
        <v/>
      </c>
      <c r="DA75" s="37">
        <f t="array" ref="DA75">INDEX($CL75:$CR75,0,MATCH($CZ75,$CL75:$CR75,1))</f>
        <v/>
      </c>
      <c r="DB75" s="37">
        <f t="array" ref="DB75">IFERROR(INDEX(Tax_Tables[Percentages],$CK75+MATCH($DA75,$CL75:$CR75,0)-1),"")</f>
        <v/>
      </c>
      <c r="DC75" s="37">
        <f t="array" ref="DC75">IFERROR(INDEX(Tax_Tables[Tax],$CK75+MATCH($DA75,$CL75:$CR75,0)-1),"")</f>
        <v/>
      </c>
      <c r="DD75" s="37">
        <f>IF(CY75&lt;65,CS75,IF(CY75&lt;75,CT75,CU75))</f>
        <v/>
      </c>
      <c r="DE75" s="37">
        <f>CV75*(Summary!$C$31="Y")+(Summary!$C$31="Y")*(CW75*(Pre_MDep&gt;=1)+CX75*MAX(Pre_MDep-1,0))</f>
        <v/>
      </c>
      <c r="DF75" s="599">
        <f>IFERROR(MAX(DB75*(CZ75-DA75)+DC75-DD75-DE75*12,0),"")</f>
        <v/>
      </c>
      <c r="DG75" s="602" t="n"/>
      <c r="DH75" s="601">
        <f>BL75</f>
        <v/>
      </c>
      <c r="DI75" s="37">
        <f t="array" ref="DI75">INDEX($CL75:$CR75,0,MATCH($DH75,$CL75:$CR75,1))</f>
        <v/>
      </c>
      <c r="DJ75" s="37">
        <f t="array" ref="DJ75">IFERROR(INDEX(Tax_Tables[Percentages],$CK75+MATCH($DI75,$CL75:$CR75,0)-1),"")</f>
        <v/>
      </c>
      <c r="DK75" s="37">
        <f t="array" ref="DK75">IFERROR(INDEX(Tax_Tables[Tax],$CK75+MATCH($DI75,$CL75:$CR75,0)-1),"")</f>
        <v/>
      </c>
      <c r="DL75" s="37">
        <f>CV75*(Summary!$C$81="Y")+(Summary!$C$81="Y")*(CW75*(Post_MDep&gt;=1)+CX75*MAX(Post_MDep-1,0))</f>
        <v/>
      </c>
      <c r="DM75" s="599">
        <f>IFERROR(MAX(DJ75*(DH75-DI75)+DK75-DD75-DL75*12,0),"")</f>
        <v/>
      </c>
      <c r="DN75" s="601" t="n"/>
      <c r="DO75" s="37" t="n"/>
      <c r="DP75" s="37" t="n"/>
      <c r="DQ75" s="37" t="n"/>
      <c r="DR75" s="37" t="n"/>
      <c r="DS75" s="37" t="n"/>
      <c r="DT75" s="37" t="n"/>
      <c r="DU75" s="37" t="n"/>
      <c r="DV75" s="37" t="n"/>
      <c r="DW75" s="37" t="n"/>
      <c r="DX75" s="599" t="n"/>
      <c r="DY75" s="131" t="n"/>
      <c r="DZ75" s="601" t="n"/>
      <c r="EA75" s="37" t="n"/>
      <c r="EB75" s="37" t="n"/>
      <c r="EC75" s="37" t="n"/>
      <c r="ED75" s="599" t="n"/>
      <c r="EE75" s="595" t="n"/>
      <c r="EF75" s="25" t="n"/>
    </row>
    <row r="76">
      <c r="C76" s="596">
        <f>C75+D76-D75</f>
        <v/>
      </c>
      <c r="D76" s="160">
        <f>AU76</f>
        <v/>
      </c>
      <c r="E76" s="87">
        <f>IF(DoC=V76,"Calc Date",IF(V76&lt;DoC,"PL","FL"))</f>
        <v/>
      </c>
      <c r="F76" s="310">
        <f>F75+1</f>
        <v/>
      </c>
      <c r="G76" s="31">
        <f>VLOOKUP(F76,C$10:D$148,2)</f>
        <v/>
      </c>
      <c r="H76" s="313">
        <f>H75</f>
        <v/>
      </c>
      <c r="I76" s="281">
        <f>I75</f>
        <v/>
      </c>
      <c r="J76" s="589">
        <f>I76*index/VLOOKUP($H76,CPI!A:E,4,FALSE)</f>
        <v/>
      </c>
      <c r="K76" s="589">
        <f>IF(L76="Linear",(J76-J75)/(G76-G75),0)</f>
        <v/>
      </c>
      <c r="L76" s="311" t="inlineStr">
        <is>
          <t>Flat</t>
        </is>
      </c>
      <c r="M76" s="137" t="n"/>
      <c r="N76" s="310">
        <f>N75+1</f>
        <v/>
      </c>
      <c r="O76" s="31">
        <f>O75+N76-N75</f>
        <v/>
      </c>
      <c r="P76" s="313">
        <f>P75</f>
        <v/>
      </c>
      <c r="Q76" s="281">
        <f>Q75</f>
        <v/>
      </c>
      <c r="R76" s="589">
        <f>Q76*index/VLOOKUP($P76,CPI!A:E,4,FALSE)</f>
        <v/>
      </c>
      <c r="S76" s="589">
        <f>IF(T76="Linear",(R76-R75)/(O76-O75),0)</f>
        <v/>
      </c>
      <c r="T76" s="311" t="inlineStr">
        <is>
          <t>Flat</t>
        </is>
      </c>
      <c r="U76" s="144" t="n"/>
      <c r="V76" s="6">
        <f>IF(AND($V75=DoA,MONTH(V75)&lt;3),DATE(YEAR(DoA),3,1),IF(AND(IFERROR(DATEDIF(V75,DoC,"M"),12)&lt;12,IFERROR(DATEDIF(V75,DoC,"M"),12)&gt;0),DoC,DATE(YEAR(V75)+(1-AND(YEAR(DoC)=Current,V75=DoC)-AND(V75=DoA,MONTH(V75)&lt;3)),3,1)))</f>
        <v/>
      </c>
      <c r="W76" s="31">
        <f>IF(V76=DoR_Pre,IF(MONTH(DoR_Pre)&gt;3,YEAR(DoR_Pre)+1,YEAR(DoR_Pre)),IF(MONTH(V76)&gt;3,Current,YEAR(V76)))</f>
        <v/>
      </c>
      <c r="X76" s="597">
        <f>IF(W76=Current,ROUND((V76-V75)/365.25,5),_xlfn.IFNA(INDEX(Summary!$A$5:$A$22,MATCH('LOE Sc1'!W76,Summary!$C$5:$C$22,0)),IF(W76=Ret_Yr_pre,ROUND((DoR_Pre-V75)/365.25,5),ROUND((V76-V75)/365.25,2))))</f>
        <v/>
      </c>
      <c r="Y76" s="55">
        <f>IF(AND(V76=DoC,MONTH(DoC)&lt;&gt;3),ROUNDDOWN(DATEDIF(DoB,V77,"M")/12,),ROUNDDOWN(DATEDIF(DoB,V76,"M")/12,))</f>
        <v/>
      </c>
      <c r="Z76" s="590" t="n"/>
      <c r="AA76" s="25">
        <f>MAX(RetAge_Pre-Y76,0)</f>
        <v/>
      </c>
      <c r="AB76" s="26">
        <f t="array" ref="AB76">IF(W76&gt;Ret_Yr_pre,0,_xlfn.IFNA(VLOOKUP(Y76,F$11:J$1000,5,),IF(AND(W76=Current,V76&gt;DoC,MONTH(DoC)&lt;&gt;3),AB75,AB75+INDEX(K$11:K$1000,MATCH(Y76,F$11:F$1000,1)+1))))</f>
        <v/>
      </c>
      <c r="AC76" s="590">
        <f>IF(V76&lt;DoC,AB76*VLOOKUP(YEAR(V76),CPI!A:E,4,FALSE)/index,AB76*real_i^INT(BP76))</f>
        <v/>
      </c>
      <c r="AD76" s="590">
        <f>$AC76/12*Bonus</f>
        <v/>
      </c>
      <c r="AE76" s="590">
        <f>IF($E76="FL",MedSub*m^INT(BP76),MedSub)*IF(Summary!$C$31="Y",1,0)*(W76&lt;=Ret_Yr_pre)*(Summary!C$31="Y")</f>
        <v/>
      </c>
      <c r="AF76" s="590">
        <f>IF(Summary!$C$30="Y",IF(E76&lt;&gt;"PL",VLOOKUP(Current,'Housing Allowance'!$A:$B,2,),VLOOKUP(YEAR($V76),'Housing Allowance'!$A:$B,2,)),0)*(W76&lt;=Ret_Yr_pre)</f>
        <v/>
      </c>
      <c r="AG76" s="590">
        <f>AC76*overtime</f>
        <v/>
      </c>
      <c r="AH76" s="590">
        <f>AC76*allow_1</f>
        <v/>
      </c>
      <c r="AI76" s="590">
        <f>(AB76&lt;&gt;0)*12*allow_2</f>
        <v/>
      </c>
      <c r="AJ76" s="590" t="n"/>
      <c r="AK76" s="581">
        <f>IF(YEAR(W76)&lt;=Ret_Yr_pre,SUM(AC76:AJ76),0)*IF($W76=Ret_Yr_pre,X76,1)</f>
        <v/>
      </c>
      <c r="AL76" s="581">
        <f>IF($W76&gt;=Ret_Yr_pre,pens_Pre*(GEPF_pre="Y"),0)*IF($W76=Ret_Yr_pre,1-$X76,1)*IF(Ret_Yr_pre&lt;Current,(_xlfn.IFNA(VLOOKUP($D76,CPI!$A:$E,2,FALSE),VLOOKUP(Current,CPI!$A:$E,2,FALSE))/VLOOKUP(Ret_Yr_pre,CPI!$A:$E,2,FALSE)),1)</f>
        <v/>
      </c>
      <c r="AM76" s="590">
        <f>$AC76*ee*IF($W76=Ret_Yr_pre,$X76,1)</f>
        <v/>
      </c>
      <c r="AN76" s="590">
        <f>$AC76*er*IF($W76=Ret_Yr_pre,$X76,1)</f>
        <v/>
      </c>
      <c r="AO76" s="590">
        <f>IF('LOE Sc1'!$W76=Ret_Yr_pre,Gratuity_Pre*(GEPF_pre="Y"),0)</f>
        <v/>
      </c>
      <c r="AP76" s="581">
        <f>AK76+AL76-$AM76-AN76*(GEPF_pre="Y")</f>
        <v/>
      </c>
      <c r="AQ76" s="590">
        <f>IF(DF76&lt;0,0,DF76)</f>
        <v/>
      </c>
      <c r="AR76" s="581">
        <f>(AP76-AQ76+AM76*(AM$7="Y")+AN76*(AN$7="Y"))*IF(W76&lt;Ret_Yr_pre,X76,1)+AO76</f>
        <v/>
      </c>
      <c r="AS76" s="595" t="n"/>
      <c r="AT76" s="6">
        <f>V76</f>
        <v/>
      </c>
      <c r="AU76" s="31">
        <f>W76</f>
        <v/>
      </c>
      <c r="AV76" s="598">
        <f>IF(AU76=Current,ROUND((AT76-AT75)/365.25,5),_xlfn.IFNA(INDEX(Summary!$A$55:$A$72,MATCH('LOE Sc1'!AU76,Summary!$C$55:$C$72,0)),IF(AU76=Ret_Yr_post,ROUND((DoR_Post-AT75)/365.25,5),ROUND((AT76-AT75)/365.25,2))))</f>
        <v/>
      </c>
      <c r="AW76" s="55">
        <f>Y76</f>
        <v/>
      </c>
      <c r="AX76" s="26">
        <f t="array" ref="AX76">IF(AU76&gt;Ret_Yr_post,0,_xlfn.IFNA(VLOOKUP(AW76,N$11:S$1000,5,),IF(AND(AU76=Current,AT76&gt;DoC,MONTH(DoC)&lt;&gt;3),AX75,AX75+INDEX(S$11:S$1000,MATCH(AW76,N$11:N$1000,1)+1))))</f>
        <v/>
      </c>
      <c r="AY76" s="590">
        <f>IF($V76&lt;DoC,AX76*VLOOKUP(YEAR($V76),CPI_Table,4,FALSE)/index,AX76*real_i^INT(BP76))</f>
        <v/>
      </c>
      <c r="AZ76" s="590">
        <f>$AY76/12*Bonus_Post*($AW76&lt;=RetAge_Post)</f>
        <v/>
      </c>
      <c r="BA76" s="590">
        <f>IF($E76="FL",MedSub*m^INT(BP76),MedSub)*IF(Summary!$C$81="Y",1,0)*($AU76&lt;=Ret_Yr_post)*(Summary!$C$81="Y")</f>
        <v/>
      </c>
      <c r="BB76" s="590">
        <f>IF(Summary!$C$80="Y",IF($E76&lt;&gt;"PL",VLOOKUP(Current,'Housing Allowance'!$A:$B,2,),VLOOKUP(YEAR($AT76),'Housing Allowance'!$A:$B,2,)),0)*($AU76&lt;=Ret_Yr_post)</f>
        <v/>
      </c>
      <c r="BC76" s="590">
        <f>AY76*overtime_post</f>
        <v/>
      </c>
      <c r="BD76" s="590">
        <f>$AY76*allow_1_post</f>
        <v/>
      </c>
      <c r="BE76" s="590">
        <f>($AY76&lt;&gt;0)*allow_2_post*12</f>
        <v/>
      </c>
      <c r="BF76" s="590" t="n"/>
      <c r="BG76" s="581">
        <f>IF(YEAR($V76)&lt;=Ret_Yr_post,SUM(AY76:BF76),0)*IF($W76=Ret_Yr_post,AV76,1)</f>
        <v/>
      </c>
      <c r="BH76" s="581">
        <f>IF($W76&gt;=Ret_Yr_post,pens_Post*(GEPF_pre="Y"),0)*IF($W76=Ret_Yr_post,1-$AV76,1)*IF(Ret_Yr_post&lt;Current,(_xlfn.IFNA(VLOOKUP($D76,CPI!$A:$E,2,FALSE),VLOOKUP(Current,CPI!$A:$E,2,FALSE))/VLOOKUP(Ret_Yr_post,CPI!$A:$E,2,FALSE)),1)</f>
        <v/>
      </c>
      <c r="BI76" s="590">
        <f>$AY76*ee_post*IF($W76=Ret_Yr_post,$AV76,1)</f>
        <v/>
      </c>
      <c r="BJ76" s="590">
        <f>$AY76*er_post*IF($W76=Ret_Yr_post,$AV76,1)</f>
        <v/>
      </c>
      <c r="BK76" s="590">
        <f>IF('LOE Sc1'!$W76=Ret_Yr_post,Gratuity_Post*(GEPF_post="Y"),0)</f>
        <v/>
      </c>
      <c r="BL76" s="581">
        <f>BG76+BH76-BI76-BJ76*(GEPF_post="Y")</f>
        <v/>
      </c>
      <c r="BM76" s="590">
        <f>IF(DM76&lt;0,0,DM76)</f>
        <v/>
      </c>
      <c r="BN76" s="581">
        <f>(BL76-BM76+BI76*(BI$7="Y")+BJ76*(BJ$7="Y"))*IF($W76&lt;Ret_Yr_post,AV76,1)+BK76</f>
        <v/>
      </c>
      <c r="BO76" s="591" t="n"/>
      <c r="BP76" s="592">
        <f>IF($E76="FL",IF($X76&lt;=DoC,DATEDIF(DoC,$V76,"M")/12,0),0)</f>
        <v/>
      </c>
      <c r="BQ76" s="592">
        <f>IF($E76="FL",(1+CPI)^INT(BP76),0)</f>
        <v/>
      </c>
      <c r="BR76" s="592">
        <f>IF($E76="FL",IF(($BP76-0.5)&gt;=0,1/(1+d)^($BP76-0.5),1/(1+d)^($BP76)),0)</f>
        <v/>
      </c>
      <c r="BS76" s="592" t="n"/>
      <c r="BT76" s="25">
        <f>IF(gender="M",VLOOKUP($Y76+pre_mort+IF(MONTH(DoC)&lt;MONTH(DoB),IF(MONTH(DoC)&lt;3,0,-1),IF(MONTH(DoB)&lt;3,-1,0)),'SALT LIFE TABLES'!$A$7:$E$106,2),VLOOKUP($Y76+pre_mort+IF(MONTH(DoC)&lt;MONTH(DoB),IF(MONTH(DoC)&lt;3,0,-1),IF(MONTH(DoB)&lt;3,-1,0)),'SALT LIFE TABLES'!$A$7:$E$106,4))</f>
        <v/>
      </c>
      <c r="BU76" s="592">
        <f>IF($E76="PL",1,BT76/BU$7)</f>
        <v/>
      </c>
      <c r="BV76" s="593" t="n"/>
      <c r="BW76" s="25">
        <f>IF(gender="M",VLOOKUP($Y76+post_mort+IF(MONTH(DoC)&lt;MONTH(DoB),IF(MONTH(DoC)&lt;3,0,-1),IF(MONTH(DoB)&lt;3,-1,0)),'SALT LIFE TABLES'!$A$7:$E$106,2),VLOOKUP($Y76+post_mort+IF(MONTH(DoC)&lt;MONTH(DoB),IF(MONTH(DoC)&lt;3,0,-1),IF(MONTH(DoB)&lt;3,-1,0)),'SALT LIFE TABLES'!$A$7:$E$106,4))</f>
        <v/>
      </c>
      <c r="BX76" s="592">
        <f>IF($E76="PL",1,BW76/BX$7)</f>
        <v/>
      </c>
      <c r="BY76" s="594" t="n"/>
      <c r="BZ76" s="592" t="n"/>
      <c r="CA76" s="592">
        <f>IF($E76="FL",$AR76*$BQ76*$BR76*$BU76,$AR76)</f>
        <v/>
      </c>
      <c r="CB76" s="592">
        <f>IF($E76="FL",$BN76*$BQ76*$BR76*$BX76,$BN76)</f>
        <v/>
      </c>
      <c r="CC76" s="592" t="n"/>
      <c r="CD76" s="592">
        <f>IF($E76="FL",$CA76*(1-pre_FL),$CA76*(1-pre_PL))</f>
        <v/>
      </c>
      <c r="CE76" s="592">
        <f>IF($E76="FL",$CB76*(1-post_FL),$CB76*(1-post_PL))</f>
        <v/>
      </c>
      <c r="CF76" s="592" t="n"/>
      <c r="CG76" s="599">
        <f>CD76-CE76</f>
        <v/>
      </c>
      <c r="CH76" s="599">
        <f>MIN(CG76,IF(W76=Ret_Yr_pre,1,$X76)*Cap)</f>
        <v/>
      </c>
      <c r="CI76" s="128" t="n"/>
      <c r="CJ76" s="37">
        <f>IF(D76&gt;Current,Current,D76)</f>
        <v/>
      </c>
      <c r="CK76" s="37">
        <f>MATCH($CJ76,Tax_Tables[Tax Year],0)</f>
        <v/>
      </c>
      <c r="CL76" s="600" t="n">
        <v>0</v>
      </c>
      <c r="CM76" s="600">
        <f t="array" ref="CM76">INDEX(Tax_Tables[[Limits]:[Limits]],$CK76+CM$8)</f>
        <v/>
      </c>
      <c r="CN76" s="600">
        <f t="array" ref="CN76">INDEX(Tax_Tables[[Limits]:[Limits]],$CK76+CN$8)</f>
        <v/>
      </c>
      <c r="CO76" s="600">
        <f t="array" ref="CO76">INDEX(Tax_Tables[[Limits]:[Limits]],$CK76+CO$8)</f>
        <v/>
      </c>
      <c r="CP76" s="600">
        <f t="array" ref="CP76">INDEX(Tax_Tables[[Limits]:[Limits]],$CK76+CP$8)</f>
        <v/>
      </c>
      <c r="CQ76" s="600">
        <f t="array" ref="CQ76">INDEX(Tax_Tables[[Limits]:[Limits]],$CK76+CQ$8)</f>
        <v/>
      </c>
      <c r="CR76" s="600">
        <f t="array" ref="CR76">INDEX(Tax_Tables[[Limits]:[Limits]],$CK76+CR$8)</f>
        <v/>
      </c>
      <c r="CS76" s="37">
        <f>INDEX(Rebate[&lt;65],MATCH($CJ76,Rebate[[Tax Year]:[Tax Year]],0))</f>
        <v/>
      </c>
      <c r="CT76" s="37">
        <f>INDEX(Rebate[&lt;75],MATCH($CJ76,Rebate[[Tax Year]:[Tax Year]],0))</f>
        <v/>
      </c>
      <c r="CU76" s="37">
        <f>INDEX(Rebate[&gt;75],MATCH($CJ76,Rebate[[Tax Year]:[Tax Year]],0))</f>
        <v/>
      </c>
      <c r="CV76" s="37">
        <f>INDEX(Tax_Credit[Principal],MATCH($CJ76,Tax_Credit[[Tax Year]:[Tax Year]],0))</f>
        <v/>
      </c>
      <c r="CW76" s="37">
        <f>INDEX(Tax_Credit[First Dependant],MATCH($CJ76,Tax_Credit[[Tax Year]:[Tax Year]],0))</f>
        <v/>
      </c>
      <c r="CX76" s="37">
        <f>INDEX(Tax_Credit[Each Additional],MATCH($CJ76,Tax_Credit[[Tax Year]:[Tax Year]],0))</f>
        <v/>
      </c>
      <c r="CY76" s="484">
        <f>Y76</f>
        <v/>
      </c>
      <c r="CZ76" s="601">
        <f>AP76</f>
        <v/>
      </c>
      <c r="DA76" s="37">
        <f t="array" ref="DA76">INDEX($CL76:$CR76,0,MATCH($CZ76,$CL76:$CR76,1))</f>
        <v/>
      </c>
      <c r="DB76" s="37">
        <f t="array" ref="DB76">IFERROR(INDEX(Tax_Tables[Percentages],$CK76+MATCH($DA76,$CL76:$CR76,0)-1),"")</f>
        <v/>
      </c>
      <c r="DC76" s="37">
        <f t="array" ref="DC76">IFERROR(INDEX(Tax_Tables[Tax],$CK76+MATCH($DA76,$CL76:$CR76,0)-1),"")</f>
        <v/>
      </c>
      <c r="DD76" s="37">
        <f>IF(CY76&lt;65,CS76,IF(CY76&lt;75,CT76,CU76))</f>
        <v/>
      </c>
      <c r="DE76" s="37">
        <f>CV76*(Summary!$C$31="Y")+(Summary!$C$31="Y")*(CW76*(Pre_MDep&gt;=1)+CX76*MAX(Pre_MDep-1,0))</f>
        <v/>
      </c>
      <c r="DF76" s="599">
        <f>IFERROR(MAX(DB76*(CZ76-DA76)+DC76-DD76-DE76*12,0),"")</f>
        <v/>
      </c>
      <c r="DG76" s="602" t="n"/>
      <c r="DH76" s="601">
        <f>BL76</f>
        <v/>
      </c>
      <c r="DI76" s="37">
        <f t="array" ref="DI76">INDEX($CL76:$CR76,0,MATCH($DH76,$CL76:$CR76,1))</f>
        <v/>
      </c>
      <c r="DJ76" s="37">
        <f t="array" ref="DJ76">IFERROR(INDEX(Tax_Tables[Percentages],$CK76+MATCH($DI76,$CL76:$CR76,0)-1),"")</f>
        <v/>
      </c>
      <c r="DK76" s="37">
        <f t="array" ref="DK76">IFERROR(INDEX(Tax_Tables[Tax],$CK76+MATCH($DI76,$CL76:$CR76,0)-1),"")</f>
        <v/>
      </c>
      <c r="DL76" s="37">
        <f>CV76*(Summary!$C$81="Y")+(Summary!$C$81="Y")*(CW76*(Post_MDep&gt;=1)+CX76*MAX(Post_MDep-1,0))</f>
        <v/>
      </c>
      <c r="DM76" s="599">
        <f>IFERROR(MAX(DJ76*(DH76-DI76)+DK76-DD76-DL76*12,0),"")</f>
        <v/>
      </c>
      <c r="DN76" s="601" t="n"/>
      <c r="DO76" s="37" t="n"/>
      <c r="DP76" s="37" t="n"/>
      <c r="DQ76" s="37" t="n"/>
      <c r="DR76" s="37" t="n"/>
      <c r="DS76" s="37" t="n"/>
      <c r="DT76" s="37" t="n"/>
      <c r="DU76" s="37" t="n"/>
      <c r="DV76" s="37" t="n"/>
      <c r="DW76" s="37" t="n"/>
      <c r="DX76" s="599" t="n"/>
      <c r="DY76" s="131" t="n"/>
      <c r="DZ76" s="601" t="n"/>
      <c r="EA76" s="37" t="n"/>
      <c r="EB76" s="37" t="n"/>
      <c r="EC76" s="37" t="n"/>
      <c r="ED76" s="599" t="n"/>
      <c r="EE76" s="595" t="n"/>
      <c r="EF76" s="25" t="n"/>
    </row>
    <row r="77">
      <c r="C77" s="596">
        <f>C76+D77-D76</f>
        <v/>
      </c>
      <c r="D77" s="160">
        <f>AU77</f>
        <v/>
      </c>
      <c r="E77" s="87">
        <f>IF(DoC=V77,"Calc Date",IF(V77&lt;DoC,"PL","FL"))</f>
        <v/>
      </c>
      <c r="F77" s="310">
        <f>F76+1</f>
        <v/>
      </c>
      <c r="G77" s="31">
        <f>VLOOKUP(F77,C$10:D$148,2)</f>
        <v/>
      </c>
      <c r="H77" s="313">
        <f>H76</f>
        <v/>
      </c>
      <c r="I77" s="281">
        <f>I76</f>
        <v/>
      </c>
      <c r="J77" s="589">
        <f>I77*index/VLOOKUP($H77,CPI!A:E,4,FALSE)</f>
        <v/>
      </c>
      <c r="K77" s="589">
        <f>IF(L77="Linear",(J77-J76)/(G77-G76),0)</f>
        <v/>
      </c>
      <c r="L77" s="311" t="inlineStr">
        <is>
          <t>Flat</t>
        </is>
      </c>
      <c r="M77" s="137" t="n"/>
      <c r="N77" s="310">
        <f>N76+1</f>
        <v/>
      </c>
      <c r="O77" s="31">
        <f>O76+N77-N76</f>
        <v/>
      </c>
      <c r="P77" s="313">
        <f>P76</f>
        <v/>
      </c>
      <c r="Q77" s="281">
        <f>Q76</f>
        <v/>
      </c>
      <c r="R77" s="589">
        <f>Q77*index/VLOOKUP($P77,CPI!A:E,4,FALSE)</f>
        <v/>
      </c>
      <c r="S77" s="589">
        <f>IF(T77="Linear",(R77-R76)/(O77-O76),0)</f>
        <v/>
      </c>
      <c r="T77" s="311" t="inlineStr">
        <is>
          <t>Flat</t>
        </is>
      </c>
      <c r="U77" s="144" t="n"/>
      <c r="V77" s="6">
        <f>IF(AND($V76=DoA,MONTH(V76)&lt;3),DATE(YEAR(DoA),3,1),IF(AND(IFERROR(DATEDIF(V76,DoC,"M"),12)&lt;12,IFERROR(DATEDIF(V76,DoC,"M"),12)&gt;0),DoC,DATE(YEAR(V76)+(1-AND(YEAR(DoC)=Current,V76=DoC)-AND(V76=DoA,MONTH(V76)&lt;3)),3,1)))</f>
        <v/>
      </c>
      <c r="W77" s="31">
        <f>IF(V77=DoR_Pre,IF(MONTH(DoR_Pre)&gt;3,YEAR(DoR_Pre)+1,YEAR(DoR_Pre)),IF(MONTH(V77)&gt;3,Current,YEAR(V77)))</f>
        <v/>
      </c>
      <c r="X77" s="597">
        <f>IF(W77=Current,ROUND((V77-V76)/365.25,5),_xlfn.IFNA(INDEX(Summary!$A$5:$A$22,MATCH('LOE Sc1'!W77,Summary!$C$5:$C$22,0)),IF(W77=Ret_Yr_pre,ROUND((DoR_Pre-V76)/365.25,5),ROUND((V77-V76)/365.25,2))))</f>
        <v/>
      </c>
      <c r="Y77" s="55">
        <f>IF(AND(V77=DoC,MONTH(DoC)&lt;&gt;3),ROUNDDOWN(DATEDIF(DoB,V78,"M")/12,),ROUNDDOWN(DATEDIF(DoB,V77,"M")/12,))</f>
        <v/>
      </c>
      <c r="Z77" s="590" t="n"/>
      <c r="AA77" s="25">
        <f>MAX(RetAge_Pre-Y77,0)</f>
        <v/>
      </c>
      <c r="AB77" s="26">
        <f t="array" ref="AB77">IF(W77&gt;Ret_Yr_pre,0,_xlfn.IFNA(VLOOKUP(Y77,F$11:J$1000,5,),IF(AND(W77=Current,V77&gt;DoC,MONTH(DoC)&lt;&gt;3),AB76,AB76+INDEX(K$11:K$1000,MATCH(Y77,F$11:F$1000,1)+1))))</f>
        <v/>
      </c>
      <c r="AC77" s="590">
        <f>IF(V77&lt;DoC,AB77*VLOOKUP(YEAR(V77),CPI!A:E,4,FALSE)/index,AB77*real_i^INT(BP77))</f>
        <v/>
      </c>
      <c r="AD77" s="590">
        <f>$AC77/12*Bonus</f>
        <v/>
      </c>
      <c r="AE77" s="590">
        <f>IF($E77="FL",MedSub*m^INT(BP77),MedSub)*IF(Summary!$C$31="Y",1,0)*(W77&lt;=Ret_Yr_pre)*(Summary!C$31="Y")</f>
        <v/>
      </c>
      <c r="AF77" s="590">
        <f>IF(Summary!$C$30="Y",IF(E77&lt;&gt;"PL",VLOOKUP(Current,'Housing Allowance'!$A:$B,2,),VLOOKUP(YEAR($V77),'Housing Allowance'!$A:$B,2,)),0)*(W77&lt;=Ret_Yr_pre)</f>
        <v/>
      </c>
      <c r="AG77" s="590">
        <f>AC77*overtime</f>
        <v/>
      </c>
      <c r="AH77" s="590">
        <f>AC77*allow_1</f>
        <v/>
      </c>
      <c r="AI77" s="590">
        <f>(AB77&lt;&gt;0)*12*allow_2</f>
        <v/>
      </c>
      <c r="AJ77" s="590" t="n"/>
      <c r="AK77" s="581">
        <f>IF(YEAR(W77)&lt;=Ret_Yr_pre,SUM(AC77:AJ77),0)*IF($W77=Ret_Yr_pre,X77,1)</f>
        <v/>
      </c>
      <c r="AL77" s="581">
        <f>IF($W77&gt;=Ret_Yr_pre,pens_Pre*(GEPF_pre="Y"),0)*IF($W77=Ret_Yr_pre,1-$X77,1)*IF(Ret_Yr_pre&lt;Current,(_xlfn.IFNA(VLOOKUP($D77,CPI!$A:$E,2,FALSE),VLOOKUP(Current,CPI!$A:$E,2,FALSE))/VLOOKUP(Ret_Yr_pre,CPI!$A:$E,2,FALSE)),1)</f>
        <v/>
      </c>
      <c r="AM77" s="590">
        <f>$AC77*ee*IF($W77=Ret_Yr_pre,$X77,1)</f>
        <v/>
      </c>
      <c r="AN77" s="590">
        <f>$AC77*er*IF($W77=Ret_Yr_pre,$X77,1)</f>
        <v/>
      </c>
      <c r="AO77" s="590">
        <f>IF('LOE Sc1'!$W77=Ret_Yr_pre,Gratuity_Pre*(GEPF_pre="Y"),0)</f>
        <v/>
      </c>
      <c r="AP77" s="581">
        <f>AK77+AL77-$AM77-AN77*(GEPF_pre="Y")</f>
        <v/>
      </c>
      <c r="AQ77" s="590">
        <f>IF(DF77&lt;0,0,DF77)</f>
        <v/>
      </c>
      <c r="AR77" s="581">
        <f>(AP77-AQ77+AM77*(AM$7="Y")+AN77*(AN$7="Y"))*IF(W77&lt;Ret_Yr_pre,X77,1)+AO77</f>
        <v/>
      </c>
      <c r="AS77" s="595" t="n"/>
      <c r="AT77" s="6">
        <f>V77</f>
        <v/>
      </c>
      <c r="AU77" s="31">
        <f>W77</f>
        <v/>
      </c>
      <c r="AV77" s="598">
        <f>IF(AU77=Current,ROUND((AT77-AT76)/365.25,5),_xlfn.IFNA(INDEX(Summary!$A$55:$A$72,MATCH('LOE Sc1'!AU77,Summary!$C$55:$C$72,0)),IF(AU77=Ret_Yr_post,ROUND((DoR_Post-AT76)/365.25,5),ROUND((AT77-AT76)/365.25,2))))</f>
        <v/>
      </c>
      <c r="AW77" s="55">
        <f>Y77</f>
        <v/>
      </c>
      <c r="AX77" s="26">
        <f t="array" ref="AX77">IF(AU77&gt;Ret_Yr_post,0,_xlfn.IFNA(VLOOKUP(AW77,N$11:S$1000,5,),IF(AND(AU77=Current,AT77&gt;DoC,MONTH(DoC)&lt;&gt;3),AX76,AX76+INDEX(S$11:S$1000,MATCH(AW77,N$11:N$1000,1)+1))))</f>
        <v/>
      </c>
      <c r="AY77" s="590">
        <f>IF($V77&lt;DoC,AX77*VLOOKUP(YEAR($V77),CPI_Table,4,FALSE)/index,AX77*real_i^INT(BP77))</f>
        <v/>
      </c>
      <c r="AZ77" s="590">
        <f>$AY77/12*Bonus_Post*($AW77&lt;=RetAge_Post)</f>
        <v/>
      </c>
      <c r="BA77" s="590">
        <f>IF($E77="FL",MedSub*m^INT(BP77),MedSub)*IF(Summary!$C$81="Y",1,0)*($AU77&lt;=Ret_Yr_post)*(Summary!$C$81="Y")</f>
        <v/>
      </c>
      <c r="BB77" s="590">
        <f>IF(Summary!$C$80="Y",IF($E77&lt;&gt;"PL",VLOOKUP(Current,'Housing Allowance'!$A:$B,2,),VLOOKUP(YEAR($AT77),'Housing Allowance'!$A:$B,2,)),0)*($AU77&lt;=Ret_Yr_post)</f>
        <v/>
      </c>
      <c r="BC77" s="590">
        <f>AY77*overtime_post</f>
        <v/>
      </c>
      <c r="BD77" s="590">
        <f>$AY77*allow_1_post</f>
        <v/>
      </c>
      <c r="BE77" s="590">
        <f>($AY77&lt;&gt;0)*allow_2_post*12</f>
        <v/>
      </c>
      <c r="BF77" s="590" t="n"/>
      <c r="BG77" s="581">
        <f>IF(YEAR($V77)&lt;=Ret_Yr_post,SUM(AY77:BF77),0)*IF($W77=Ret_Yr_post,AV77,1)</f>
        <v/>
      </c>
      <c r="BH77" s="581">
        <f>IF($W77&gt;=Ret_Yr_post,pens_Post*(GEPF_pre="Y"),0)*IF($W77=Ret_Yr_post,1-$AV77,1)*IF(Ret_Yr_post&lt;Current,(_xlfn.IFNA(VLOOKUP($D77,CPI!$A:$E,2,FALSE),VLOOKUP(Current,CPI!$A:$E,2,FALSE))/VLOOKUP(Ret_Yr_post,CPI!$A:$E,2,FALSE)),1)</f>
        <v/>
      </c>
      <c r="BI77" s="590">
        <f>$AY77*ee_post*IF($W77=Ret_Yr_post,$AV77,1)</f>
        <v/>
      </c>
      <c r="BJ77" s="590">
        <f>$AY77*er_post*IF($W77=Ret_Yr_post,$AV77,1)</f>
        <v/>
      </c>
      <c r="BK77" s="590">
        <f>IF('LOE Sc1'!$W77=Ret_Yr_post,Gratuity_Post*(GEPF_post="Y"),0)</f>
        <v/>
      </c>
      <c r="BL77" s="581">
        <f>BG77+BH77-BI77-BJ77*(GEPF_post="Y")</f>
        <v/>
      </c>
      <c r="BM77" s="590">
        <f>IF(DM77&lt;0,0,DM77)</f>
        <v/>
      </c>
      <c r="BN77" s="581">
        <f>(BL77-BM77+BI77*(BI$7="Y")+BJ77*(BJ$7="Y"))*IF($W77&lt;Ret_Yr_post,AV77,1)+BK77</f>
        <v/>
      </c>
      <c r="BO77" s="591" t="n"/>
      <c r="BP77" s="592">
        <f>IF($E77="FL",IF($X77&lt;=DoC,DATEDIF(DoC,$V77,"M")/12,0),0)</f>
        <v/>
      </c>
      <c r="BQ77" s="592">
        <f>IF($E77="FL",(1+CPI)^INT(BP77),0)</f>
        <v/>
      </c>
      <c r="BR77" s="592">
        <f>IF($E77="FL",IF(($BP77-0.5)&gt;=0,1/(1+d)^($BP77-0.5),1/(1+d)^($BP77)),0)</f>
        <v/>
      </c>
      <c r="BS77" s="592" t="n"/>
      <c r="BT77" s="25">
        <f>IF(gender="M",VLOOKUP($Y77+pre_mort+IF(MONTH(DoC)&lt;MONTH(DoB),IF(MONTH(DoC)&lt;3,0,-1),IF(MONTH(DoB)&lt;3,-1,0)),'SALT LIFE TABLES'!$A$7:$E$106,2),VLOOKUP($Y77+pre_mort+IF(MONTH(DoC)&lt;MONTH(DoB),IF(MONTH(DoC)&lt;3,0,-1),IF(MONTH(DoB)&lt;3,-1,0)),'SALT LIFE TABLES'!$A$7:$E$106,4))</f>
        <v/>
      </c>
      <c r="BU77" s="592">
        <f>IF($E77="PL",1,BT77/BU$7)</f>
        <v/>
      </c>
      <c r="BV77" s="593" t="n"/>
      <c r="BW77" s="25">
        <f>IF(gender="M",VLOOKUP($Y77+post_mort+IF(MONTH(DoC)&lt;MONTH(DoB),IF(MONTH(DoC)&lt;3,0,-1),IF(MONTH(DoB)&lt;3,-1,0)),'SALT LIFE TABLES'!$A$7:$E$106,2),VLOOKUP($Y77+post_mort+IF(MONTH(DoC)&lt;MONTH(DoB),IF(MONTH(DoC)&lt;3,0,-1),IF(MONTH(DoB)&lt;3,-1,0)),'SALT LIFE TABLES'!$A$7:$E$106,4))</f>
        <v/>
      </c>
      <c r="BX77" s="592">
        <f>IF($E77="PL",1,BW77/BX$7)</f>
        <v/>
      </c>
      <c r="BY77" s="594" t="n"/>
      <c r="BZ77" s="592" t="n"/>
      <c r="CA77" s="592">
        <f>IF($E77="FL",$AR77*$BQ77*$BR77*$BU77,$AR77)</f>
        <v/>
      </c>
      <c r="CB77" s="592">
        <f>IF($E77="FL",$BN77*$BQ77*$BR77*$BX77,$BN77)</f>
        <v/>
      </c>
      <c r="CC77" s="592" t="n"/>
      <c r="CD77" s="592">
        <f>IF($E77="FL",$CA77*(1-pre_FL),$CA77*(1-pre_PL))</f>
        <v/>
      </c>
      <c r="CE77" s="592">
        <f>IF($E77="FL",$CB77*(1-post_FL),$CB77*(1-post_PL))</f>
        <v/>
      </c>
      <c r="CF77" s="592" t="n"/>
      <c r="CG77" s="599">
        <f>CD77-CE77</f>
        <v/>
      </c>
      <c r="CH77" s="599">
        <f>MIN(CG77,IF(W77=Ret_Yr_pre,1,$X77)*Cap)</f>
        <v/>
      </c>
      <c r="CI77" s="128" t="n"/>
      <c r="CJ77" s="37">
        <f>IF(D77&gt;Current,Current,D77)</f>
        <v/>
      </c>
      <c r="CK77" s="37">
        <f>MATCH($CJ77,Tax_Tables[Tax Year],0)</f>
        <v/>
      </c>
      <c r="CL77" s="600" t="n">
        <v>0</v>
      </c>
      <c r="CM77" s="600">
        <f t="array" ref="CM77">INDEX(Tax_Tables[[Limits]:[Limits]],$CK77+CM$8)</f>
        <v/>
      </c>
      <c r="CN77" s="600">
        <f t="array" ref="CN77">INDEX(Tax_Tables[[Limits]:[Limits]],$CK77+CN$8)</f>
        <v/>
      </c>
      <c r="CO77" s="600">
        <f t="array" ref="CO77">INDEX(Tax_Tables[[Limits]:[Limits]],$CK77+CO$8)</f>
        <v/>
      </c>
      <c r="CP77" s="600">
        <f t="array" ref="CP77">INDEX(Tax_Tables[[Limits]:[Limits]],$CK77+CP$8)</f>
        <v/>
      </c>
      <c r="CQ77" s="600">
        <f t="array" ref="CQ77">INDEX(Tax_Tables[[Limits]:[Limits]],$CK77+CQ$8)</f>
        <v/>
      </c>
      <c r="CR77" s="600">
        <f t="array" ref="CR77">INDEX(Tax_Tables[[Limits]:[Limits]],$CK77+CR$8)</f>
        <v/>
      </c>
      <c r="CS77" s="37">
        <f>INDEX(Rebate[&lt;65],MATCH($CJ77,Rebate[[Tax Year]:[Tax Year]],0))</f>
        <v/>
      </c>
      <c r="CT77" s="37">
        <f>INDEX(Rebate[&lt;75],MATCH($CJ77,Rebate[[Tax Year]:[Tax Year]],0))</f>
        <v/>
      </c>
      <c r="CU77" s="37">
        <f>INDEX(Rebate[&gt;75],MATCH($CJ77,Rebate[[Tax Year]:[Tax Year]],0))</f>
        <v/>
      </c>
      <c r="CV77" s="37">
        <f>INDEX(Tax_Credit[Principal],MATCH($CJ77,Tax_Credit[[Tax Year]:[Tax Year]],0))</f>
        <v/>
      </c>
      <c r="CW77" s="37">
        <f>INDEX(Tax_Credit[First Dependant],MATCH($CJ77,Tax_Credit[[Tax Year]:[Tax Year]],0))</f>
        <v/>
      </c>
      <c r="CX77" s="37">
        <f>INDEX(Tax_Credit[Each Additional],MATCH($CJ77,Tax_Credit[[Tax Year]:[Tax Year]],0))</f>
        <v/>
      </c>
      <c r="CY77" s="484">
        <f>Y77</f>
        <v/>
      </c>
      <c r="CZ77" s="601">
        <f>AP77</f>
        <v/>
      </c>
      <c r="DA77" s="37">
        <f t="array" ref="DA77">INDEX($CL77:$CR77,0,MATCH($CZ77,$CL77:$CR77,1))</f>
        <v/>
      </c>
      <c r="DB77" s="37">
        <f t="array" ref="DB77">IFERROR(INDEX(Tax_Tables[Percentages],$CK77+MATCH($DA77,$CL77:$CR77,0)-1),"")</f>
        <v/>
      </c>
      <c r="DC77" s="37">
        <f t="array" ref="DC77">IFERROR(INDEX(Tax_Tables[Tax],$CK77+MATCH($DA77,$CL77:$CR77,0)-1),"")</f>
        <v/>
      </c>
      <c r="DD77" s="37">
        <f>IF(CY77&lt;65,CS77,IF(CY77&lt;75,CT77,CU77))</f>
        <v/>
      </c>
      <c r="DE77" s="37">
        <f>CV77*(Summary!$C$31="Y")+(Summary!$C$31="Y")*(CW77*(Pre_MDep&gt;=1)+CX77*MAX(Pre_MDep-1,0))</f>
        <v/>
      </c>
      <c r="DF77" s="599">
        <f>IFERROR(MAX(DB77*(CZ77-DA77)+DC77-DD77-DE77*12,0),"")</f>
        <v/>
      </c>
      <c r="DG77" s="602" t="n"/>
      <c r="DH77" s="601">
        <f>BL77</f>
        <v/>
      </c>
      <c r="DI77" s="37">
        <f t="array" ref="DI77">INDEX($CL77:$CR77,0,MATCH($DH77,$CL77:$CR77,1))</f>
        <v/>
      </c>
      <c r="DJ77" s="37">
        <f t="array" ref="DJ77">IFERROR(INDEX(Tax_Tables[Percentages],$CK77+MATCH($DI77,$CL77:$CR77,0)-1),"")</f>
        <v/>
      </c>
      <c r="DK77" s="37">
        <f t="array" ref="DK77">IFERROR(INDEX(Tax_Tables[Tax],$CK77+MATCH($DI77,$CL77:$CR77,0)-1),"")</f>
        <v/>
      </c>
      <c r="DL77" s="37">
        <f>CV77*(Summary!$C$81="Y")+(Summary!$C$81="Y")*(CW77*(Post_MDep&gt;=1)+CX77*MAX(Post_MDep-1,0))</f>
        <v/>
      </c>
      <c r="DM77" s="599">
        <f>IFERROR(MAX(DJ77*(DH77-DI77)+DK77-DD77-DL77*12,0),"")</f>
        <v/>
      </c>
      <c r="DN77" s="601" t="n"/>
      <c r="DO77" s="37" t="n"/>
      <c r="DP77" s="37" t="n"/>
      <c r="DQ77" s="37" t="n"/>
      <c r="DR77" s="37" t="n"/>
      <c r="DS77" s="37" t="n"/>
      <c r="DT77" s="37" t="n"/>
      <c r="DU77" s="37" t="n"/>
      <c r="DV77" s="37" t="n"/>
      <c r="DW77" s="37" t="n"/>
      <c r="DX77" s="599" t="n"/>
      <c r="DY77" s="131" t="n"/>
      <c r="DZ77" s="601" t="n"/>
      <c r="EA77" s="37" t="n"/>
      <c r="EB77" s="37" t="n"/>
      <c r="EC77" s="37" t="n"/>
      <c r="ED77" s="599" t="n"/>
      <c r="EE77" s="595" t="n"/>
      <c r="EF77" s="25" t="n"/>
    </row>
    <row r="78">
      <c r="C78" s="596">
        <f>C77+D78-D77</f>
        <v/>
      </c>
      <c r="D78" s="160">
        <f>AU78</f>
        <v/>
      </c>
      <c r="E78" s="87">
        <f>IF(DoC=V78,"Calc Date",IF(V78&lt;DoC,"PL","FL"))</f>
        <v/>
      </c>
      <c r="F78" s="310">
        <f>F77+1</f>
        <v/>
      </c>
      <c r="G78" s="31">
        <f>VLOOKUP(F78,C$10:D$148,2)</f>
        <v/>
      </c>
      <c r="H78" s="313">
        <f>H77</f>
        <v/>
      </c>
      <c r="I78" s="281">
        <f>I77</f>
        <v/>
      </c>
      <c r="J78" s="589">
        <f>I78*index/VLOOKUP($H78,CPI!A:E,4,FALSE)</f>
        <v/>
      </c>
      <c r="K78" s="589">
        <f>IF(L78="Linear",(J78-J77)/(G78-G77),0)</f>
        <v/>
      </c>
      <c r="L78" s="311" t="inlineStr">
        <is>
          <t>Flat</t>
        </is>
      </c>
      <c r="M78" s="137" t="n"/>
      <c r="N78" s="310">
        <f>N77+1</f>
        <v/>
      </c>
      <c r="O78" s="31">
        <f>O77+N78-N77</f>
        <v/>
      </c>
      <c r="P78" s="313">
        <f>P77</f>
        <v/>
      </c>
      <c r="Q78" s="281">
        <f>Q77</f>
        <v/>
      </c>
      <c r="R78" s="589">
        <f>Q78*index/VLOOKUP($P78,CPI!A:E,4,FALSE)</f>
        <v/>
      </c>
      <c r="S78" s="589">
        <f>IF(T78="Linear",(R78-R77)/(O78-O77),0)</f>
        <v/>
      </c>
      <c r="T78" s="311" t="inlineStr">
        <is>
          <t>Flat</t>
        </is>
      </c>
      <c r="U78" s="144" t="n"/>
      <c r="V78" s="6">
        <f>IF(AND($V77=DoA,MONTH(V77)&lt;3),DATE(YEAR(DoA),3,1),IF(AND(IFERROR(DATEDIF(V77,DoC,"M"),12)&lt;12,IFERROR(DATEDIF(V77,DoC,"M"),12)&gt;0),DoC,DATE(YEAR(V77)+(1-AND(YEAR(DoC)=Current,V77=DoC)-AND(V77=DoA,MONTH(V77)&lt;3)),3,1)))</f>
        <v/>
      </c>
      <c r="W78" s="31">
        <f>IF(V78=DoR_Pre,IF(MONTH(DoR_Pre)&gt;3,YEAR(DoR_Pre)+1,YEAR(DoR_Pre)),IF(MONTH(V78)&gt;3,Current,YEAR(V78)))</f>
        <v/>
      </c>
      <c r="X78" s="597">
        <f>IF(W78=Current,ROUND((V78-V77)/365.25,5),_xlfn.IFNA(INDEX(Summary!$A$5:$A$22,MATCH('LOE Sc1'!W78,Summary!$C$5:$C$22,0)),IF(W78=Ret_Yr_pre,ROUND((DoR_Pre-V77)/365.25,5),ROUND((V78-V77)/365.25,2))))</f>
        <v/>
      </c>
      <c r="Y78" s="55">
        <f>IF(AND(V78=DoC,MONTH(DoC)&lt;&gt;3),ROUNDDOWN(DATEDIF(DoB,V79,"M")/12,),ROUNDDOWN(DATEDIF(DoB,V78,"M")/12,))</f>
        <v/>
      </c>
      <c r="Z78" s="590" t="n"/>
      <c r="AA78" s="25">
        <f>MAX(RetAge_Pre-Y78,0)</f>
        <v/>
      </c>
      <c r="AB78" s="26">
        <f t="array" ref="AB78">IF(W78&gt;Ret_Yr_pre,0,_xlfn.IFNA(VLOOKUP(Y78,F$11:J$1000,5,),IF(AND(W78=Current,V78&gt;DoC,MONTH(DoC)&lt;&gt;3),AB77,AB77+INDEX(K$11:K$1000,MATCH(Y78,F$11:F$1000,1)+1))))</f>
        <v/>
      </c>
      <c r="AC78" s="590">
        <f>IF(V78&lt;DoC,AB78*VLOOKUP(YEAR(V78),CPI!A:E,4,FALSE)/index,AB78*real_i^INT(BP78))</f>
        <v/>
      </c>
      <c r="AD78" s="590">
        <f>$AC78/12*Bonus</f>
        <v/>
      </c>
      <c r="AE78" s="590">
        <f>IF($E78="FL",MedSub*m^INT(BP78),MedSub)*IF(Summary!$C$31="Y",1,0)*(W78&lt;=Ret_Yr_pre)*(Summary!C$31="Y")</f>
        <v/>
      </c>
      <c r="AF78" s="590">
        <f>IF(Summary!$C$30="Y",IF(E78&lt;&gt;"PL",VLOOKUP(Current,'Housing Allowance'!$A:$B,2,),VLOOKUP(YEAR($V78),'Housing Allowance'!$A:$B,2,)),0)*(W78&lt;=Ret_Yr_pre)</f>
        <v/>
      </c>
      <c r="AG78" s="590">
        <f>AC78*overtime</f>
        <v/>
      </c>
      <c r="AH78" s="590">
        <f>AC78*allow_1</f>
        <v/>
      </c>
      <c r="AI78" s="590">
        <f>(AB78&lt;&gt;0)*12*allow_2</f>
        <v/>
      </c>
      <c r="AJ78" s="590" t="n"/>
      <c r="AK78" s="581">
        <f>IF(YEAR(W78)&lt;=Ret_Yr_pre,SUM(AC78:AJ78),0)*IF($W78=Ret_Yr_pre,X78,1)</f>
        <v/>
      </c>
      <c r="AL78" s="581">
        <f>IF($W78&gt;=Ret_Yr_pre,pens_Pre*(GEPF_pre="Y"),0)*IF($W78=Ret_Yr_pre,1-$X78,1)*IF(Ret_Yr_pre&lt;Current,(_xlfn.IFNA(VLOOKUP($D78,CPI!$A:$E,2,FALSE),VLOOKUP(Current,CPI!$A:$E,2,FALSE))/VLOOKUP(Ret_Yr_pre,CPI!$A:$E,2,FALSE)),1)</f>
        <v/>
      </c>
      <c r="AM78" s="590">
        <f>$AC78*ee*IF($W78=Ret_Yr_pre,$X78,1)</f>
        <v/>
      </c>
      <c r="AN78" s="590">
        <f>$AC78*er*IF($W78=Ret_Yr_pre,$X78,1)</f>
        <v/>
      </c>
      <c r="AO78" s="590">
        <f>IF('LOE Sc1'!$W78=Ret_Yr_pre,Gratuity_Pre*(GEPF_pre="Y"),0)</f>
        <v/>
      </c>
      <c r="AP78" s="581">
        <f>AK78+AL78-$AM78-AN78*(GEPF_pre="Y")</f>
        <v/>
      </c>
      <c r="AQ78" s="590">
        <f>IF(DF78&lt;0,0,DF78)</f>
        <v/>
      </c>
      <c r="AR78" s="581">
        <f>(AP78-AQ78+AM78*(AM$7="Y")+AN78*(AN$7="Y"))*IF(W78&lt;Ret_Yr_pre,X78,1)+AO78</f>
        <v/>
      </c>
      <c r="AS78" s="595" t="n"/>
      <c r="AT78" s="6">
        <f>V78</f>
        <v/>
      </c>
      <c r="AU78" s="31">
        <f>W78</f>
        <v/>
      </c>
      <c r="AV78" s="598">
        <f>IF(AU78=Current,ROUND((AT78-AT77)/365.25,5),_xlfn.IFNA(INDEX(Summary!$A$55:$A$72,MATCH('LOE Sc1'!AU78,Summary!$C$55:$C$72,0)),IF(AU78=Ret_Yr_post,ROUND((DoR_Post-AT77)/365.25,5),ROUND((AT78-AT77)/365.25,2))))</f>
        <v/>
      </c>
      <c r="AW78" s="55">
        <f>Y78</f>
        <v/>
      </c>
      <c r="AX78" s="26">
        <f t="array" ref="AX78">IF(AU78&gt;Ret_Yr_post,0,_xlfn.IFNA(VLOOKUP(AW78,N$11:S$1000,5,),IF(AND(AU78=Current,AT78&gt;DoC,MONTH(DoC)&lt;&gt;3),AX77,AX77+INDEX(S$11:S$1000,MATCH(AW78,N$11:N$1000,1)+1))))</f>
        <v/>
      </c>
      <c r="AY78" s="590">
        <f>IF($V78&lt;DoC,AX78*VLOOKUP(YEAR($V78),CPI_Table,4,FALSE)/index,AX78*real_i^INT(BP78))</f>
        <v/>
      </c>
      <c r="AZ78" s="590">
        <f>$AY78/12*Bonus_Post*($AW78&lt;=RetAge_Post)</f>
        <v/>
      </c>
      <c r="BA78" s="590">
        <f>IF($E78="FL",MedSub*m^INT(BP78),MedSub)*IF(Summary!$C$81="Y",1,0)*($AU78&lt;=Ret_Yr_post)*(Summary!$C$81="Y")</f>
        <v/>
      </c>
      <c r="BB78" s="590">
        <f>IF(Summary!$C$80="Y",IF($E78&lt;&gt;"PL",VLOOKUP(Current,'Housing Allowance'!$A:$B,2,),VLOOKUP(YEAR($AT78),'Housing Allowance'!$A:$B,2,)),0)*($AU78&lt;=Ret_Yr_post)</f>
        <v/>
      </c>
      <c r="BC78" s="590">
        <f>AY78*overtime_post</f>
        <v/>
      </c>
      <c r="BD78" s="590">
        <f>$AY78*allow_1_post</f>
        <v/>
      </c>
      <c r="BE78" s="590">
        <f>($AY78&lt;&gt;0)*allow_2_post*12</f>
        <v/>
      </c>
      <c r="BF78" s="590" t="n"/>
      <c r="BG78" s="581">
        <f>IF(YEAR($V78)&lt;=Ret_Yr_post,SUM(AY78:BF78),0)*IF($W78=Ret_Yr_post,AV78,1)</f>
        <v/>
      </c>
      <c r="BH78" s="581">
        <f>IF($W78&gt;=Ret_Yr_post,pens_Post*(GEPF_pre="Y"),0)*IF($W78=Ret_Yr_post,1-$AV78,1)*IF(Ret_Yr_post&lt;Current,(_xlfn.IFNA(VLOOKUP($D78,CPI!$A:$E,2,FALSE),VLOOKUP(Current,CPI!$A:$E,2,FALSE))/VLOOKUP(Ret_Yr_post,CPI!$A:$E,2,FALSE)),1)</f>
        <v/>
      </c>
      <c r="BI78" s="590">
        <f>$AY78*ee_post*IF($W78=Ret_Yr_post,$AV78,1)</f>
        <v/>
      </c>
      <c r="BJ78" s="590">
        <f>$AY78*er_post*IF($W78=Ret_Yr_post,$AV78,1)</f>
        <v/>
      </c>
      <c r="BK78" s="590">
        <f>IF('LOE Sc1'!$W78=Ret_Yr_post,Gratuity_Post*(GEPF_post="Y"),0)</f>
        <v/>
      </c>
      <c r="BL78" s="581">
        <f>BG78+BH78-BI78-BJ78*(GEPF_post="Y")</f>
        <v/>
      </c>
      <c r="BM78" s="590">
        <f>IF(DM78&lt;0,0,DM78)</f>
        <v/>
      </c>
      <c r="BN78" s="581">
        <f>(BL78-BM78+BI78*(BI$7="Y")+BJ78*(BJ$7="Y"))*IF($W78&lt;Ret_Yr_post,AV78,1)+BK78</f>
        <v/>
      </c>
      <c r="BO78" s="591" t="n"/>
      <c r="BP78" s="592">
        <f>IF($E78="FL",IF($X78&lt;=DoC,DATEDIF(DoC,$V78,"M")/12,0),0)</f>
        <v/>
      </c>
      <c r="BQ78" s="592">
        <f>IF($E78="FL",(1+CPI)^INT(BP78),0)</f>
        <v/>
      </c>
      <c r="BR78" s="592">
        <f>IF($E78="FL",IF(($BP78-0.5)&gt;=0,1/(1+d)^($BP78-0.5),1/(1+d)^($BP78)),0)</f>
        <v/>
      </c>
      <c r="BS78" s="592" t="n"/>
      <c r="BT78" s="25">
        <f>IF(gender="M",VLOOKUP($Y78+pre_mort+IF(MONTH(DoC)&lt;MONTH(DoB),IF(MONTH(DoC)&lt;3,0,-1),IF(MONTH(DoB)&lt;3,-1,0)),'SALT LIFE TABLES'!$A$7:$E$106,2),VLOOKUP($Y78+pre_mort+IF(MONTH(DoC)&lt;MONTH(DoB),IF(MONTH(DoC)&lt;3,0,-1),IF(MONTH(DoB)&lt;3,-1,0)),'SALT LIFE TABLES'!$A$7:$E$106,4))</f>
        <v/>
      </c>
      <c r="BU78" s="592">
        <f>IF($E78="PL",1,BT78/BU$7)</f>
        <v/>
      </c>
      <c r="BV78" s="593" t="n"/>
      <c r="BW78" s="25">
        <f>IF(gender="M",VLOOKUP($Y78+post_mort+IF(MONTH(DoC)&lt;MONTH(DoB),IF(MONTH(DoC)&lt;3,0,-1),IF(MONTH(DoB)&lt;3,-1,0)),'SALT LIFE TABLES'!$A$7:$E$106,2),VLOOKUP($Y78+post_mort+IF(MONTH(DoC)&lt;MONTH(DoB),IF(MONTH(DoC)&lt;3,0,-1),IF(MONTH(DoB)&lt;3,-1,0)),'SALT LIFE TABLES'!$A$7:$E$106,4))</f>
        <v/>
      </c>
      <c r="BX78" s="592">
        <f>IF($E78="PL",1,BW78/BX$7)</f>
        <v/>
      </c>
      <c r="BY78" s="594" t="n"/>
      <c r="BZ78" s="592" t="n"/>
      <c r="CA78" s="592">
        <f>IF($E78="FL",$AR78*$BQ78*$BR78*$BU78,$AR78)</f>
        <v/>
      </c>
      <c r="CB78" s="592">
        <f>IF($E78="FL",$BN78*$BQ78*$BR78*$BX78,$BN78)</f>
        <v/>
      </c>
      <c r="CC78" s="592" t="n"/>
      <c r="CD78" s="592">
        <f>IF($E78="FL",$CA78*(1-pre_FL),$CA78*(1-pre_PL))</f>
        <v/>
      </c>
      <c r="CE78" s="592">
        <f>IF($E78="FL",$CB78*(1-post_FL),$CB78*(1-post_PL))</f>
        <v/>
      </c>
      <c r="CF78" s="592" t="n"/>
      <c r="CG78" s="599">
        <f>CD78-CE78</f>
        <v/>
      </c>
      <c r="CH78" s="599">
        <f>MIN(CG78,IF(W78=Ret_Yr_pre,1,$X78)*Cap)</f>
        <v/>
      </c>
      <c r="CI78" s="128" t="n"/>
      <c r="CJ78" s="37">
        <f>IF(D78&gt;Current,Current,D78)</f>
        <v/>
      </c>
      <c r="CK78" s="37">
        <f>MATCH($CJ78,Tax_Tables[Tax Year],0)</f>
        <v/>
      </c>
      <c r="CL78" s="600" t="n">
        <v>0</v>
      </c>
      <c r="CM78" s="600">
        <f t="array" ref="CM78">INDEX(Tax_Tables[[Limits]:[Limits]],$CK78+CM$8)</f>
        <v/>
      </c>
      <c r="CN78" s="600">
        <f t="array" ref="CN78">INDEX(Tax_Tables[[Limits]:[Limits]],$CK78+CN$8)</f>
        <v/>
      </c>
      <c r="CO78" s="600">
        <f t="array" ref="CO78">INDEX(Tax_Tables[[Limits]:[Limits]],$CK78+CO$8)</f>
        <v/>
      </c>
      <c r="CP78" s="600">
        <f t="array" ref="CP78">INDEX(Tax_Tables[[Limits]:[Limits]],$CK78+CP$8)</f>
        <v/>
      </c>
      <c r="CQ78" s="600">
        <f t="array" ref="CQ78">INDEX(Tax_Tables[[Limits]:[Limits]],$CK78+CQ$8)</f>
        <v/>
      </c>
      <c r="CR78" s="600">
        <f t="array" ref="CR78">INDEX(Tax_Tables[[Limits]:[Limits]],$CK78+CR$8)</f>
        <v/>
      </c>
      <c r="CS78" s="37">
        <f>INDEX(Rebate[&lt;65],MATCH($CJ78,Rebate[[Tax Year]:[Tax Year]],0))</f>
        <v/>
      </c>
      <c r="CT78" s="37">
        <f>INDEX(Rebate[&lt;75],MATCH($CJ78,Rebate[[Tax Year]:[Tax Year]],0))</f>
        <v/>
      </c>
      <c r="CU78" s="37">
        <f>INDEX(Rebate[&gt;75],MATCH($CJ78,Rebate[[Tax Year]:[Tax Year]],0))</f>
        <v/>
      </c>
      <c r="CV78" s="37">
        <f>INDEX(Tax_Credit[Principal],MATCH($CJ78,Tax_Credit[[Tax Year]:[Tax Year]],0))</f>
        <v/>
      </c>
      <c r="CW78" s="37">
        <f>INDEX(Tax_Credit[First Dependant],MATCH($CJ78,Tax_Credit[[Tax Year]:[Tax Year]],0))</f>
        <v/>
      </c>
      <c r="CX78" s="37">
        <f>INDEX(Tax_Credit[Each Additional],MATCH($CJ78,Tax_Credit[[Tax Year]:[Tax Year]],0))</f>
        <v/>
      </c>
      <c r="CY78" s="484">
        <f>Y78</f>
        <v/>
      </c>
      <c r="CZ78" s="601">
        <f>AP78</f>
        <v/>
      </c>
      <c r="DA78" s="37">
        <f t="array" ref="DA78">INDEX($CL78:$CR78,0,MATCH($CZ78,$CL78:$CR78,1))</f>
        <v/>
      </c>
      <c r="DB78" s="37">
        <f t="array" ref="DB78">IFERROR(INDEX(Tax_Tables[Percentages],$CK78+MATCH($DA78,$CL78:$CR78,0)-1),"")</f>
        <v/>
      </c>
      <c r="DC78" s="37">
        <f t="array" ref="DC78">IFERROR(INDEX(Tax_Tables[Tax],$CK78+MATCH($DA78,$CL78:$CR78,0)-1),"")</f>
        <v/>
      </c>
      <c r="DD78" s="37">
        <f>IF(CY78&lt;65,CS78,IF(CY78&lt;75,CT78,CU78))</f>
        <v/>
      </c>
      <c r="DE78" s="37">
        <f>CV78*(Summary!$C$31="Y")+(Summary!$C$31="Y")*(CW78*(Pre_MDep&gt;=1)+CX78*MAX(Pre_MDep-1,0))</f>
        <v/>
      </c>
      <c r="DF78" s="599">
        <f>IFERROR(MAX(DB78*(CZ78-DA78)+DC78-DD78-DE78*12,0),"")</f>
        <v/>
      </c>
      <c r="DG78" s="602" t="n"/>
      <c r="DH78" s="601">
        <f>BL78</f>
        <v/>
      </c>
      <c r="DI78" s="37">
        <f t="array" ref="DI78">INDEX($CL78:$CR78,0,MATCH($DH78,$CL78:$CR78,1))</f>
        <v/>
      </c>
      <c r="DJ78" s="37">
        <f t="array" ref="DJ78">IFERROR(INDEX(Tax_Tables[Percentages],$CK78+MATCH($DI78,$CL78:$CR78,0)-1),"")</f>
        <v/>
      </c>
      <c r="DK78" s="37">
        <f t="array" ref="DK78">IFERROR(INDEX(Tax_Tables[Tax],$CK78+MATCH($DI78,$CL78:$CR78,0)-1),"")</f>
        <v/>
      </c>
      <c r="DL78" s="37">
        <f>CV78*(Summary!$C$81="Y")+(Summary!$C$81="Y")*(CW78*(Post_MDep&gt;=1)+CX78*MAX(Post_MDep-1,0))</f>
        <v/>
      </c>
      <c r="DM78" s="599">
        <f>IFERROR(MAX(DJ78*(DH78-DI78)+DK78-DD78-DL78*12,0),"")</f>
        <v/>
      </c>
      <c r="DN78" s="601" t="n"/>
      <c r="DO78" s="37" t="n"/>
      <c r="DP78" s="37" t="n"/>
      <c r="DQ78" s="37" t="n"/>
      <c r="DR78" s="37" t="n"/>
      <c r="DS78" s="37" t="n"/>
      <c r="DT78" s="37" t="n"/>
      <c r="DU78" s="37" t="n"/>
      <c r="DV78" s="37" t="n"/>
      <c r="DW78" s="37" t="n"/>
      <c r="DX78" s="599" t="n"/>
      <c r="DY78" s="131" t="n"/>
      <c r="DZ78" s="601" t="n"/>
      <c r="EA78" s="37" t="n"/>
      <c r="EB78" s="37" t="n"/>
      <c r="EC78" s="37" t="n"/>
      <c r="ED78" s="599" t="n"/>
      <c r="EE78" s="595" t="n"/>
      <c r="EF78" s="25" t="n"/>
    </row>
    <row r="79">
      <c r="C79" s="596">
        <f>C78+D79-D78</f>
        <v/>
      </c>
      <c r="D79" s="160">
        <f>AU79</f>
        <v/>
      </c>
      <c r="E79" s="87">
        <f>IF(DoC=V79,"Calc Date",IF(V79&lt;DoC,"PL","FL"))</f>
        <v/>
      </c>
      <c r="F79" s="310">
        <f>F78+1</f>
        <v/>
      </c>
      <c r="G79" s="31">
        <f>VLOOKUP(F79,C$10:D$148,2)</f>
        <v/>
      </c>
      <c r="H79" s="313">
        <f>H78</f>
        <v/>
      </c>
      <c r="I79" s="281">
        <f>I78</f>
        <v/>
      </c>
      <c r="J79" s="589">
        <f>I79*index/VLOOKUP($H79,CPI!A:E,4,FALSE)</f>
        <v/>
      </c>
      <c r="K79" s="589">
        <f>IF(L79="Linear",(J79-J78)/(G79-G78),0)</f>
        <v/>
      </c>
      <c r="L79" s="311" t="inlineStr">
        <is>
          <t>Flat</t>
        </is>
      </c>
      <c r="M79" s="137" t="n"/>
      <c r="N79" s="310">
        <f>N78+1</f>
        <v/>
      </c>
      <c r="O79" s="31">
        <f>O78+N79-N78</f>
        <v/>
      </c>
      <c r="P79" s="313">
        <f>P78</f>
        <v/>
      </c>
      <c r="Q79" s="281">
        <f>Q78</f>
        <v/>
      </c>
      <c r="R79" s="589">
        <f>Q79*index/VLOOKUP($P79,CPI!A:E,4,FALSE)</f>
        <v/>
      </c>
      <c r="S79" s="589">
        <f>IF(T79="Linear",(R79-R78)/(O79-O78),0)</f>
        <v/>
      </c>
      <c r="T79" s="311" t="inlineStr">
        <is>
          <t>Flat</t>
        </is>
      </c>
      <c r="U79" s="144" t="n"/>
      <c r="V79" s="6">
        <f>IF(AND($V78=DoA,MONTH(V78)&lt;3),DATE(YEAR(DoA),3,1),IF(AND(IFERROR(DATEDIF(V78,DoC,"M"),12)&lt;12,IFERROR(DATEDIF(V78,DoC,"M"),12)&gt;0),DoC,DATE(YEAR(V78)+(1-AND(YEAR(DoC)=Current,V78=DoC)-AND(V78=DoA,MONTH(V78)&lt;3)),3,1)))</f>
        <v/>
      </c>
      <c r="W79" s="31">
        <f>IF(V79=DoR_Pre,IF(MONTH(DoR_Pre)&gt;3,YEAR(DoR_Pre)+1,YEAR(DoR_Pre)),IF(MONTH(V79)&gt;3,Current,YEAR(V79)))</f>
        <v/>
      </c>
      <c r="X79" s="597">
        <f>IF(W79=Current,ROUND((V79-V78)/365.25,5),_xlfn.IFNA(INDEX(Summary!$A$5:$A$22,MATCH('LOE Sc1'!W79,Summary!$C$5:$C$22,0)),IF(W79=Ret_Yr_pre,ROUND((DoR_Pre-V78)/365.25,5),ROUND((V79-V78)/365.25,2))))</f>
        <v/>
      </c>
      <c r="Y79" s="55">
        <f>IF(AND(V79=DoC,MONTH(DoC)&lt;&gt;3),ROUNDDOWN(DATEDIF(DoB,V80,"M")/12,),ROUNDDOWN(DATEDIF(DoB,V79,"M")/12,))</f>
        <v/>
      </c>
      <c r="Z79" s="590" t="n"/>
      <c r="AA79" s="25">
        <f>MAX(RetAge_Pre-Y79,0)</f>
        <v/>
      </c>
      <c r="AB79" s="26">
        <f t="array" ref="AB79">IF(W79&gt;Ret_Yr_pre,0,_xlfn.IFNA(VLOOKUP(Y79,F$11:J$1000,5,),IF(AND(W79=Current,V79&gt;DoC,MONTH(DoC)&lt;&gt;3),AB78,AB78+INDEX(K$11:K$1000,MATCH(Y79,F$11:F$1000,1)+1))))</f>
        <v/>
      </c>
      <c r="AC79" s="590">
        <f>IF(V79&lt;DoC,AB79*VLOOKUP(YEAR(V79),CPI!A:E,4,FALSE)/index,AB79*real_i^INT(BP79))</f>
        <v/>
      </c>
      <c r="AD79" s="590">
        <f>$AC79/12*Bonus</f>
        <v/>
      </c>
      <c r="AE79" s="590">
        <f>IF($E79="FL",MedSub*m^INT(BP79),MedSub)*IF(Summary!$C$31="Y",1,0)*(W79&lt;=Ret_Yr_pre)*(Summary!C$31="Y")</f>
        <v/>
      </c>
      <c r="AF79" s="590">
        <f>IF(Summary!$C$30="Y",IF(E79&lt;&gt;"PL",VLOOKUP(Current,'Housing Allowance'!$A:$B,2,),VLOOKUP(YEAR($V79),'Housing Allowance'!$A:$B,2,)),0)*(W79&lt;=Ret_Yr_pre)</f>
        <v/>
      </c>
      <c r="AG79" s="590">
        <f>AC79*overtime</f>
        <v/>
      </c>
      <c r="AH79" s="590">
        <f>AC79*allow_1</f>
        <v/>
      </c>
      <c r="AI79" s="590">
        <f>(AB79&lt;&gt;0)*12*allow_2</f>
        <v/>
      </c>
      <c r="AJ79" s="590" t="n"/>
      <c r="AK79" s="581">
        <f>IF(YEAR(W79)&lt;=Ret_Yr_pre,SUM(AC79:AJ79),0)*IF($W79=Ret_Yr_pre,X79,1)</f>
        <v/>
      </c>
      <c r="AL79" s="581">
        <f>IF($W79&gt;=Ret_Yr_pre,pens_Pre*(GEPF_pre="Y"),0)*IF($W79=Ret_Yr_pre,1-$X79,1)*IF(Ret_Yr_pre&lt;Current,(_xlfn.IFNA(VLOOKUP($D79,CPI!$A:$E,2,FALSE),VLOOKUP(Current,CPI!$A:$E,2,FALSE))/VLOOKUP(Ret_Yr_pre,CPI!$A:$E,2,FALSE)),1)</f>
        <v/>
      </c>
      <c r="AM79" s="590">
        <f>$AC79*ee*IF($W79=Ret_Yr_pre,$X79,1)</f>
        <v/>
      </c>
      <c r="AN79" s="590">
        <f>$AC79*er*IF($W79=Ret_Yr_pre,$X79,1)</f>
        <v/>
      </c>
      <c r="AO79" s="590">
        <f>IF('LOE Sc1'!$W79=Ret_Yr_pre,Gratuity_Pre*(GEPF_pre="Y"),0)</f>
        <v/>
      </c>
      <c r="AP79" s="581">
        <f>AK79+AL79-$AM79-AN79*(GEPF_pre="Y")</f>
        <v/>
      </c>
      <c r="AQ79" s="590">
        <f>IF(DF79&lt;0,0,DF79)</f>
        <v/>
      </c>
      <c r="AR79" s="581">
        <f>(AP79-AQ79+AM79*(AM$7="Y")+AN79*(AN$7="Y"))*IF(W79&lt;Ret_Yr_pre,X79,1)+AO79</f>
        <v/>
      </c>
      <c r="AS79" s="595" t="n"/>
      <c r="AT79" s="6">
        <f>V79</f>
        <v/>
      </c>
      <c r="AU79" s="31">
        <f>W79</f>
        <v/>
      </c>
      <c r="AV79" s="598">
        <f>IF(AU79=Current,ROUND((AT79-AT78)/365.25,5),_xlfn.IFNA(INDEX(Summary!$A$55:$A$72,MATCH('LOE Sc1'!AU79,Summary!$C$55:$C$72,0)),IF(AU79=Ret_Yr_post,ROUND((DoR_Post-AT78)/365.25,5),ROUND((AT79-AT78)/365.25,2))))</f>
        <v/>
      </c>
      <c r="AW79" s="55">
        <f>Y79</f>
        <v/>
      </c>
      <c r="AX79" s="26">
        <f t="array" ref="AX79">IF(AU79&gt;Ret_Yr_post,0,_xlfn.IFNA(VLOOKUP(AW79,N$11:S$1000,5,),IF(AND(AU79=Current,AT79&gt;DoC,MONTH(DoC)&lt;&gt;3),AX78,AX78+INDEX(S$11:S$1000,MATCH(AW79,N$11:N$1000,1)+1))))</f>
        <v/>
      </c>
      <c r="AY79" s="590">
        <f>IF($V79&lt;DoC,AX79*VLOOKUP(YEAR($V79),CPI_Table,4,FALSE)/index,AX79*real_i^INT(BP79))</f>
        <v/>
      </c>
      <c r="AZ79" s="590">
        <f>$AY79/12*Bonus_Post*($AW79&lt;=RetAge_Post)</f>
        <v/>
      </c>
      <c r="BA79" s="590">
        <f>IF($E79="FL",MedSub*m^INT(BP79),MedSub)*IF(Summary!$C$81="Y",1,0)*($AU79&lt;=Ret_Yr_post)*(Summary!$C$81="Y")</f>
        <v/>
      </c>
      <c r="BB79" s="590">
        <f>IF(Summary!$C$80="Y",IF($E79&lt;&gt;"PL",VLOOKUP(Current,'Housing Allowance'!$A:$B,2,),VLOOKUP(YEAR($AT79),'Housing Allowance'!$A:$B,2,)),0)*($AU79&lt;=Ret_Yr_post)</f>
        <v/>
      </c>
      <c r="BC79" s="590">
        <f>AY79*overtime_post</f>
        <v/>
      </c>
      <c r="BD79" s="590">
        <f>$AY79*allow_1_post</f>
        <v/>
      </c>
      <c r="BE79" s="590">
        <f>($AY79&lt;&gt;0)*allow_2_post*12</f>
        <v/>
      </c>
      <c r="BF79" s="590" t="n"/>
      <c r="BG79" s="581">
        <f>IF(YEAR($V79)&lt;=Ret_Yr_post,SUM(AY79:BF79),0)*IF($W79=Ret_Yr_post,AV79,1)</f>
        <v/>
      </c>
      <c r="BH79" s="581">
        <f>IF($W79&gt;=Ret_Yr_post,pens_Post*(GEPF_pre="Y"),0)*IF($W79=Ret_Yr_post,1-$AV79,1)*IF(Ret_Yr_post&lt;Current,(_xlfn.IFNA(VLOOKUP($D79,CPI!$A:$E,2,FALSE),VLOOKUP(Current,CPI!$A:$E,2,FALSE))/VLOOKUP(Ret_Yr_post,CPI!$A:$E,2,FALSE)),1)</f>
        <v/>
      </c>
      <c r="BI79" s="590">
        <f>$AY79*ee_post*IF($W79=Ret_Yr_post,$AV79,1)</f>
        <v/>
      </c>
      <c r="BJ79" s="590">
        <f>$AY79*er_post*IF($W79=Ret_Yr_post,$AV79,1)</f>
        <v/>
      </c>
      <c r="BK79" s="590">
        <f>IF('LOE Sc1'!$W79=Ret_Yr_post,Gratuity_Post*(GEPF_post="Y"),0)</f>
        <v/>
      </c>
      <c r="BL79" s="581">
        <f>BG79+BH79-BI79-BJ79*(GEPF_post="Y")</f>
        <v/>
      </c>
      <c r="BM79" s="590">
        <f>IF(DM79&lt;0,0,DM79)</f>
        <v/>
      </c>
      <c r="BN79" s="581">
        <f>(BL79-BM79+BI79*(BI$7="Y")+BJ79*(BJ$7="Y"))*IF($W79&lt;Ret_Yr_post,AV79,1)+BK79</f>
        <v/>
      </c>
      <c r="BO79" s="591" t="n"/>
      <c r="BP79" s="592">
        <f>IF($E79="FL",IF($X79&lt;=DoC,DATEDIF(DoC,$V79,"M")/12,0),0)</f>
        <v/>
      </c>
      <c r="BQ79" s="592">
        <f>IF($E79="FL",(1+CPI)^INT(BP79),0)</f>
        <v/>
      </c>
      <c r="BR79" s="592">
        <f>IF($E79="FL",IF(($BP79-0.5)&gt;=0,1/(1+d)^($BP79-0.5),1/(1+d)^($BP79)),0)</f>
        <v/>
      </c>
      <c r="BS79" s="592" t="n"/>
      <c r="BT79" s="25">
        <f>IF(gender="M",VLOOKUP($Y79+pre_mort+IF(MONTH(DoC)&lt;MONTH(DoB),IF(MONTH(DoC)&lt;3,0,-1),IF(MONTH(DoB)&lt;3,-1,0)),'SALT LIFE TABLES'!$A$7:$E$106,2),VLOOKUP($Y79+pre_mort+IF(MONTH(DoC)&lt;MONTH(DoB),IF(MONTH(DoC)&lt;3,0,-1),IF(MONTH(DoB)&lt;3,-1,0)),'SALT LIFE TABLES'!$A$7:$E$106,4))</f>
        <v/>
      </c>
      <c r="BU79" s="592">
        <f>IF($E79="PL",1,BT79/BU$7)</f>
        <v/>
      </c>
      <c r="BV79" s="593" t="n"/>
      <c r="BW79" s="25">
        <f>IF(gender="M",VLOOKUP($Y79+post_mort+IF(MONTH(DoC)&lt;MONTH(DoB),IF(MONTH(DoC)&lt;3,0,-1),IF(MONTH(DoB)&lt;3,-1,0)),'SALT LIFE TABLES'!$A$7:$E$106,2),VLOOKUP($Y79+post_mort+IF(MONTH(DoC)&lt;MONTH(DoB),IF(MONTH(DoC)&lt;3,0,-1),IF(MONTH(DoB)&lt;3,-1,0)),'SALT LIFE TABLES'!$A$7:$E$106,4))</f>
        <v/>
      </c>
      <c r="BX79" s="592">
        <f>IF($E79="PL",1,BW79/BX$7)</f>
        <v/>
      </c>
      <c r="BY79" s="594" t="n"/>
      <c r="BZ79" s="592" t="n"/>
      <c r="CA79" s="592">
        <f>IF($E79="FL",$AR79*$BQ79*$BR79*$BU79,$AR79)</f>
        <v/>
      </c>
      <c r="CB79" s="592">
        <f>IF($E79="FL",$BN79*$BQ79*$BR79*$BX79,$BN79)</f>
        <v/>
      </c>
      <c r="CC79" s="592" t="n"/>
      <c r="CD79" s="592">
        <f>IF($E79="FL",$CA79*(1-pre_FL),$CA79*(1-pre_PL))</f>
        <v/>
      </c>
      <c r="CE79" s="592">
        <f>IF($E79="FL",$CB79*(1-post_FL),$CB79*(1-post_PL))</f>
        <v/>
      </c>
      <c r="CF79" s="592" t="n"/>
      <c r="CG79" s="599">
        <f>CD79-CE79</f>
        <v/>
      </c>
      <c r="CH79" s="599">
        <f>MIN(CG79,IF(W79=Ret_Yr_pre,1,$X79)*Cap)</f>
        <v/>
      </c>
      <c r="CI79" s="128" t="n"/>
      <c r="CJ79" s="37">
        <f>IF(D79&gt;Current,Current,D79)</f>
        <v/>
      </c>
      <c r="CK79" s="37">
        <f>MATCH($CJ79,Tax_Tables[Tax Year],0)</f>
        <v/>
      </c>
      <c r="CL79" s="600" t="n">
        <v>0</v>
      </c>
      <c r="CM79" s="600">
        <f t="array" ref="CM79">INDEX(Tax_Tables[[Limits]:[Limits]],$CK79+CM$8)</f>
        <v/>
      </c>
      <c r="CN79" s="600">
        <f t="array" ref="CN79">INDEX(Tax_Tables[[Limits]:[Limits]],$CK79+CN$8)</f>
        <v/>
      </c>
      <c r="CO79" s="600">
        <f t="array" ref="CO79">INDEX(Tax_Tables[[Limits]:[Limits]],$CK79+CO$8)</f>
        <v/>
      </c>
      <c r="CP79" s="600">
        <f t="array" ref="CP79">INDEX(Tax_Tables[[Limits]:[Limits]],$CK79+CP$8)</f>
        <v/>
      </c>
      <c r="CQ79" s="600">
        <f t="array" ref="CQ79">INDEX(Tax_Tables[[Limits]:[Limits]],$CK79+CQ$8)</f>
        <v/>
      </c>
      <c r="CR79" s="600">
        <f t="array" ref="CR79">INDEX(Tax_Tables[[Limits]:[Limits]],$CK79+CR$8)</f>
        <v/>
      </c>
      <c r="CS79" s="37">
        <f>INDEX(Rebate[&lt;65],MATCH($CJ79,Rebate[[Tax Year]:[Tax Year]],0))</f>
        <v/>
      </c>
      <c r="CT79" s="37">
        <f>INDEX(Rebate[&lt;75],MATCH($CJ79,Rebate[[Tax Year]:[Tax Year]],0))</f>
        <v/>
      </c>
      <c r="CU79" s="37">
        <f>INDEX(Rebate[&gt;75],MATCH($CJ79,Rebate[[Tax Year]:[Tax Year]],0))</f>
        <v/>
      </c>
      <c r="CV79" s="37">
        <f>INDEX(Tax_Credit[Principal],MATCH($CJ79,Tax_Credit[[Tax Year]:[Tax Year]],0))</f>
        <v/>
      </c>
      <c r="CW79" s="37">
        <f>INDEX(Tax_Credit[First Dependant],MATCH($CJ79,Tax_Credit[[Tax Year]:[Tax Year]],0))</f>
        <v/>
      </c>
      <c r="CX79" s="37">
        <f>INDEX(Tax_Credit[Each Additional],MATCH($CJ79,Tax_Credit[[Tax Year]:[Tax Year]],0))</f>
        <v/>
      </c>
      <c r="CY79" s="484">
        <f>Y79</f>
        <v/>
      </c>
      <c r="CZ79" s="601">
        <f>AP79</f>
        <v/>
      </c>
      <c r="DA79" s="37">
        <f t="array" ref="DA79">INDEX($CL79:$CR79,0,MATCH($CZ79,$CL79:$CR79,1))</f>
        <v/>
      </c>
      <c r="DB79" s="37">
        <f t="array" ref="DB79">IFERROR(INDEX(Tax_Tables[Percentages],$CK79+MATCH($DA79,$CL79:$CR79,0)-1),"")</f>
        <v/>
      </c>
      <c r="DC79" s="37">
        <f t="array" ref="DC79">IFERROR(INDEX(Tax_Tables[Tax],$CK79+MATCH($DA79,$CL79:$CR79,0)-1),"")</f>
        <v/>
      </c>
      <c r="DD79" s="37">
        <f>IF(CY79&lt;65,CS79,IF(CY79&lt;75,CT79,CU79))</f>
        <v/>
      </c>
      <c r="DE79" s="37">
        <f>CV79*(Summary!$C$31="Y")+(Summary!$C$31="Y")*(CW79*(Pre_MDep&gt;=1)+CX79*MAX(Pre_MDep-1,0))</f>
        <v/>
      </c>
      <c r="DF79" s="599">
        <f>IFERROR(MAX(DB79*(CZ79-DA79)+DC79-DD79-DE79*12,0),"")</f>
        <v/>
      </c>
      <c r="DG79" s="602" t="n"/>
      <c r="DH79" s="601">
        <f>BL79</f>
        <v/>
      </c>
      <c r="DI79" s="37">
        <f t="array" ref="DI79">INDEX($CL79:$CR79,0,MATCH($DH79,$CL79:$CR79,1))</f>
        <v/>
      </c>
      <c r="DJ79" s="37">
        <f t="array" ref="DJ79">IFERROR(INDEX(Tax_Tables[Percentages],$CK79+MATCH($DI79,$CL79:$CR79,0)-1),"")</f>
        <v/>
      </c>
      <c r="DK79" s="37">
        <f t="array" ref="DK79">IFERROR(INDEX(Tax_Tables[Tax],$CK79+MATCH($DI79,$CL79:$CR79,0)-1),"")</f>
        <v/>
      </c>
      <c r="DL79" s="37">
        <f>CV79*(Summary!$C$81="Y")+(Summary!$C$81="Y")*(CW79*(Post_MDep&gt;=1)+CX79*MAX(Post_MDep-1,0))</f>
        <v/>
      </c>
      <c r="DM79" s="599">
        <f>IFERROR(MAX(DJ79*(DH79-DI79)+DK79-DD79-DL79*12,0),"")</f>
        <v/>
      </c>
      <c r="DN79" s="601" t="n"/>
      <c r="DO79" s="37" t="n"/>
      <c r="DP79" s="37" t="n"/>
      <c r="DQ79" s="37" t="n"/>
      <c r="DR79" s="37" t="n"/>
      <c r="DS79" s="37" t="n"/>
      <c r="DT79" s="37" t="n"/>
      <c r="DU79" s="37" t="n"/>
      <c r="DV79" s="37" t="n"/>
      <c r="DW79" s="37" t="n"/>
      <c r="DX79" s="599" t="n"/>
      <c r="DY79" s="131" t="n"/>
      <c r="DZ79" s="601" t="n"/>
      <c r="EA79" s="37" t="n"/>
      <c r="EB79" s="37" t="n"/>
      <c r="EC79" s="37" t="n"/>
      <c r="ED79" s="599" t="n"/>
      <c r="EE79" s="595" t="n"/>
      <c r="EF79" s="25" t="n"/>
    </row>
    <row r="80">
      <c r="C80" s="596">
        <f>C79+D80-D79</f>
        <v/>
      </c>
      <c r="D80" s="160">
        <f>AU80</f>
        <v/>
      </c>
      <c r="E80" s="87">
        <f>IF(DoC=V80,"Calc Date",IF(V80&lt;DoC,"PL","FL"))</f>
        <v/>
      </c>
      <c r="F80" s="310">
        <f>F79+1</f>
        <v/>
      </c>
      <c r="G80" s="31">
        <f>VLOOKUP(F80,C$10:D$148,2)</f>
        <v/>
      </c>
      <c r="H80" s="313">
        <f>H79</f>
        <v/>
      </c>
      <c r="I80" s="281">
        <f>I79</f>
        <v/>
      </c>
      <c r="J80" s="589">
        <f>I80*index/VLOOKUP($H80,CPI!A:E,4,FALSE)</f>
        <v/>
      </c>
      <c r="K80" s="589">
        <f>IF(L80="Linear",(J80-J79)/(G80-G79),0)</f>
        <v/>
      </c>
      <c r="L80" s="311" t="inlineStr">
        <is>
          <t>Flat</t>
        </is>
      </c>
      <c r="M80" s="137" t="n"/>
      <c r="N80" s="310">
        <f>N79+1</f>
        <v/>
      </c>
      <c r="O80" s="31">
        <f>O79+N80-N79</f>
        <v/>
      </c>
      <c r="P80" s="313">
        <f>P79</f>
        <v/>
      </c>
      <c r="Q80" s="281">
        <f>Q79</f>
        <v/>
      </c>
      <c r="R80" s="589">
        <f>Q80*index/VLOOKUP($P80,CPI!A:E,4,FALSE)</f>
        <v/>
      </c>
      <c r="S80" s="589">
        <f>IF(T80="Linear",(R80-R79)/(O80-O79),0)</f>
        <v/>
      </c>
      <c r="T80" s="311" t="inlineStr">
        <is>
          <t>Flat</t>
        </is>
      </c>
      <c r="U80" s="144" t="n"/>
      <c r="V80" s="6">
        <f>IF(AND($V79=DoA,MONTH(V79)&lt;3),DATE(YEAR(DoA),3,1),IF(AND(IFERROR(DATEDIF(V79,DoC,"M"),12)&lt;12,IFERROR(DATEDIF(V79,DoC,"M"),12)&gt;0),DoC,DATE(YEAR(V79)+(1-AND(YEAR(DoC)=Current,V79=DoC)-AND(V79=DoA,MONTH(V79)&lt;3)),3,1)))</f>
        <v/>
      </c>
      <c r="W80" s="31">
        <f>IF(V80=DoR_Pre,IF(MONTH(DoR_Pre)&gt;3,YEAR(DoR_Pre)+1,YEAR(DoR_Pre)),IF(MONTH(V80)&gt;3,Current,YEAR(V80)))</f>
        <v/>
      </c>
      <c r="X80" s="597">
        <f>IF(W80=Current,ROUND((V80-V79)/365.25,5),_xlfn.IFNA(INDEX(Summary!$A$5:$A$22,MATCH('LOE Sc1'!W80,Summary!$C$5:$C$22,0)),IF(W80=Ret_Yr_pre,ROUND((DoR_Pre-V79)/365.25,5),ROUND((V80-V79)/365.25,2))))</f>
        <v/>
      </c>
      <c r="Y80" s="55">
        <f>IF(AND(V80=DoC,MONTH(DoC)&lt;&gt;3),ROUNDDOWN(DATEDIF(DoB,V81,"M")/12,),ROUNDDOWN(DATEDIF(DoB,V80,"M")/12,))</f>
        <v/>
      </c>
      <c r="Z80" s="590" t="n"/>
      <c r="AA80" s="25">
        <f>MAX(RetAge_Pre-Y80,0)</f>
        <v/>
      </c>
      <c r="AB80" s="26">
        <f t="array" ref="AB80">IF(W80&gt;Ret_Yr_pre,0,_xlfn.IFNA(VLOOKUP(Y80,F$11:J$1000,5,),IF(AND(W80=Current,V80&gt;DoC,MONTH(DoC)&lt;&gt;3),AB79,AB79+INDEX(K$11:K$1000,MATCH(Y80,F$11:F$1000,1)+1))))</f>
        <v/>
      </c>
      <c r="AC80" s="590">
        <f>IF(V80&lt;DoC,AB80*VLOOKUP(YEAR(V80),CPI!A:E,4,FALSE)/index,AB80*real_i^INT(BP80))</f>
        <v/>
      </c>
      <c r="AD80" s="590">
        <f>$AC80/12*Bonus</f>
        <v/>
      </c>
      <c r="AE80" s="590">
        <f>IF($E80="FL",MedSub*m^INT(BP80),MedSub)*IF(Summary!$C$31="Y",1,0)*(W80&lt;=Ret_Yr_pre)*(Summary!C$31="Y")</f>
        <v/>
      </c>
      <c r="AF80" s="590">
        <f>IF(Summary!$C$30="Y",IF(E80&lt;&gt;"PL",VLOOKUP(Current,'Housing Allowance'!$A:$B,2,),VLOOKUP(YEAR($V80),'Housing Allowance'!$A:$B,2,)),0)*(W80&lt;=Ret_Yr_pre)</f>
        <v/>
      </c>
      <c r="AG80" s="590">
        <f>AC80*overtime</f>
        <v/>
      </c>
      <c r="AH80" s="590">
        <f>AC80*allow_1</f>
        <v/>
      </c>
      <c r="AI80" s="590">
        <f>(AB80&lt;&gt;0)*12*allow_2</f>
        <v/>
      </c>
      <c r="AJ80" s="590" t="n"/>
      <c r="AK80" s="581">
        <f>IF(YEAR(W80)&lt;=Ret_Yr_pre,SUM(AC80:AJ80),0)*IF($W80=Ret_Yr_pre,X80,1)</f>
        <v/>
      </c>
      <c r="AL80" s="581">
        <f>IF($W80&gt;=Ret_Yr_pre,pens_Pre*(GEPF_pre="Y"),0)*IF($W80=Ret_Yr_pre,1-$X80,1)*IF(Ret_Yr_pre&lt;Current,(_xlfn.IFNA(VLOOKUP($D80,CPI!$A:$E,2,FALSE),VLOOKUP(Current,CPI!$A:$E,2,FALSE))/VLOOKUP(Ret_Yr_pre,CPI!$A:$E,2,FALSE)),1)</f>
        <v/>
      </c>
      <c r="AM80" s="590">
        <f>$AC80*ee*IF($W80=Ret_Yr_pre,$X80,1)</f>
        <v/>
      </c>
      <c r="AN80" s="590">
        <f>$AC80*er*IF($W80=Ret_Yr_pre,$X80,1)</f>
        <v/>
      </c>
      <c r="AO80" s="590">
        <f>IF('LOE Sc1'!$W80=Ret_Yr_pre,Gratuity_Pre*(GEPF_pre="Y"),0)</f>
        <v/>
      </c>
      <c r="AP80" s="581">
        <f>AK80+AL80-$AM80-AN80*(GEPF_pre="Y")</f>
        <v/>
      </c>
      <c r="AQ80" s="590">
        <f>IF(DF80&lt;0,0,DF80)</f>
        <v/>
      </c>
      <c r="AR80" s="581">
        <f>(AP80-AQ80+AM80*(AM$7="Y")+AN80*(AN$7="Y"))*IF(W80&lt;Ret_Yr_pre,X80,1)+AO80</f>
        <v/>
      </c>
      <c r="AS80" s="595" t="n"/>
      <c r="AT80" s="6">
        <f>V80</f>
        <v/>
      </c>
      <c r="AU80" s="31">
        <f>W80</f>
        <v/>
      </c>
      <c r="AV80" s="598">
        <f>IF(AU80=Current,ROUND((AT80-AT79)/365.25,5),_xlfn.IFNA(INDEX(Summary!$A$55:$A$72,MATCH('LOE Sc1'!AU80,Summary!$C$55:$C$72,0)),IF(AU80=Ret_Yr_post,ROUND((DoR_Post-AT79)/365.25,5),ROUND((AT80-AT79)/365.25,2))))</f>
        <v/>
      </c>
      <c r="AW80" s="55">
        <f>Y80</f>
        <v/>
      </c>
      <c r="AX80" s="26">
        <f t="array" ref="AX80">IF(AU80&gt;Ret_Yr_post,0,_xlfn.IFNA(VLOOKUP(AW80,N$11:S$1000,5,),IF(AND(AU80=Current,AT80&gt;DoC,MONTH(DoC)&lt;&gt;3),AX79,AX79+INDEX(S$11:S$1000,MATCH(AW80,N$11:N$1000,1)+1))))</f>
        <v/>
      </c>
      <c r="AY80" s="590">
        <f>IF($V80&lt;DoC,AX80*VLOOKUP(YEAR($V80),CPI_Table,4,FALSE)/index,AX80*real_i^INT(BP80))</f>
        <v/>
      </c>
      <c r="AZ80" s="590">
        <f>$AY80/12*Bonus_Post*($AW80&lt;=RetAge_Post)</f>
        <v/>
      </c>
      <c r="BA80" s="590">
        <f>IF($E80="FL",MedSub*m^INT(BP80),MedSub)*IF(Summary!$C$81="Y",1,0)*($AU80&lt;=Ret_Yr_post)*(Summary!$C$81="Y")</f>
        <v/>
      </c>
      <c r="BB80" s="590">
        <f>IF(Summary!$C$80="Y",IF($E80&lt;&gt;"PL",VLOOKUP(Current,'Housing Allowance'!$A:$B,2,),VLOOKUP(YEAR($AT80),'Housing Allowance'!$A:$B,2,)),0)*($AU80&lt;=Ret_Yr_post)</f>
        <v/>
      </c>
      <c r="BC80" s="590">
        <f>AY80*overtime_post</f>
        <v/>
      </c>
      <c r="BD80" s="590">
        <f>$AY80*allow_1_post</f>
        <v/>
      </c>
      <c r="BE80" s="590">
        <f>($AY80&lt;&gt;0)*allow_2_post*12</f>
        <v/>
      </c>
      <c r="BF80" s="590" t="n"/>
      <c r="BG80" s="581">
        <f>IF(YEAR($V80)&lt;=Ret_Yr_post,SUM(AY80:BF80),0)*IF($W80=Ret_Yr_post,AV80,1)</f>
        <v/>
      </c>
      <c r="BH80" s="581">
        <f>IF($W80&gt;=Ret_Yr_post,pens_Post*(GEPF_pre="Y"),0)*IF($W80=Ret_Yr_post,1-$AV80,1)*IF(Ret_Yr_post&lt;Current,(_xlfn.IFNA(VLOOKUP($D80,CPI!$A:$E,2,FALSE),VLOOKUP(Current,CPI!$A:$E,2,FALSE))/VLOOKUP(Ret_Yr_post,CPI!$A:$E,2,FALSE)),1)</f>
        <v/>
      </c>
      <c r="BI80" s="590">
        <f>$AY80*ee_post*IF($W80=Ret_Yr_post,$AV80,1)</f>
        <v/>
      </c>
      <c r="BJ80" s="590">
        <f>$AY80*er_post*IF($W80=Ret_Yr_post,$AV80,1)</f>
        <v/>
      </c>
      <c r="BK80" s="590">
        <f>IF('LOE Sc1'!$W80=Ret_Yr_post,Gratuity_Post*(GEPF_post="Y"),0)</f>
        <v/>
      </c>
      <c r="BL80" s="581">
        <f>BG80+BH80-BI80-BJ80*(GEPF_post="Y")</f>
        <v/>
      </c>
      <c r="BM80" s="590">
        <f>IF(DM80&lt;0,0,DM80)</f>
        <v/>
      </c>
      <c r="BN80" s="581">
        <f>(BL80-BM80+BI80*(BI$7="Y")+BJ80*(BJ$7="Y"))*IF($W80&lt;Ret_Yr_post,AV80,1)+BK80</f>
        <v/>
      </c>
      <c r="BO80" s="591" t="n"/>
      <c r="BP80" s="592">
        <f>IF($E80="FL",IF($X80&lt;=DoC,DATEDIF(DoC,$V80,"M")/12,0),0)</f>
        <v/>
      </c>
      <c r="BQ80" s="592">
        <f>IF($E80="FL",(1+CPI)^INT(BP80),0)</f>
        <v/>
      </c>
      <c r="BR80" s="592">
        <f>IF($E80="FL",IF(($BP80-0.5)&gt;=0,1/(1+d)^($BP80-0.5),1/(1+d)^($BP80)),0)</f>
        <v/>
      </c>
      <c r="BS80" s="592" t="n"/>
      <c r="BT80" s="25">
        <f>IF(gender="M",VLOOKUP($Y80+pre_mort+IF(MONTH(DoC)&lt;MONTH(DoB),IF(MONTH(DoC)&lt;3,0,-1),IF(MONTH(DoB)&lt;3,-1,0)),'SALT LIFE TABLES'!$A$7:$E$106,2),VLOOKUP($Y80+pre_mort+IF(MONTH(DoC)&lt;MONTH(DoB),IF(MONTH(DoC)&lt;3,0,-1),IF(MONTH(DoB)&lt;3,-1,0)),'SALT LIFE TABLES'!$A$7:$E$106,4))</f>
        <v/>
      </c>
      <c r="BU80" s="592">
        <f>IF($E80="PL",1,BT80/BU$7)</f>
        <v/>
      </c>
      <c r="BV80" s="593" t="n"/>
      <c r="BW80" s="25">
        <f>IF(gender="M",VLOOKUP($Y80+post_mort+IF(MONTH(DoC)&lt;MONTH(DoB),IF(MONTH(DoC)&lt;3,0,-1),IF(MONTH(DoB)&lt;3,-1,0)),'SALT LIFE TABLES'!$A$7:$E$106,2),VLOOKUP($Y80+post_mort+IF(MONTH(DoC)&lt;MONTH(DoB),IF(MONTH(DoC)&lt;3,0,-1),IF(MONTH(DoB)&lt;3,-1,0)),'SALT LIFE TABLES'!$A$7:$E$106,4))</f>
        <v/>
      </c>
      <c r="BX80" s="592">
        <f>IF($E80="PL",1,BW80/BX$7)</f>
        <v/>
      </c>
      <c r="BY80" s="594" t="n"/>
      <c r="BZ80" s="592" t="n"/>
      <c r="CA80" s="592">
        <f>IF($E80="FL",$AR80*$BQ80*$BR80*$BU80,$AR80)</f>
        <v/>
      </c>
      <c r="CB80" s="592">
        <f>IF($E80="FL",$BN80*$BQ80*$BR80*$BX80,$BN80)</f>
        <v/>
      </c>
      <c r="CC80" s="592" t="n"/>
      <c r="CD80" s="592">
        <f>IF($E80="FL",$CA80*(1-pre_FL),$CA80*(1-pre_PL))</f>
        <v/>
      </c>
      <c r="CE80" s="592">
        <f>IF($E80="FL",$CB80*(1-post_FL),$CB80*(1-post_PL))</f>
        <v/>
      </c>
      <c r="CF80" s="592" t="n"/>
      <c r="CG80" s="599">
        <f>CD80-CE80</f>
        <v/>
      </c>
      <c r="CH80" s="599">
        <f>MIN(CG80,IF(W80=Ret_Yr_pre,1,$X80)*Cap)</f>
        <v/>
      </c>
      <c r="CI80" s="128" t="n"/>
      <c r="CJ80" s="37">
        <f>IF(D80&gt;Current,Current,D80)</f>
        <v/>
      </c>
      <c r="CK80" s="37">
        <f>MATCH($CJ80,Tax_Tables[Tax Year],0)</f>
        <v/>
      </c>
      <c r="CL80" s="600" t="n">
        <v>0</v>
      </c>
      <c r="CM80" s="600">
        <f t="array" ref="CM80">INDEX(Tax_Tables[[Limits]:[Limits]],$CK80+CM$8)</f>
        <v/>
      </c>
      <c r="CN80" s="600">
        <f t="array" ref="CN80">INDEX(Tax_Tables[[Limits]:[Limits]],$CK80+CN$8)</f>
        <v/>
      </c>
      <c r="CO80" s="600">
        <f t="array" ref="CO80">INDEX(Tax_Tables[[Limits]:[Limits]],$CK80+CO$8)</f>
        <v/>
      </c>
      <c r="CP80" s="600">
        <f t="array" ref="CP80">INDEX(Tax_Tables[[Limits]:[Limits]],$CK80+CP$8)</f>
        <v/>
      </c>
      <c r="CQ80" s="600">
        <f t="array" ref="CQ80">INDEX(Tax_Tables[[Limits]:[Limits]],$CK80+CQ$8)</f>
        <v/>
      </c>
      <c r="CR80" s="600">
        <f t="array" ref="CR80">INDEX(Tax_Tables[[Limits]:[Limits]],$CK80+CR$8)</f>
        <v/>
      </c>
      <c r="CS80" s="37">
        <f>INDEX(Rebate[&lt;65],MATCH($CJ80,Rebate[[Tax Year]:[Tax Year]],0))</f>
        <v/>
      </c>
      <c r="CT80" s="37">
        <f>INDEX(Rebate[&lt;75],MATCH($CJ80,Rebate[[Tax Year]:[Tax Year]],0))</f>
        <v/>
      </c>
      <c r="CU80" s="37">
        <f>INDEX(Rebate[&gt;75],MATCH($CJ80,Rebate[[Tax Year]:[Tax Year]],0))</f>
        <v/>
      </c>
      <c r="CV80" s="37">
        <f>INDEX(Tax_Credit[Principal],MATCH($CJ80,Tax_Credit[[Tax Year]:[Tax Year]],0))</f>
        <v/>
      </c>
      <c r="CW80" s="37">
        <f>INDEX(Tax_Credit[First Dependant],MATCH($CJ80,Tax_Credit[[Tax Year]:[Tax Year]],0))</f>
        <v/>
      </c>
      <c r="CX80" s="37">
        <f>INDEX(Tax_Credit[Each Additional],MATCH($CJ80,Tax_Credit[[Tax Year]:[Tax Year]],0))</f>
        <v/>
      </c>
      <c r="CY80" s="484">
        <f>Y80</f>
        <v/>
      </c>
      <c r="CZ80" s="601">
        <f>AP80</f>
        <v/>
      </c>
      <c r="DA80" s="37">
        <f t="array" ref="DA80">INDEX($CL80:$CR80,0,MATCH($CZ80,$CL80:$CR80,1))</f>
        <v/>
      </c>
      <c r="DB80" s="37">
        <f t="array" ref="DB80">IFERROR(INDEX(Tax_Tables[Percentages],$CK80+MATCH($DA80,$CL80:$CR80,0)-1),"")</f>
        <v/>
      </c>
      <c r="DC80" s="37">
        <f t="array" ref="DC80">IFERROR(INDEX(Tax_Tables[Tax],$CK80+MATCH($DA80,$CL80:$CR80,0)-1),"")</f>
        <v/>
      </c>
      <c r="DD80" s="37">
        <f>IF(CY80&lt;65,CS80,IF(CY80&lt;75,CT80,CU80))</f>
        <v/>
      </c>
      <c r="DE80" s="37">
        <f>CV80*(Summary!$C$31="Y")+(Summary!$C$31="Y")*(CW80*(Pre_MDep&gt;=1)+CX80*MAX(Pre_MDep-1,0))</f>
        <v/>
      </c>
      <c r="DF80" s="599">
        <f>IFERROR(MAX(DB80*(CZ80-DA80)+DC80-DD80-DE80*12,0),"")</f>
        <v/>
      </c>
      <c r="DG80" s="602" t="n"/>
      <c r="DH80" s="601">
        <f>BL80</f>
        <v/>
      </c>
      <c r="DI80" s="37">
        <f t="array" ref="DI80">INDEX($CL80:$CR80,0,MATCH($DH80,$CL80:$CR80,1))</f>
        <v/>
      </c>
      <c r="DJ80" s="37">
        <f t="array" ref="DJ80">IFERROR(INDEX(Tax_Tables[Percentages],$CK80+MATCH($DI80,$CL80:$CR80,0)-1),"")</f>
        <v/>
      </c>
      <c r="DK80" s="37">
        <f t="array" ref="DK80">IFERROR(INDEX(Tax_Tables[Tax],$CK80+MATCH($DI80,$CL80:$CR80,0)-1),"")</f>
        <v/>
      </c>
      <c r="DL80" s="37">
        <f>CV80*(Summary!$C$81="Y")+(Summary!$C$81="Y")*(CW80*(Post_MDep&gt;=1)+CX80*MAX(Post_MDep-1,0))</f>
        <v/>
      </c>
      <c r="DM80" s="599">
        <f>IFERROR(MAX(DJ80*(DH80-DI80)+DK80-DD80-DL80*12,0),"")</f>
        <v/>
      </c>
      <c r="DN80" s="601" t="n"/>
      <c r="DO80" s="37" t="n"/>
      <c r="DP80" s="37" t="n"/>
      <c r="DQ80" s="37" t="n"/>
      <c r="DR80" s="37" t="n"/>
      <c r="DS80" s="37" t="n"/>
      <c r="DT80" s="37" t="n"/>
      <c r="DU80" s="37" t="n"/>
      <c r="DV80" s="37" t="n"/>
      <c r="DW80" s="37" t="n"/>
      <c r="DX80" s="599" t="n"/>
      <c r="DY80" s="131" t="n"/>
      <c r="DZ80" s="601" t="n"/>
      <c r="EA80" s="37" t="n"/>
      <c r="EB80" s="37" t="n"/>
      <c r="EC80" s="37" t="n"/>
      <c r="ED80" s="599" t="n"/>
      <c r="EE80" s="595" t="n"/>
      <c r="EF80" s="25" t="n"/>
    </row>
    <row r="81">
      <c r="C81" s="596">
        <f>C80+D81-D80</f>
        <v/>
      </c>
      <c r="D81" s="160">
        <f>AU81</f>
        <v/>
      </c>
      <c r="E81" s="87">
        <f>IF(DoC=V81,"Calc Date",IF(V81&lt;DoC,"PL","FL"))</f>
        <v/>
      </c>
      <c r="F81" s="310">
        <f>F80+1</f>
        <v/>
      </c>
      <c r="G81" s="31">
        <f>VLOOKUP(F81,C$10:D$148,2)</f>
        <v/>
      </c>
      <c r="H81" s="313">
        <f>H80</f>
        <v/>
      </c>
      <c r="I81" s="281">
        <f>I80</f>
        <v/>
      </c>
      <c r="J81" s="589">
        <f>I81*index/VLOOKUP($H81,CPI!A:E,4,FALSE)</f>
        <v/>
      </c>
      <c r="K81" s="589">
        <f>IF(L81="Linear",(J81-J80)/(G81-G80),0)</f>
        <v/>
      </c>
      <c r="L81" s="311" t="inlineStr">
        <is>
          <t>Flat</t>
        </is>
      </c>
      <c r="M81" s="137" t="n"/>
      <c r="N81" s="310">
        <f>N80+1</f>
        <v/>
      </c>
      <c r="O81" s="31">
        <f>O80+N81-N80</f>
        <v/>
      </c>
      <c r="P81" s="313">
        <f>P80</f>
        <v/>
      </c>
      <c r="Q81" s="281">
        <f>Q80</f>
        <v/>
      </c>
      <c r="R81" s="589">
        <f>Q81*index/VLOOKUP($P81,CPI!A:E,4,FALSE)</f>
        <v/>
      </c>
      <c r="S81" s="589">
        <f>IF(T81="Linear",(R81-R80)/(O81-O80),0)</f>
        <v/>
      </c>
      <c r="T81" s="311" t="inlineStr">
        <is>
          <t>Flat</t>
        </is>
      </c>
      <c r="U81" s="144" t="n"/>
      <c r="V81" s="6">
        <f>IF(AND($V80=DoA,MONTH(V80)&lt;3),DATE(YEAR(DoA),3,1),IF(AND(IFERROR(DATEDIF(V80,DoC,"M"),12)&lt;12,IFERROR(DATEDIF(V80,DoC,"M"),12)&gt;0),DoC,DATE(YEAR(V80)+(1-AND(YEAR(DoC)=Current,V80=DoC)-AND(V80=DoA,MONTH(V80)&lt;3)),3,1)))</f>
        <v/>
      </c>
      <c r="W81" s="31">
        <f>IF(V81=DoR_Pre,IF(MONTH(DoR_Pre)&gt;3,YEAR(DoR_Pre)+1,YEAR(DoR_Pre)),IF(MONTH(V81)&gt;3,Current,YEAR(V81)))</f>
        <v/>
      </c>
      <c r="X81" s="597">
        <f>IF(W81=Current,ROUND((V81-V80)/365.25,5),_xlfn.IFNA(INDEX(Summary!$A$5:$A$22,MATCH('LOE Sc1'!W81,Summary!$C$5:$C$22,0)),IF(W81=Ret_Yr_pre,ROUND((DoR_Pre-V80)/365.25,5),ROUND((V81-V80)/365.25,2))))</f>
        <v/>
      </c>
      <c r="Y81" s="55">
        <f>IF(AND(V81=DoC,MONTH(DoC)&lt;&gt;3),ROUNDDOWN(DATEDIF(DoB,V82,"M")/12,),ROUNDDOWN(DATEDIF(DoB,V81,"M")/12,))</f>
        <v/>
      </c>
      <c r="Z81" s="590" t="n"/>
      <c r="AA81" s="25">
        <f>MAX(RetAge_Pre-Y81,0)</f>
        <v/>
      </c>
      <c r="AB81" s="26">
        <f t="array" ref="AB81">IF(W81&gt;Ret_Yr_pre,0,_xlfn.IFNA(VLOOKUP(Y81,F$11:J$1000,5,),IF(AND(W81=Current,V81&gt;DoC,MONTH(DoC)&lt;&gt;3),AB80,AB80+INDEX(K$11:K$1000,MATCH(Y81,F$11:F$1000,1)+1))))</f>
        <v/>
      </c>
      <c r="AC81" s="590">
        <f>IF(V81&lt;DoC,AB81*VLOOKUP(YEAR(V81),CPI!A:E,4,FALSE)/index,AB81*real_i^INT(BP81))</f>
        <v/>
      </c>
      <c r="AD81" s="590">
        <f>$AC81/12*Bonus</f>
        <v/>
      </c>
      <c r="AE81" s="590">
        <f>IF($E81="FL",MedSub*m^INT(BP81),MedSub)*IF(Summary!$C$31="Y",1,0)*(W81&lt;=Ret_Yr_pre)*(Summary!C$31="Y")</f>
        <v/>
      </c>
      <c r="AF81" s="590">
        <f>IF(Summary!$C$30="Y",IF(E81&lt;&gt;"PL",VLOOKUP(Current,'Housing Allowance'!$A:$B,2,),VLOOKUP(YEAR($V81),'Housing Allowance'!$A:$B,2,)),0)*(W81&lt;=Ret_Yr_pre)</f>
        <v/>
      </c>
      <c r="AG81" s="590">
        <f>AC81*overtime</f>
        <v/>
      </c>
      <c r="AH81" s="590">
        <f>AC81*allow_1</f>
        <v/>
      </c>
      <c r="AI81" s="590">
        <f>(AB81&lt;&gt;0)*12*allow_2</f>
        <v/>
      </c>
      <c r="AJ81" s="590" t="n"/>
      <c r="AK81" s="581">
        <f>IF(YEAR(W81)&lt;=Ret_Yr_pre,SUM(AC81:AJ81),0)*IF($W81=Ret_Yr_pre,X81,1)</f>
        <v/>
      </c>
      <c r="AL81" s="581">
        <f>IF($W81&gt;=Ret_Yr_pre,pens_Pre*(GEPF_pre="Y"),0)*IF($W81=Ret_Yr_pre,1-$X81,1)*IF(Ret_Yr_pre&lt;Current,(_xlfn.IFNA(VLOOKUP($D81,CPI!$A:$E,2,FALSE),VLOOKUP(Current,CPI!$A:$E,2,FALSE))/VLOOKUP(Ret_Yr_pre,CPI!$A:$E,2,FALSE)),1)</f>
        <v/>
      </c>
      <c r="AM81" s="590">
        <f>$AC81*ee*IF($W81=Ret_Yr_pre,$X81,1)</f>
        <v/>
      </c>
      <c r="AN81" s="590">
        <f>$AC81*er*IF($W81=Ret_Yr_pre,$X81,1)</f>
        <v/>
      </c>
      <c r="AO81" s="590">
        <f>IF('LOE Sc1'!$W81=Ret_Yr_pre,Gratuity_Pre*(GEPF_pre="Y"),0)</f>
        <v/>
      </c>
      <c r="AP81" s="581">
        <f>AK81+AL81-$AM81-AN81*(GEPF_pre="Y")</f>
        <v/>
      </c>
      <c r="AQ81" s="590">
        <f>IF(DF81&lt;0,0,DF81)</f>
        <v/>
      </c>
      <c r="AR81" s="581">
        <f>(AP81-AQ81+AM81*(AM$7="Y")+AN81*(AN$7="Y"))*IF(W81&lt;Ret_Yr_pre,X81,1)+AO81</f>
        <v/>
      </c>
      <c r="AS81" s="595" t="n"/>
      <c r="AT81" s="6">
        <f>V81</f>
        <v/>
      </c>
      <c r="AU81" s="31">
        <f>W81</f>
        <v/>
      </c>
      <c r="AV81" s="598">
        <f>IF(AU81=Current,ROUND((AT81-AT80)/365.25,5),_xlfn.IFNA(INDEX(Summary!$A$55:$A$72,MATCH('LOE Sc1'!AU81,Summary!$C$55:$C$72,0)),IF(AU81=Ret_Yr_post,ROUND((DoR_Post-AT80)/365.25,5),ROUND((AT81-AT80)/365.25,2))))</f>
        <v/>
      </c>
      <c r="AW81" s="55">
        <f>Y81</f>
        <v/>
      </c>
      <c r="AX81" s="26">
        <f t="array" ref="AX81">IF(AU81&gt;Ret_Yr_post,0,_xlfn.IFNA(VLOOKUP(AW81,N$11:S$1000,5,),IF(AND(AU81=Current,AT81&gt;DoC,MONTH(DoC)&lt;&gt;3),AX80,AX80+INDEX(S$11:S$1000,MATCH(AW81,N$11:N$1000,1)+1))))</f>
        <v/>
      </c>
      <c r="AY81" s="590">
        <f>IF($V81&lt;DoC,AX81*VLOOKUP(YEAR($V81),CPI_Table,4,FALSE)/index,AX81*real_i^INT(BP81))</f>
        <v/>
      </c>
      <c r="AZ81" s="590">
        <f>$AY81/12*Bonus_Post*($AW81&lt;=RetAge_Post)</f>
        <v/>
      </c>
      <c r="BA81" s="590">
        <f>IF($E81="FL",MedSub*m^INT(BP81),MedSub)*IF(Summary!$C$81="Y",1,0)*($AU81&lt;=Ret_Yr_post)*(Summary!$C$81="Y")</f>
        <v/>
      </c>
      <c r="BB81" s="590">
        <f>IF(Summary!$C$80="Y",IF($E81&lt;&gt;"PL",VLOOKUP(Current,'Housing Allowance'!$A:$B,2,),VLOOKUP(YEAR($AT81),'Housing Allowance'!$A:$B,2,)),0)*($AU81&lt;=Ret_Yr_post)</f>
        <v/>
      </c>
      <c r="BC81" s="590">
        <f>AY81*overtime_post</f>
        <v/>
      </c>
      <c r="BD81" s="590">
        <f>$AY81*allow_1_post</f>
        <v/>
      </c>
      <c r="BE81" s="590">
        <f>($AY81&lt;&gt;0)*allow_2_post*12</f>
        <v/>
      </c>
      <c r="BF81" s="590" t="n"/>
      <c r="BG81" s="581">
        <f>IF(YEAR($V81)&lt;=Ret_Yr_post,SUM(AY81:BF81),0)*IF($W81=Ret_Yr_post,AV81,1)</f>
        <v/>
      </c>
      <c r="BH81" s="581">
        <f>IF($W81&gt;=Ret_Yr_post,pens_Post*(GEPF_pre="Y"),0)*IF($W81=Ret_Yr_post,1-$AV81,1)*IF(Ret_Yr_post&lt;Current,(_xlfn.IFNA(VLOOKUP($D81,CPI!$A:$E,2,FALSE),VLOOKUP(Current,CPI!$A:$E,2,FALSE))/VLOOKUP(Ret_Yr_post,CPI!$A:$E,2,FALSE)),1)</f>
        <v/>
      </c>
      <c r="BI81" s="590">
        <f>$AY81*ee_post*IF($W81=Ret_Yr_post,$AV81,1)</f>
        <v/>
      </c>
      <c r="BJ81" s="590">
        <f>$AY81*er_post*IF($W81=Ret_Yr_post,$AV81,1)</f>
        <v/>
      </c>
      <c r="BK81" s="590">
        <f>IF('LOE Sc1'!$W81=Ret_Yr_post,Gratuity_Post*(GEPF_post="Y"),0)</f>
        <v/>
      </c>
      <c r="BL81" s="581">
        <f>BG81+BH81-BI81-BJ81*(GEPF_post="Y")</f>
        <v/>
      </c>
      <c r="BM81" s="590">
        <f>IF(DM81&lt;0,0,DM81)</f>
        <v/>
      </c>
      <c r="BN81" s="581">
        <f>(BL81-BM81+BI81*(BI$7="Y")+BJ81*(BJ$7="Y"))*IF($W81&lt;Ret_Yr_post,AV81,1)+BK81</f>
        <v/>
      </c>
      <c r="BO81" s="591" t="n"/>
      <c r="BP81" s="592">
        <f>IF($E81="FL",IF($X81&lt;=DoC,DATEDIF(DoC,$V81,"M")/12,0),0)</f>
        <v/>
      </c>
      <c r="BQ81" s="592">
        <f>IF($E81="FL",(1+CPI)^INT(BP81),0)</f>
        <v/>
      </c>
      <c r="BR81" s="592">
        <f>IF($E81="FL",IF(($BP81-0.5)&gt;=0,1/(1+d)^($BP81-0.5),1/(1+d)^($BP81)),0)</f>
        <v/>
      </c>
      <c r="BS81" s="592" t="n"/>
      <c r="BT81" s="25">
        <f>IF(gender="M",VLOOKUP($Y81+pre_mort+IF(MONTH(DoC)&lt;MONTH(DoB),IF(MONTH(DoC)&lt;3,0,-1),IF(MONTH(DoB)&lt;3,-1,0)),'SALT LIFE TABLES'!$A$7:$E$106,2),VLOOKUP($Y81+pre_mort+IF(MONTH(DoC)&lt;MONTH(DoB),IF(MONTH(DoC)&lt;3,0,-1),IF(MONTH(DoB)&lt;3,-1,0)),'SALT LIFE TABLES'!$A$7:$E$106,4))</f>
        <v/>
      </c>
      <c r="BU81" s="592">
        <f>IF($E81="PL",1,BT81/BU$7)</f>
        <v/>
      </c>
      <c r="BV81" s="593" t="n"/>
      <c r="BW81" s="25">
        <f>IF(gender="M",VLOOKUP($Y81+post_mort+IF(MONTH(DoC)&lt;MONTH(DoB),IF(MONTH(DoC)&lt;3,0,-1),IF(MONTH(DoB)&lt;3,-1,0)),'SALT LIFE TABLES'!$A$7:$E$106,2),VLOOKUP($Y81+post_mort+IF(MONTH(DoC)&lt;MONTH(DoB),IF(MONTH(DoC)&lt;3,0,-1),IF(MONTH(DoB)&lt;3,-1,0)),'SALT LIFE TABLES'!$A$7:$E$106,4))</f>
        <v/>
      </c>
      <c r="BX81" s="592">
        <f>IF($E81="PL",1,BW81/BX$7)</f>
        <v/>
      </c>
      <c r="BY81" s="594" t="n"/>
      <c r="BZ81" s="592" t="n"/>
      <c r="CA81" s="592">
        <f>IF($E81="FL",$AR81*$BQ81*$BR81*$BU81,$AR81)</f>
        <v/>
      </c>
      <c r="CB81" s="592">
        <f>IF($E81="FL",$BN81*$BQ81*$BR81*$BX81,$BN81)</f>
        <v/>
      </c>
      <c r="CC81" s="592" t="n"/>
      <c r="CD81" s="592">
        <f>IF($E81="FL",$CA81*(1-pre_FL),$CA81*(1-pre_PL))</f>
        <v/>
      </c>
      <c r="CE81" s="592">
        <f>IF($E81="FL",$CB81*(1-post_FL),$CB81*(1-post_PL))</f>
        <v/>
      </c>
      <c r="CF81" s="592" t="n"/>
      <c r="CG81" s="599">
        <f>CD81-CE81</f>
        <v/>
      </c>
      <c r="CH81" s="599">
        <f>MIN(CG81,IF(W81=Ret_Yr_pre,1,$X81)*Cap)</f>
        <v/>
      </c>
      <c r="CI81" s="128" t="n"/>
      <c r="CJ81" s="37">
        <f>IF(D81&gt;Current,Current,D81)</f>
        <v/>
      </c>
      <c r="CK81" s="37">
        <f>MATCH($CJ81,Tax_Tables[Tax Year],0)</f>
        <v/>
      </c>
      <c r="CL81" s="600" t="n">
        <v>0</v>
      </c>
      <c r="CM81" s="600">
        <f t="array" ref="CM81">INDEX(Tax_Tables[[Limits]:[Limits]],$CK81+CM$8)</f>
        <v/>
      </c>
      <c r="CN81" s="600">
        <f t="array" ref="CN81">INDEX(Tax_Tables[[Limits]:[Limits]],$CK81+CN$8)</f>
        <v/>
      </c>
      <c r="CO81" s="600">
        <f t="array" ref="CO81">INDEX(Tax_Tables[[Limits]:[Limits]],$CK81+CO$8)</f>
        <v/>
      </c>
      <c r="CP81" s="600">
        <f t="array" ref="CP81">INDEX(Tax_Tables[[Limits]:[Limits]],$CK81+CP$8)</f>
        <v/>
      </c>
      <c r="CQ81" s="600">
        <f t="array" ref="CQ81">INDEX(Tax_Tables[[Limits]:[Limits]],$CK81+CQ$8)</f>
        <v/>
      </c>
      <c r="CR81" s="600">
        <f t="array" ref="CR81">INDEX(Tax_Tables[[Limits]:[Limits]],$CK81+CR$8)</f>
        <v/>
      </c>
      <c r="CS81" s="37">
        <f>INDEX(Rebate[&lt;65],MATCH($CJ81,Rebate[[Tax Year]:[Tax Year]],0))</f>
        <v/>
      </c>
      <c r="CT81" s="37">
        <f>INDEX(Rebate[&lt;75],MATCH($CJ81,Rebate[[Tax Year]:[Tax Year]],0))</f>
        <v/>
      </c>
      <c r="CU81" s="37">
        <f>INDEX(Rebate[&gt;75],MATCH($CJ81,Rebate[[Tax Year]:[Tax Year]],0))</f>
        <v/>
      </c>
      <c r="CV81" s="37">
        <f>INDEX(Tax_Credit[Principal],MATCH($CJ81,Tax_Credit[[Tax Year]:[Tax Year]],0))</f>
        <v/>
      </c>
      <c r="CW81" s="37">
        <f>INDEX(Tax_Credit[First Dependant],MATCH($CJ81,Tax_Credit[[Tax Year]:[Tax Year]],0))</f>
        <v/>
      </c>
      <c r="CX81" s="37">
        <f>INDEX(Tax_Credit[Each Additional],MATCH($CJ81,Tax_Credit[[Tax Year]:[Tax Year]],0))</f>
        <v/>
      </c>
      <c r="CY81" s="484">
        <f>Y81</f>
        <v/>
      </c>
      <c r="CZ81" s="601">
        <f>AP81</f>
        <v/>
      </c>
      <c r="DA81" s="37">
        <f t="array" ref="DA81">INDEX($CL81:$CR81,0,MATCH($CZ81,$CL81:$CR81,1))</f>
        <v/>
      </c>
      <c r="DB81" s="37">
        <f t="array" ref="DB81">IFERROR(INDEX(Tax_Tables[Percentages],$CK81+MATCH($DA81,$CL81:$CR81,0)-1),"")</f>
        <v/>
      </c>
      <c r="DC81" s="37">
        <f t="array" ref="DC81">IFERROR(INDEX(Tax_Tables[Tax],$CK81+MATCH($DA81,$CL81:$CR81,0)-1),"")</f>
        <v/>
      </c>
      <c r="DD81" s="37">
        <f>IF(CY81&lt;65,CS81,IF(CY81&lt;75,CT81,CU81))</f>
        <v/>
      </c>
      <c r="DE81" s="37">
        <f>CV81*(Summary!$C$31="Y")+(Summary!$C$31="Y")*(CW81*(Pre_MDep&gt;=1)+CX81*MAX(Pre_MDep-1,0))</f>
        <v/>
      </c>
      <c r="DF81" s="599">
        <f>IFERROR(MAX(DB81*(CZ81-DA81)+DC81-DD81-DE81*12,0),"")</f>
        <v/>
      </c>
      <c r="DG81" s="602" t="n"/>
      <c r="DH81" s="601">
        <f>BL81</f>
        <v/>
      </c>
      <c r="DI81" s="37">
        <f t="array" ref="DI81">INDEX($CL81:$CR81,0,MATCH($DH81,$CL81:$CR81,1))</f>
        <v/>
      </c>
      <c r="DJ81" s="37">
        <f t="array" ref="DJ81">IFERROR(INDEX(Tax_Tables[Percentages],$CK81+MATCH($DI81,$CL81:$CR81,0)-1),"")</f>
        <v/>
      </c>
      <c r="DK81" s="37">
        <f t="array" ref="DK81">IFERROR(INDEX(Tax_Tables[Tax],$CK81+MATCH($DI81,$CL81:$CR81,0)-1),"")</f>
        <v/>
      </c>
      <c r="DL81" s="37">
        <f>CV81*(Summary!$C$81="Y")+(Summary!$C$81="Y")*(CW81*(Post_MDep&gt;=1)+CX81*MAX(Post_MDep-1,0))</f>
        <v/>
      </c>
      <c r="DM81" s="599">
        <f>IFERROR(MAX(DJ81*(DH81-DI81)+DK81-DD81-DL81*12,0),"")</f>
        <v/>
      </c>
      <c r="DN81" s="601" t="n"/>
      <c r="DO81" s="37" t="n"/>
      <c r="DP81" s="37" t="n"/>
      <c r="DQ81" s="37" t="n"/>
      <c r="DR81" s="37" t="n"/>
      <c r="DS81" s="37" t="n"/>
      <c r="DT81" s="37" t="n"/>
      <c r="DU81" s="37" t="n"/>
      <c r="DV81" s="37" t="n"/>
      <c r="DW81" s="37" t="n"/>
      <c r="DX81" s="599" t="n"/>
      <c r="DY81" s="131" t="n"/>
      <c r="DZ81" s="601" t="n"/>
      <c r="EA81" s="37" t="n"/>
      <c r="EB81" s="37" t="n"/>
      <c r="EC81" s="37" t="n"/>
      <c r="ED81" s="599" t="n"/>
      <c r="EE81" s="595" t="n"/>
      <c r="EF81" s="25" t="n"/>
    </row>
    <row r="82">
      <c r="C82" s="596">
        <f>C81+D82-D81</f>
        <v/>
      </c>
      <c r="D82" s="160">
        <f>AU82</f>
        <v/>
      </c>
      <c r="E82" s="87">
        <f>IF(DoC=V82,"Calc Date",IF(V82&lt;DoC,"PL","FL"))</f>
        <v/>
      </c>
      <c r="F82" s="310">
        <f>F81+1</f>
        <v/>
      </c>
      <c r="G82" s="31">
        <f>VLOOKUP(F82,C$10:D$148,2)</f>
        <v/>
      </c>
      <c r="H82" s="313">
        <f>H81</f>
        <v/>
      </c>
      <c r="I82" s="281">
        <f>I81</f>
        <v/>
      </c>
      <c r="J82" s="589">
        <f>I82*index/VLOOKUP($H82,CPI!A:E,4,FALSE)</f>
        <v/>
      </c>
      <c r="K82" s="589">
        <f>IF(L82="Linear",(J82-J81)/(G82-G81),0)</f>
        <v/>
      </c>
      <c r="L82" s="311" t="inlineStr">
        <is>
          <t>Flat</t>
        </is>
      </c>
      <c r="M82" s="137" t="n"/>
      <c r="N82" s="310">
        <f>N81+1</f>
        <v/>
      </c>
      <c r="O82" s="31">
        <f>O81+N82-N81</f>
        <v/>
      </c>
      <c r="P82" s="313">
        <f>P81</f>
        <v/>
      </c>
      <c r="Q82" s="281">
        <f>Q81</f>
        <v/>
      </c>
      <c r="R82" s="589">
        <f>Q82*index/VLOOKUP($P82,CPI!A:E,4,FALSE)</f>
        <v/>
      </c>
      <c r="S82" s="589">
        <f>IF(T82="Linear",(R82-R81)/(O82-O81),0)</f>
        <v/>
      </c>
      <c r="T82" s="311" t="inlineStr">
        <is>
          <t>Flat</t>
        </is>
      </c>
      <c r="U82" s="144" t="n"/>
      <c r="V82" s="6">
        <f>IF(AND($V81=DoA,MONTH(V81)&lt;3),DATE(YEAR(DoA),3,1),IF(AND(IFERROR(DATEDIF(V81,DoC,"M"),12)&lt;12,IFERROR(DATEDIF(V81,DoC,"M"),12)&gt;0),DoC,DATE(YEAR(V81)+(1-AND(YEAR(DoC)=Current,V81=DoC)-AND(V81=DoA,MONTH(V81)&lt;3)),3,1)))</f>
        <v/>
      </c>
      <c r="W82" s="31">
        <f>IF(V82=DoR_Pre,IF(MONTH(DoR_Pre)&gt;3,YEAR(DoR_Pre)+1,YEAR(DoR_Pre)),IF(MONTH(V82)&gt;3,Current,YEAR(V82)))</f>
        <v/>
      </c>
      <c r="X82" s="597">
        <f>IF(W82=Current,ROUND((V82-V81)/365.25,5),_xlfn.IFNA(INDEX(Summary!$A$5:$A$22,MATCH('LOE Sc1'!W82,Summary!$C$5:$C$22,0)),IF(W82=Ret_Yr_pre,ROUND((DoR_Pre-V81)/365.25,5),ROUND((V82-V81)/365.25,2))))</f>
        <v/>
      </c>
      <c r="Y82" s="55">
        <f>IF(AND(V82=DoC,MONTH(DoC)&lt;&gt;3),ROUNDDOWN(DATEDIF(DoB,V83,"M")/12,),ROUNDDOWN(DATEDIF(DoB,V82,"M")/12,))</f>
        <v/>
      </c>
      <c r="Z82" s="590" t="n"/>
      <c r="AA82" s="25">
        <f>MAX(RetAge_Pre-Y82,0)</f>
        <v/>
      </c>
      <c r="AB82" s="26">
        <f t="array" ref="AB82">IF(W82&gt;Ret_Yr_pre,0,_xlfn.IFNA(VLOOKUP(Y82,F$11:J$1000,5,),IF(AND(W82=Current,V82&gt;DoC,MONTH(DoC)&lt;&gt;3),AB81,AB81+INDEX(K$11:K$1000,MATCH(Y82,F$11:F$1000,1)+1))))</f>
        <v/>
      </c>
      <c r="AC82" s="590">
        <f>IF(V82&lt;DoC,AB82*VLOOKUP(YEAR(V82),CPI!A:E,4,FALSE)/index,AB82*real_i^INT(BP82))</f>
        <v/>
      </c>
      <c r="AD82" s="590">
        <f>$AC82/12*Bonus</f>
        <v/>
      </c>
      <c r="AE82" s="590">
        <f>IF($E82="FL",MedSub*m^INT(BP82),MedSub)*IF(Summary!$C$31="Y",1,0)*(W82&lt;=Ret_Yr_pre)*(Summary!C$31="Y")</f>
        <v/>
      </c>
      <c r="AF82" s="590">
        <f>IF(Summary!$C$30="Y",IF(E82&lt;&gt;"PL",VLOOKUP(Current,'Housing Allowance'!$A:$B,2,),VLOOKUP(YEAR($V82),'Housing Allowance'!$A:$B,2,)),0)*(W82&lt;=Ret_Yr_pre)</f>
        <v/>
      </c>
      <c r="AG82" s="590">
        <f>AC82*overtime</f>
        <v/>
      </c>
      <c r="AH82" s="590">
        <f>AC82*allow_1</f>
        <v/>
      </c>
      <c r="AI82" s="590">
        <f>(AB82&lt;&gt;0)*12*allow_2</f>
        <v/>
      </c>
      <c r="AJ82" s="590" t="n"/>
      <c r="AK82" s="581">
        <f>IF(YEAR(W82)&lt;=Ret_Yr_pre,SUM(AC82:AJ82),0)*IF($W82=Ret_Yr_pre,X82,1)</f>
        <v/>
      </c>
      <c r="AL82" s="581">
        <f>IF($W82&gt;=Ret_Yr_pre,pens_Pre*(GEPF_pre="Y"),0)*IF($W82=Ret_Yr_pre,1-$X82,1)*IF(Ret_Yr_pre&lt;Current,(_xlfn.IFNA(VLOOKUP($D82,CPI!$A:$E,2,FALSE),VLOOKUP(Current,CPI!$A:$E,2,FALSE))/VLOOKUP(Ret_Yr_pre,CPI!$A:$E,2,FALSE)),1)</f>
        <v/>
      </c>
      <c r="AM82" s="590">
        <f>$AC82*ee*IF($W82=Ret_Yr_pre,$X82,1)</f>
        <v/>
      </c>
      <c r="AN82" s="590">
        <f>$AC82*er*IF($W82=Ret_Yr_pre,$X82,1)</f>
        <v/>
      </c>
      <c r="AO82" s="590">
        <f>IF('LOE Sc1'!$W82=Ret_Yr_pre,Gratuity_Pre*(GEPF_pre="Y"),0)</f>
        <v/>
      </c>
      <c r="AP82" s="581">
        <f>AK82+AL82-$AM82-AN82*(GEPF_pre="Y")</f>
        <v/>
      </c>
      <c r="AQ82" s="590">
        <f>IF(DF82&lt;0,0,DF82)</f>
        <v/>
      </c>
      <c r="AR82" s="581">
        <f>(AP82-AQ82+AM82*(AM$7="Y")+AN82*(AN$7="Y"))*IF(W82&lt;Ret_Yr_pre,X82,1)+AO82</f>
        <v/>
      </c>
      <c r="AS82" s="595" t="n"/>
      <c r="AT82" s="6">
        <f>V82</f>
        <v/>
      </c>
      <c r="AU82" s="31">
        <f>W82</f>
        <v/>
      </c>
      <c r="AV82" s="598">
        <f>IF(AU82=Current,ROUND((AT82-AT81)/365.25,5),_xlfn.IFNA(INDEX(Summary!$A$55:$A$72,MATCH('LOE Sc1'!AU82,Summary!$C$55:$C$72,0)),IF(AU82=Ret_Yr_post,ROUND((DoR_Post-AT81)/365.25,5),ROUND((AT82-AT81)/365.25,2))))</f>
        <v/>
      </c>
      <c r="AW82" s="55">
        <f>Y82</f>
        <v/>
      </c>
      <c r="AX82" s="26">
        <f t="array" ref="AX82">IF(AU82&gt;Ret_Yr_post,0,_xlfn.IFNA(VLOOKUP(AW82,N$11:S$1000,5,),IF(AND(AU82=Current,AT82&gt;DoC,MONTH(DoC)&lt;&gt;3),AX81,AX81+INDEX(S$11:S$1000,MATCH(AW82,N$11:N$1000,1)+1))))</f>
        <v/>
      </c>
      <c r="AY82" s="590">
        <f>IF($V82&lt;DoC,AX82*VLOOKUP(YEAR($V82),CPI_Table,4,FALSE)/index,AX82*real_i^INT(BP82))</f>
        <v/>
      </c>
      <c r="AZ82" s="590">
        <f>$AY82/12*Bonus_Post*($AW82&lt;=RetAge_Post)</f>
        <v/>
      </c>
      <c r="BA82" s="590">
        <f>IF($E82="FL",MedSub*m^INT(BP82),MedSub)*IF(Summary!$C$81="Y",1,0)*($AU82&lt;=Ret_Yr_post)*(Summary!$C$81="Y")</f>
        <v/>
      </c>
      <c r="BB82" s="590">
        <f>IF(Summary!$C$80="Y",IF($E82&lt;&gt;"PL",VLOOKUP(Current,'Housing Allowance'!$A:$B,2,),VLOOKUP(YEAR($AT82),'Housing Allowance'!$A:$B,2,)),0)*($AU82&lt;=Ret_Yr_post)</f>
        <v/>
      </c>
      <c r="BC82" s="590">
        <f>AY82*overtime_post</f>
        <v/>
      </c>
      <c r="BD82" s="590">
        <f>$AY82*allow_1_post</f>
        <v/>
      </c>
      <c r="BE82" s="590">
        <f>($AY82&lt;&gt;0)*allow_2_post*12</f>
        <v/>
      </c>
      <c r="BF82" s="590" t="n"/>
      <c r="BG82" s="581">
        <f>IF(YEAR($V82)&lt;=Ret_Yr_post,SUM(AY82:BF82),0)*IF($W82=Ret_Yr_post,AV82,1)</f>
        <v/>
      </c>
      <c r="BH82" s="581">
        <f>IF($W82&gt;=Ret_Yr_post,pens_Post*(GEPF_pre="Y"),0)*IF($W82=Ret_Yr_post,1-$AV82,1)*IF(Ret_Yr_post&lt;Current,(_xlfn.IFNA(VLOOKUP($D82,CPI!$A:$E,2,FALSE),VLOOKUP(Current,CPI!$A:$E,2,FALSE))/VLOOKUP(Ret_Yr_post,CPI!$A:$E,2,FALSE)),1)</f>
        <v/>
      </c>
      <c r="BI82" s="590">
        <f>$AY82*ee_post*IF($W82=Ret_Yr_post,$AV82,1)</f>
        <v/>
      </c>
      <c r="BJ82" s="590">
        <f>$AY82*er_post*IF($W82=Ret_Yr_post,$AV82,1)</f>
        <v/>
      </c>
      <c r="BK82" s="590">
        <f>IF('LOE Sc1'!$W82=Ret_Yr_post,Gratuity_Post*(GEPF_post="Y"),0)</f>
        <v/>
      </c>
      <c r="BL82" s="581">
        <f>BG82+BH82-BI82-BJ82*(GEPF_post="Y")</f>
        <v/>
      </c>
      <c r="BM82" s="590">
        <f>IF(DM82&lt;0,0,DM82)</f>
        <v/>
      </c>
      <c r="BN82" s="581">
        <f>(BL82-BM82+BI82*(BI$7="Y")+BJ82*(BJ$7="Y"))*IF($W82&lt;Ret_Yr_post,AV82,1)+BK82</f>
        <v/>
      </c>
      <c r="BO82" s="591" t="n"/>
      <c r="BP82" s="592">
        <f>IF($E82="FL",IF($X82&lt;=DoC,DATEDIF(DoC,$V82,"M")/12,0),0)</f>
        <v/>
      </c>
      <c r="BQ82" s="592">
        <f>IF($E82="FL",(1+CPI)^INT(BP82),0)</f>
        <v/>
      </c>
      <c r="BR82" s="592">
        <f>IF($E82="FL",IF(($BP82-0.5)&gt;=0,1/(1+d)^($BP82-0.5),1/(1+d)^($BP82)),0)</f>
        <v/>
      </c>
      <c r="BS82" s="592" t="n"/>
      <c r="BT82" s="25">
        <f>IF(gender="M",VLOOKUP($Y82+pre_mort+IF(MONTH(DoC)&lt;MONTH(DoB),IF(MONTH(DoC)&lt;3,0,-1),IF(MONTH(DoB)&lt;3,-1,0)),'SALT LIFE TABLES'!$A$7:$E$106,2),VLOOKUP($Y82+pre_mort+IF(MONTH(DoC)&lt;MONTH(DoB),IF(MONTH(DoC)&lt;3,0,-1),IF(MONTH(DoB)&lt;3,-1,0)),'SALT LIFE TABLES'!$A$7:$E$106,4))</f>
        <v/>
      </c>
      <c r="BU82" s="592">
        <f>IF($E82="PL",1,BT82/BU$7)</f>
        <v/>
      </c>
      <c r="BV82" s="593" t="n"/>
      <c r="BW82" s="25">
        <f>IF(gender="M",VLOOKUP($Y82+post_mort+IF(MONTH(DoC)&lt;MONTH(DoB),IF(MONTH(DoC)&lt;3,0,-1),IF(MONTH(DoB)&lt;3,-1,0)),'SALT LIFE TABLES'!$A$7:$E$106,2),VLOOKUP($Y82+post_mort+IF(MONTH(DoC)&lt;MONTH(DoB),IF(MONTH(DoC)&lt;3,0,-1),IF(MONTH(DoB)&lt;3,-1,0)),'SALT LIFE TABLES'!$A$7:$E$106,4))</f>
        <v/>
      </c>
      <c r="BX82" s="592">
        <f>IF($E82="PL",1,BW82/BX$7)</f>
        <v/>
      </c>
      <c r="BY82" s="594" t="n"/>
      <c r="BZ82" s="592" t="n"/>
      <c r="CA82" s="592">
        <f>IF($E82="FL",$AR82*$BQ82*$BR82*$BU82,$AR82)</f>
        <v/>
      </c>
      <c r="CB82" s="592">
        <f>IF($E82="FL",$BN82*$BQ82*$BR82*$BX82,$BN82)</f>
        <v/>
      </c>
      <c r="CC82" s="592" t="n"/>
      <c r="CD82" s="592">
        <f>IF($E82="FL",$CA82*(1-pre_FL),$CA82*(1-pre_PL))</f>
        <v/>
      </c>
      <c r="CE82" s="592">
        <f>IF($E82="FL",$CB82*(1-post_FL),$CB82*(1-post_PL))</f>
        <v/>
      </c>
      <c r="CF82" s="592" t="n"/>
      <c r="CG82" s="599">
        <f>CD82-CE82</f>
        <v/>
      </c>
      <c r="CH82" s="599">
        <f>MIN(CG82,IF(W82=Ret_Yr_pre,1,$X82)*Cap)</f>
        <v/>
      </c>
      <c r="CI82" s="128" t="n"/>
      <c r="CJ82" s="37">
        <f>IF(D82&gt;Current,Current,D82)</f>
        <v/>
      </c>
      <c r="CK82" s="37">
        <f>MATCH($CJ82,Tax_Tables[Tax Year],0)</f>
        <v/>
      </c>
      <c r="CL82" s="600" t="n">
        <v>0</v>
      </c>
      <c r="CM82" s="600">
        <f t="array" ref="CM82">INDEX(Tax_Tables[[Limits]:[Limits]],$CK82+CM$8)</f>
        <v/>
      </c>
      <c r="CN82" s="600">
        <f t="array" ref="CN82">INDEX(Tax_Tables[[Limits]:[Limits]],$CK82+CN$8)</f>
        <v/>
      </c>
      <c r="CO82" s="600">
        <f t="array" ref="CO82">INDEX(Tax_Tables[[Limits]:[Limits]],$CK82+CO$8)</f>
        <v/>
      </c>
      <c r="CP82" s="600">
        <f t="array" ref="CP82">INDEX(Tax_Tables[[Limits]:[Limits]],$CK82+CP$8)</f>
        <v/>
      </c>
      <c r="CQ82" s="600">
        <f t="array" ref="CQ82">INDEX(Tax_Tables[[Limits]:[Limits]],$CK82+CQ$8)</f>
        <v/>
      </c>
      <c r="CR82" s="600">
        <f t="array" ref="CR82">INDEX(Tax_Tables[[Limits]:[Limits]],$CK82+CR$8)</f>
        <v/>
      </c>
      <c r="CS82" s="37">
        <f>INDEX(Rebate[&lt;65],MATCH($CJ82,Rebate[[Tax Year]:[Tax Year]],0))</f>
        <v/>
      </c>
      <c r="CT82" s="37">
        <f>INDEX(Rebate[&lt;75],MATCH($CJ82,Rebate[[Tax Year]:[Tax Year]],0))</f>
        <v/>
      </c>
      <c r="CU82" s="37">
        <f>INDEX(Rebate[&gt;75],MATCH($CJ82,Rebate[[Tax Year]:[Tax Year]],0))</f>
        <v/>
      </c>
      <c r="CV82" s="37">
        <f>INDEX(Tax_Credit[Principal],MATCH($CJ82,Tax_Credit[[Tax Year]:[Tax Year]],0))</f>
        <v/>
      </c>
      <c r="CW82" s="37">
        <f>INDEX(Tax_Credit[First Dependant],MATCH($CJ82,Tax_Credit[[Tax Year]:[Tax Year]],0))</f>
        <v/>
      </c>
      <c r="CX82" s="37">
        <f>INDEX(Tax_Credit[Each Additional],MATCH($CJ82,Tax_Credit[[Tax Year]:[Tax Year]],0))</f>
        <v/>
      </c>
      <c r="CY82" s="484">
        <f>Y82</f>
        <v/>
      </c>
      <c r="CZ82" s="601">
        <f>AP82</f>
        <v/>
      </c>
      <c r="DA82" s="37">
        <f t="array" ref="DA82">INDEX($CL82:$CR82,0,MATCH($CZ82,$CL82:$CR82,1))</f>
        <v/>
      </c>
      <c r="DB82" s="37">
        <f t="array" ref="DB82">IFERROR(INDEX(Tax_Tables[Percentages],$CK82+MATCH($DA82,$CL82:$CR82,0)-1),"")</f>
        <v/>
      </c>
      <c r="DC82" s="37">
        <f t="array" ref="DC82">IFERROR(INDEX(Tax_Tables[Tax],$CK82+MATCH($DA82,$CL82:$CR82,0)-1),"")</f>
        <v/>
      </c>
      <c r="DD82" s="37">
        <f>IF(CY82&lt;65,CS82,IF(CY82&lt;75,CT82,CU82))</f>
        <v/>
      </c>
      <c r="DE82" s="37">
        <f>CV82*(Summary!$C$31="Y")+(Summary!$C$31="Y")*(CW82*(Pre_MDep&gt;=1)+CX82*MAX(Pre_MDep-1,0))</f>
        <v/>
      </c>
      <c r="DF82" s="599">
        <f>IFERROR(MAX(DB82*(CZ82-DA82)+DC82-DD82-DE82*12,0),"")</f>
        <v/>
      </c>
      <c r="DG82" s="602" t="n"/>
      <c r="DH82" s="601">
        <f>BL82</f>
        <v/>
      </c>
      <c r="DI82" s="37">
        <f t="array" ref="DI82">INDEX($CL82:$CR82,0,MATCH($DH82,$CL82:$CR82,1))</f>
        <v/>
      </c>
      <c r="DJ82" s="37">
        <f t="array" ref="DJ82">IFERROR(INDEX(Tax_Tables[Percentages],$CK82+MATCH($DI82,$CL82:$CR82,0)-1),"")</f>
        <v/>
      </c>
      <c r="DK82" s="37">
        <f t="array" ref="DK82">IFERROR(INDEX(Tax_Tables[Tax],$CK82+MATCH($DI82,$CL82:$CR82,0)-1),"")</f>
        <v/>
      </c>
      <c r="DL82" s="37">
        <f>CV82*(Summary!$C$81="Y")+(Summary!$C$81="Y")*(CW82*(Post_MDep&gt;=1)+CX82*MAX(Post_MDep-1,0))</f>
        <v/>
      </c>
      <c r="DM82" s="599">
        <f>IFERROR(MAX(DJ82*(DH82-DI82)+DK82-DD82-DL82*12,0),"")</f>
        <v/>
      </c>
      <c r="DN82" s="601" t="n"/>
      <c r="DO82" s="37" t="n"/>
      <c r="DP82" s="37" t="n"/>
      <c r="DQ82" s="37" t="n"/>
      <c r="DR82" s="37" t="n"/>
      <c r="DS82" s="37" t="n"/>
      <c r="DT82" s="37" t="n"/>
      <c r="DU82" s="37" t="n"/>
      <c r="DV82" s="37" t="n"/>
      <c r="DW82" s="37" t="n"/>
      <c r="DX82" s="599" t="n"/>
      <c r="DY82" s="131" t="n"/>
      <c r="DZ82" s="601" t="n"/>
      <c r="EA82" s="37" t="n"/>
      <c r="EB82" s="37" t="n"/>
      <c r="EC82" s="37" t="n"/>
      <c r="ED82" s="599" t="n"/>
      <c r="EE82" s="595" t="n"/>
      <c r="EF82" s="25" t="n"/>
    </row>
    <row r="83">
      <c r="C83" s="596">
        <f>C82+D83-D82</f>
        <v/>
      </c>
      <c r="D83" s="160">
        <f>AU83</f>
        <v/>
      </c>
      <c r="E83" s="87">
        <f>IF(DoC=V83,"Calc Date",IF(V83&lt;DoC,"PL","FL"))</f>
        <v/>
      </c>
      <c r="F83" s="310">
        <f>F82+1</f>
        <v/>
      </c>
      <c r="G83" s="31">
        <f>VLOOKUP(F83,C$10:D$148,2)</f>
        <v/>
      </c>
      <c r="H83" s="313">
        <f>H82</f>
        <v/>
      </c>
      <c r="I83" s="281">
        <f>I82</f>
        <v/>
      </c>
      <c r="J83" s="589">
        <f>I83*index/VLOOKUP($H83,CPI!A:E,4,FALSE)</f>
        <v/>
      </c>
      <c r="K83" s="589">
        <f>IF(L83="Linear",(J83-J82)/(G83-G82),0)</f>
        <v/>
      </c>
      <c r="L83" s="311" t="inlineStr">
        <is>
          <t>Flat</t>
        </is>
      </c>
      <c r="M83" s="137" t="n"/>
      <c r="N83" s="310">
        <f>N82+1</f>
        <v/>
      </c>
      <c r="O83" s="31">
        <f>O82+N83-N82</f>
        <v/>
      </c>
      <c r="P83" s="313">
        <f>P82</f>
        <v/>
      </c>
      <c r="Q83" s="281">
        <f>Q82</f>
        <v/>
      </c>
      <c r="R83" s="589">
        <f>Q83*index/VLOOKUP($P83,CPI!A:E,4,FALSE)</f>
        <v/>
      </c>
      <c r="S83" s="589">
        <f>IF(T83="Linear",(R83-R82)/(O83-O82),0)</f>
        <v/>
      </c>
      <c r="T83" s="311" t="inlineStr">
        <is>
          <t>Flat</t>
        </is>
      </c>
      <c r="U83" s="144" t="n"/>
      <c r="V83" s="6">
        <f>IF(AND($V82=DoA,MONTH(V82)&lt;3),DATE(YEAR(DoA),3,1),IF(AND(IFERROR(DATEDIF(V82,DoC,"M"),12)&lt;12,IFERROR(DATEDIF(V82,DoC,"M"),12)&gt;0),DoC,DATE(YEAR(V82)+(1-AND(YEAR(DoC)=Current,V82=DoC)-AND(V82=DoA,MONTH(V82)&lt;3)),3,1)))</f>
        <v/>
      </c>
      <c r="W83" s="31">
        <f>IF(V83=DoR_Pre,IF(MONTH(DoR_Pre)&gt;3,YEAR(DoR_Pre)+1,YEAR(DoR_Pre)),IF(MONTH(V83)&gt;3,Current,YEAR(V83)))</f>
        <v/>
      </c>
      <c r="X83" s="597">
        <f>IF(W83=Current,ROUND((V83-V82)/365.25,5),_xlfn.IFNA(INDEX(Summary!$A$5:$A$22,MATCH('LOE Sc1'!W83,Summary!$C$5:$C$22,0)),IF(W83=Ret_Yr_pre,ROUND((DoR_Pre-V82)/365.25,5),ROUND((V83-V82)/365.25,2))))</f>
        <v/>
      </c>
      <c r="Y83" s="55">
        <f>IF(AND(V83=DoC,MONTH(DoC)&lt;&gt;3),ROUNDDOWN(DATEDIF(DoB,V84,"M")/12,),ROUNDDOWN(DATEDIF(DoB,V83,"M")/12,))</f>
        <v/>
      </c>
      <c r="Z83" s="590" t="n"/>
      <c r="AA83" s="25">
        <f>MAX(RetAge_Pre-Y83,0)</f>
        <v/>
      </c>
      <c r="AB83" s="26">
        <f t="array" ref="AB83">IF(W83&gt;Ret_Yr_pre,0,_xlfn.IFNA(VLOOKUP(Y83,F$11:J$1000,5,),IF(AND(W83=Current,V83&gt;DoC,MONTH(DoC)&lt;&gt;3),AB82,AB82+INDEX(K$11:K$1000,MATCH(Y83,F$11:F$1000,1)+1))))</f>
        <v/>
      </c>
      <c r="AC83" s="590">
        <f>IF(V83&lt;DoC,AB83*VLOOKUP(YEAR(V83),CPI!A:E,4,FALSE)/index,AB83*real_i^INT(BP83))</f>
        <v/>
      </c>
      <c r="AD83" s="590">
        <f>$AC83/12*Bonus</f>
        <v/>
      </c>
      <c r="AE83" s="590">
        <f>IF($E83="FL",MedSub*m^INT(BP83),MedSub)*IF(Summary!$C$31="Y",1,0)*(W83&lt;=Ret_Yr_pre)*(Summary!C$31="Y")</f>
        <v/>
      </c>
      <c r="AF83" s="590">
        <f>IF(Summary!$C$30="Y",IF(E83&lt;&gt;"PL",VLOOKUP(Current,'Housing Allowance'!$A:$B,2,),VLOOKUP(YEAR($V83),'Housing Allowance'!$A:$B,2,)),0)*(W83&lt;=Ret_Yr_pre)</f>
        <v/>
      </c>
      <c r="AG83" s="590">
        <f>AC83*overtime</f>
        <v/>
      </c>
      <c r="AH83" s="590">
        <f>AC83*allow_1</f>
        <v/>
      </c>
      <c r="AI83" s="590">
        <f>(AB83&lt;&gt;0)*12*allow_2</f>
        <v/>
      </c>
      <c r="AJ83" s="590" t="n"/>
      <c r="AK83" s="581">
        <f>IF(YEAR(W83)&lt;=Ret_Yr_pre,SUM(AC83:AJ83),0)*IF($W83=Ret_Yr_pre,X83,1)</f>
        <v/>
      </c>
      <c r="AL83" s="581">
        <f>IF($W83&gt;=Ret_Yr_pre,pens_Pre*(GEPF_pre="Y"),0)*IF($W83=Ret_Yr_pre,1-$X83,1)*IF(Ret_Yr_pre&lt;Current,(_xlfn.IFNA(VLOOKUP($D83,CPI!$A:$E,2,FALSE),VLOOKUP(Current,CPI!$A:$E,2,FALSE))/VLOOKUP(Ret_Yr_pre,CPI!$A:$E,2,FALSE)),1)</f>
        <v/>
      </c>
      <c r="AM83" s="590">
        <f>$AC83*ee*IF($W83=Ret_Yr_pre,$X83,1)</f>
        <v/>
      </c>
      <c r="AN83" s="590">
        <f>$AC83*er*IF($W83=Ret_Yr_pre,$X83,1)</f>
        <v/>
      </c>
      <c r="AO83" s="590">
        <f>IF('LOE Sc1'!$W83=Ret_Yr_pre,Gratuity_Pre*(GEPF_pre="Y"),0)</f>
        <v/>
      </c>
      <c r="AP83" s="581">
        <f>AK83+AL83-$AM83-AN83*(GEPF_pre="Y")</f>
        <v/>
      </c>
      <c r="AQ83" s="590">
        <f>IF(DF83&lt;0,0,DF83)</f>
        <v/>
      </c>
      <c r="AR83" s="581">
        <f>(AP83-AQ83+AM83*(AM$7="Y")+AN83*(AN$7="Y"))*IF(W83&lt;Ret_Yr_pre,X83,1)+AO83</f>
        <v/>
      </c>
      <c r="AS83" s="595" t="n"/>
      <c r="AT83" s="6">
        <f>V83</f>
        <v/>
      </c>
      <c r="AU83" s="31">
        <f>W83</f>
        <v/>
      </c>
      <c r="AV83" s="598">
        <f>IF(AU83=Current,ROUND((AT83-AT82)/365.25,5),_xlfn.IFNA(INDEX(Summary!$A$55:$A$72,MATCH('LOE Sc1'!AU83,Summary!$C$55:$C$72,0)),IF(AU83=Ret_Yr_post,ROUND((DoR_Post-AT82)/365.25,5),ROUND((AT83-AT82)/365.25,2))))</f>
        <v/>
      </c>
      <c r="AW83" s="55">
        <f>Y83</f>
        <v/>
      </c>
      <c r="AX83" s="26">
        <f t="array" ref="AX83">IF(AU83&gt;Ret_Yr_post,0,_xlfn.IFNA(VLOOKUP(AW83,N$11:S$1000,5,),IF(AND(AU83=Current,AT83&gt;DoC,MONTH(DoC)&lt;&gt;3),AX82,AX82+INDEX(S$11:S$1000,MATCH(AW83,N$11:N$1000,1)+1))))</f>
        <v/>
      </c>
      <c r="AY83" s="590">
        <f>IF($V83&lt;DoC,AX83*VLOOKUP(YEAR($V83),CPI_Table,4,FALSE)/index,AX83*real_i^INT(BP83))</f>
        <v/>
      </c>
      <c r="AZ83" s="590">
        <f>$AY83/12*Bonus_Post*($AW83&lt;=RetAge_Post)</f>
        <v/>
      </c>
      <c r="BA83" s="590">
        <f>IF($E83="FL",MedSub*m^INT(BP83),MedSub)*IF(Summary!$C$81="Y",1,0)*($AU83&lt;=Ret_Yr_post)*(Summary!$C$81="Y")</f>
        <v/>
      </c>
      <c r="BB83" s="590">
        <f>IF(Summary!$C$80="Y",IF($E83&lt;&gt;"PL",VLOOKUP(Current,'Housing Allowance'!$A:$B,2,),VLOOKUP(YEAR($AT83),'Housing Allowance'!$A:$B,2,)),0)*($AU83&lt;=Ret_Yr_post)</f>
        <v/>
      </c>
      <c r="BC83" s="590">
        <f>AY83*overtime_post</f>
        <v/>
      </c>
      <c r="BD83" s="590">
        <f>$AY83*allow_1_post</f>
        <v/>
      </c>
      <c r="BE83" s="590">
        <f>($AY83&lt;&gt;0)*allow_2_post*12</f>
        <v/>
      </c>
      <c r="BF83" s="590" t="n"/>
      <c r="BG83" s="581">
        <f>IF(YEAR($V83)&lt;=Ret_Yr_post,SUM(AY83:BF83),0)*IF($W83=Ret_Yr_post,AV83,1)</f>
        <v/>
      </c>
      <c r="BH83" s="581">
        <f>IF($W83&gt;=Ret_Yr_post,pens_Post*(GEPF_pre="Y"),0)*IF($W83=Ret_Yr_post,1-$AV83,1)*IF(Ret_Yr_post&lt;Current,(_xlfn.IFNA(VLOOKUP($D83,CPI!$A:$E,2,FALSE),VLOOKUP(Current,CPI!$A:$E,2,FALSE))/VLOOKUP(Ret_Yr_post,CPI!$A:$E,2,FALSE)),1)</f>
        <v/>
      </c>
      <c r="BI83" s="590">
        <f>$AY83*ee_post*IF($W83=Ret_Yr_post,$AV83,1)</f>
        <v/>
      </c>
      <c r="BJ83" s="590">
        <f>$AY83*er_post*IF($W83=Ret_Yr_post,$AV83,1)</f>
        <v/>
      </c>
      <c r="BK83" s="590">
        <f>IF('LOE Sc1'!$W83=Ret_Yr_post,Gratuity_Post*(GEPF_post="Y"),0)</f>
        <v/>
      </c>
      <c r="BL83" s="581">
        <f>BG83+BH83-BI83-BJ83*(GEPF_post="Y")</f>
        <v/>
      </c>
      <c r="BM83" s="590">
        <f>IF(DM83&lt;0,0,DM83)</f>
        <v/>
      </c>
      <c r="BN83" s="581">
        <f>(BL83-BM83+BI83*(BI$7="Y")+BJ83*(BJ$7="Y"))*IF($W83&lt;Ret_Yr_post,AV83,1)+BK83</f>
        <v/>
      </c>
      <c r="BO83" s="591" t="n"/>
      <c r="BP83" s="592">
        <f>IF($E83="FL",IF($X83&lt;=DoC,DATEDIF(DoC,$V83,"M")/12,0),0)</f>
        <v/>
      </c>
      <c r="BQ83" s="592">
        <f>IF($E83="FL",(1+CPI)^INT(BP83),0)</f>
        <v/>
      </c>
      <c r="BR83" s="592">
        <f>IF($E83="FL",IF(($BP83-0.5)&gt;=0,1/(1+d)^($BP83-0.5),1/(1+d)^($BP83)),0)</f>
        <v/>
      </c>
      <c r="BS83" s="592" t="n"/>
      <c r="BT83" s="25">
        <f>IF(gender="M",VLOOKUP($Y83+pre_mort+IF(MONTH(DoC)&lt;MONTH(DoB),IF(MONTH(DoC)&lt;3,0,-1),IF(MONTH(DoB)&lt;3,-1,0)),'SALT LIFE TABLES'!$A$7:$E$106,2),VLOOKUP($Y83+pre_mort+IF(MONTH(DoC)&lt;MONTH(DoB),IF(MONTH(DoC)&lt;3,0,-1),IF(MONTH(DoB)&lt;3,-1,0)),'SALT LIFE TABLES'!$A$7:$E$106,4))</f>
        <v/>
      </c>
      <c r="BU83" s="592">
        <f>IF($E83="PL",1,BT83/BU$7)</f>
        <v/>
      </c>
      <c r="BV83" s="593" t="n"/>
      <c r="BW83" s="25">
        <f>IF(gender="M",VLOOKUP($Y83+post_mort+IF(MONTH(DoC)&lt;MONTH(DoB),IF(MONTH(DoC)&lt;3,0,-1),IF(MONTH(DoB)&lt;3,-1,0)),'SALT LIFE TABLES'!$A$7:$E$106,2),VLOOKUP($Y83+post_mort+IF(MONTH(DoC)&lt;MONTH(DoB),IF(MONTH(DoC)&lt;3,0,-1),IF(MONTH(DoB)&lt;3,-1,0)),'SALT LIFE TABLES'!$A$7:$E$106,4))</f>
        <v/>
      </c>
      <c r="BX83" s="592">
        <f>IF($E83="PL",1,BW83/BX$7)</f>
        <v/>
      </c>
      <c r="BY83" s="594" t="n"/>
      <c r="BZ83" s="592" t="n"/>
      <c r="CA83" s="592">
        <f>IF($E83="FL",$AR83*$BQ83*$BR83*$BU83,$AR83)</f>
        <v/>
      </c>
      <c r="CB83" s="592">
        <f>IF($E83="FL",$BN83*$BQ83*$BR83*$BX83,$BN83)</f>
        <v/>
      </c>
      <c r="CC83" s="592" t="n"/>
      <c r="CD83" s="592">
        <f>IF($E83="FL",$CA83*(1-pre_FL),$CA83*(1-pre_PL))</f>
        <v/>
      </c>
      <c r="CE83" s="592">
        <f>IF($E83="FL",$CB83*(1-post_FL),$CB83*(1-post_PL))</f>
        <v/>
      </c>
      <c r="CF83" s="592" t="n"/>
      <c r="CG83" s="599">
        <f>CD83-CE83</f>
        <v/>
      </c>
      <c r="CH83" s="599">
        <f>MIN(CG83,IF(W83=Ret_Yr_pre,1,$X83)*Cap)</f>
        <v/>
      </c>
      <c r="CI83" s="128" t="n"/>
      <c r="CJ83" s="37">
        <f>IF(D83&gt;Current,Current,D83)</f>
        <v/>
      </c>
      <c r="CK83" s="37">
        <f>MATCH($CJ83,Tax_Tables[Tax Year],0)</f>
        <v/>
      </c>
      <c r="CL83" s="600" t="n">
        <v>0</v>
      </c>
      <c r="CM83" s="600">
        <f t="array" ref="CM83">INDEX(Tax_Tables[[Limits]:[Limits]],$CK83+CM$8)</f>
        <v/>
      </c>
      <c r="CN83" s="600">
        <f t="array" ref="CN83">INDEX(Tax_Tables[[Limits]:[Limits]],$CK83+CN$8)</f>
        <v/>
      </c>
      <c r="CO83" s="600">
        <f t="array" ref="CO83">INDEX(Tax_Tables[[Limits]:[Limits]],$CK83+CO$8)</f>
        <v/>
      </c>
      <c r="CP83" s="600">
        <f t="array" ref="CP83">INDEX(Tax_Tables[[Limits]:[Limits]],$CK83+CP$8)</f>
        <v/>
      </c>
      <c r="CQ83" s="600">
        <f t="array" ref="CQ83">INDEX(Tax_Tables[[Limits]:[Limits]],$CK83+CQ$8)</f>
        <v/>
      </c>
      <c r="CR83" s="600">
        <f t="array" ref="CR83">INDEX(Tax_Tables[[Limits]:[Limits]],$CK83+CR$8)</f>
        <v/>
      </c>
      <c r="CS83" s="37">
        <f>INDEX(Rebate[&lt;65],MATCH($CJ83,Rebate[[Tax Year]:[Tax Year]],0))</f>
        <v/>
      </c>
      <c r="CT83" s="37">
        <f>INDEX(Rebate[&lt;75],MATCH($CJ83,Rebate[[Tax Year]:[Tax Year]],0))</f>
        <v/>
      </c>
      <c r="CU83" s="37">
        <f>INDEX(Rebate[&gt;75],MATCH($CJ83,Rebate[[Tax Year]:[Tax Year]],0))</f>
        <v/>
      </c>
      <c r="CV83" s="37">
        <f>INDEX(Tax_Credit[Principal],MATCH($CJ83,Tax_Credit[[Tax Year]:[Tax Year]],0))</f>
        <v/>
      </c>
      <c r="CW83" s="37">
        <f>INDEX(Tax_Credit[First Dependant],MATCH($CJ83,Tax_Credit[[Tax Year]:[Tax Year]],0))</f>
        <v/>
      </c>
      <c r="CX83" s="37">
        <f>INDEX(Tax_Credit[Each Additional],MATCH($CJ83,Tax_Credit[[Tax Year]:[Tax Year]],0))</f>
        <v/>
      </c>
      <c r="CY83" s="484">
        <f>Y83</f>
        <v/>
      </c>
      <c r="CZ83" s="601">
        <f>AP83</f>
        <v/>
      </c>
      <c r="DA83" s="37">
        <f t="array" ref="DA83">INDEX($CL83:$CR83,0,MATCH($CZ83,$CL83:$CR83,1))</f>
        <v/>
      </c>
      <c r="DB83" s="37">
        <f t="array" ref="DB83">IFERROR(INDEX(Tax_Tables[Percentages],$CK83+MATCH($DA83,$CL83:$CR83,0)-1),"")</f>
        <v/>
      </c>
      <c r="DC83" s="37">
        <f t="array" ref="DC83">IFERROR(INDEX(Tax_Tables[Tax],$CK83+MATCH($DA83,$CL83:$CR83,0)-1),"")</f>
        <v/>
      </c>
      <c r="DD83" s="37">
        <f>IF(CY83&lt;65,CS83,IF(CY83&lt;75,CT83,CU83))</f>
        <v/>
      </c>
      <c r="DE83" s="37">
        <f>CV83*(Summary!$C$31="Y")+(Summary!$C$31="Y")*(CW83*(Pre_MDep&gt;=1)+CX83*MAX(Pre_MDep-1,0))</f>
        <v/>
      </c>
      <c r="DF83" s="599">
        <f>IFERROR(MAX(DB83*(CZ83-DA83)+DC83-DD83-DE83*12,0),"")</f>
        <v/>
      </c>
      <c r="DG83" s="602" t="n"/>
      <c r="DH83" s="601">
        <f>BL83</f>
        <v/>
      </c>
      <c r="DI83" s="37">
        <f t="array" ref="DI83">INDEX($CL83:$CR83,0,MATCH($DH83,$CL83:$CR83,1))</f>
        <v/>
      </c>
      <c r="DJ83" s="37">
        <f t="array" ref="DJ83">IFERROR(INDEX(Tax_Tables[Percentages],$CK83+MATCH($DI83,$CL83:$CR83,0)-1),"")</f>
        <v/>
      </c>
      <c r="DK83" s="37">
        <f t="array" ref="DK83">IFERROR(INDEX(Tax_Tables[Tax],$CK83+MATCH($DI83,$CL83:$CR83,0)-1),"")</f>
        <v/>
      </c>
      <c r="DL83" s="37">
        <f>CV83*(Summary!$C$81="Y")+(Summary!$C$81="Y")*(CW83*(Post_MDep&gt;=1)+CX83*MAX(Post_MDep-1,0))</f>
        <v/>
      </c>
      <c r="DM83" s="599">
        <f>IFERROR(MAX(DJ83*(DH83-DI83)+DK83-DD83-DL83*12,0),"")</f>
        <v/>
      </c>
      <c r="DN83" s="601" t="n"/>
      <c r="DO83" s="37" t="n"/>
      <c r="DP83" s="37" t="n"/>
      <c r="DQ83" s="37" t="n"/>
      <c r="DR83" s="37" t="n"/>
      <c r="DS83" s="37" t="n"/>
      <c r="DT83" s="37" t="n"/>
      <c r="DU83" s="37" t="n"/>
      <c r="DV83" s="37" t="n"/>
      <c r="DW83" s="37" t="n"/>
      <c r="DX83" s="599" t="n"/>
      <c r="DY83" s="131" t="n"/>
      <c r="DZ83" s="601" t="n"/>
      <c r="EA83" s="37" t="n"/>
      <c r="EB83" s="37" t="n"/>
      <c r="EC83" s="37" t="n"/>
      <c r="ED83" s="599" t="n"/>
      <c r="EE83" s="595" t="n"/>
      <c r="EF83" s="25" t="n"/>
    </row>
    <row r="84">
      <c r="C84" s="596">
        <f>C83+D84-D83</f>
        <v/>
      </c>
      <c r="D84" s="160">
        <f>AU84</f>
        <v/>
      </c>
      <c r="E84" s="87">
        <f>IF(DoC=V84,"Calc Date",IF(V84&lt;DoC,"PL","FL"))</f>
        <v/>
      </c>
      <c r="F84" s="310">
        <f>F83+1</f>
        <v/>
      </c>
      <c r="G84" s="31">
        <f>VLOOKUP(F84,C$10:D$148,2)</f>
        <v/>
      </c>
      <c r="H84" s="313">
        <f>H83</f>
        <v/>
      </c>
      <c r="I84" s="281">
        <f>I83</f>
        <v/>
      </c>
      <c r="J84" s="589">
        <f>I84*index/VLOOKUP($H84,CPI!A:E,4,FALSE)</f>
        <v/>
      </c>
      <c r="K84" s="589">
        <f>IF(L84="Linear",(J84-J83)/(G84-G83),0)</f>
        <v/>
      </c>
      <c r="L84" s="311" t="inlineStr">
        <is>
          <t>Flat</t>
        </is>
      </c>
      <c r="M84" s="137" t="n"/>
      <c r="N84" s="310">
        <f>N83+1</f>
        <v/>
      </c>
      <c r="O84" s="31">
        <f>O83+N84-N83</f>
        <v/>
      </c>
      <c r="P84" s="313">
        <f>P83</f>
        <v/>
      </c>
      <c r="Q84" s="281">
        <f>Q83</f>
        <v/>
      </c>
      <c r="R84" s="589">
        <f>Q84*index/VLOOKUP($P84,CPI!A:E,4,FALSE)</f>
        <v/>
      </c>
      <c r="S84" s="589">
        <f>IF(T84="Linear",(R84-R83)/(O84-O83),0)</f>
        <v/>
      </c>
      <c r="T84" s="311" t="inlineStr">
        <is>
          <t>Flat</t>
        </is>
      </c>
      <c r="U84" s="144" t="n"/>
      <c r="V84" s="6">
        <f>IF(AND($V83=DoA,MONTH(V83)&lt;3),DATE(YEAR(DoA),3,1),IF(AND(IFERROR(DATEDIF(V83,DoC,"M"),12)&lt;12,IFERROR(DATEDIF(V83,DoC,"M"),12)&gt;0),DoC,DATE(YEAR(V83)+(1-AND(YEAR(DoC)=Current,V83=DoC)-AND(V83=DoA,MONTH(V83)&lt;3)),3,1)))</f>
        <v/>
      </c>
      <c r="W84" s="31">
        <f>IF(V84=DoR_Pre,IF(MONTH(DoR_Pre)&gt;3,YEAR(DoR_Pre)+1,YEAR(DoR_Pre)),IF(MONTH(V84)&gt;3,Current,YEAR(V84)))</f>
        <v/>
      </c>
      <c r="X84" s="597">
        <f>IF(W84=Current,ROUND((V84-V83)/365.25,5),_xlfn.IFNA(INDEX(Summary!$A$5:$A$22,MATCH('LOE Sc1'!W84,Summary!$C$5:$C$22,0)),IF(W84=Ret_Yr_pre,ROUND((DoR_Pre-V83)/365.25,5),ROUND((V84-V83)/365.25,2))))</f>
        <v/>
      </c>
      <c r="Y84" s="55">
        <f>IF(AND(V84=DoC,MONTH(DoC)&lt;&gt;3),ROUNDDOWN(DATEDIF(DoB,V85,"M")/12,),ROUNDDOWN(DATEDIF(DoB,V84,"M")/12,))</f>
        <v/>
      </c>
      <c r="Z84" s="590" t="n"/>
      <c r="AA84" s="25">
        <f>MAX(RetAge_Pre-Y84,0)</f>
        <v/>
      </c>
      <c r="AB84" s="26">
        <f t="array" ref="AB84">IF(W84&gt;Ret_Yr_pre,0,_xlfn.IFNA(VLOOKUP(Y84,F$11:J$1000,5,),IF(AND(W84=Current,V84&gt;DoC,MONTH(DoC)&lt;&gt;3),AB83,AB83+INDEX(K$11:K$1000,MATCH(Y84,F$11:F$1000,1)+1))))</f>
        <v/>
      </c>
      <c r="AC84" s="590">
        <f>IF(V84&lt;DoC,AB84*VLOOKUP(YEAR(V84),CPI!A:E,4,FALSE)/index,AB84*real_i^INT(BP84))</f>
        <v/>
      </c>
      <c r="AD84" s="590">
        <f>$AC84/12*Bonus</f>
        <v/>
      </c>
      <c r="AE84" s="590">
        <f>IF($E84="FL",MedSub*m^INT(BP84),MedSub)*IF(Summary!$C$31="Y",1,0)*(W84&lt;=Ret_Yr_pre)*(Summary!C$31="Y")</f>
        <v/>
      </c>
      <c r="AF84" s="590">
        <f>IF(Summary!$C$30="Y",IF(E84&lt;&gt;"PL",VLOOKUP(Current,'Housing Allowance'!$A:$B,2,),VLOOKUP(YEAR($V84),'Housing Allowance'!$A:$B,2,)),0)*(W84&lt;=Ret_Yr_pre)</f>
        <v/>
      </c>
      <c r="AG84" s="590">
        <f>AC84*overtime</f>
        <v/>
      </c>
      <c r="AH84" s="590">
        <f>AC84*allow_1</f>
        <v/>
      </c>
      <c r="AI84" s="590">
        <f>(AB84&lt;&gt;0)*12*allow_2</f>
        <v/>
      </c>
      <c r="AJ84" s="590" t="n"/>
      <c r="AK84" s="581">
        <f>IF(YEAR(W84)&lt;=Ret_Yr_pre,SUM(AC84:AJ84),0)*IF($W84=Ret_Yr_pre,X84,1)</f>
        <v/>
      </c>
      <c r="AL84" s="581">
        <f>IF($W84&gt;=Ret_Yr_pre,pens_Pre*(GEPF_pre="Y"),0)*IF($W84=Ret_Yr_pre,1-$X84,1)*IF(Ret_Yr_pre&lt;Current,(_xlfn.IFNA(VLOOKUP($D84,CPI!$A:$E,2,FALSE),VLOOKUP(Current,CPI!$A:$E,2,FALSE))/VLOOKUP(Ret_Yr_pre,CPI!$A:$E,2,FALSE)),1)</f>
        <v/>
      </c>
      <c r="AM84" s="590">
        <f>$AC84*ee*IF($W84=Ret_Yr_pre,$X84,1)</f>
        <v/>
      </c>
      <c r="AN84" s="590">
        <f>$AC84*er*IF($W84=Ret_Yr_pre,$X84,1)</f>
        <v/>
      </c>
      <c r="AO84" s="590">
        <f>IF('LOE Sc1'!$W84=Ret_Yr_pre,Gratuity_Pre*(GEPF_pre="Y"),0)</f>
        <v/>
      </c>
      <c r="AP84" s="581">
        <f>AK84+AL84-$AM84-AN84*(GEPF_pre="Y")</f>
        <v/>
      </c>
      <c r="AQ84" s="590">
        <f>IF(DF84&lt;0,0,DF84)</f>
        <v/>
      </c>
      <c r="AR84" s="581">
        <f>(AP84-AQ84+AM84*(AM$7="Y")+AN84*(AN$7="Y"))*IF(W84&lt;Ret_Yr_pre,X84,1)+AO84</f>
        <v/>
      </c>
      <c r="AS84" s="595" t="n"/>
      <c r="AT84" s="6">
        <f>V84</f>
        <v/>
      </c>
      <c r="AU84" s="31">
        <f>W84</f>
        <v/>
      </c>
      <c r="AV84" s="598">
        <f>IF(AU84=Current,ROUND((AT84-AT83)/365.25,5),_xlfn.IFNA(INDEX(Summary!$A$55:$A$72,MATCH('LOE Sc1'!AU84,Summary!$C$55:$C$72,0)),IF(AU84=Ret_Yr_post,ROUND((DoR_Post-AT83)/365.25,5),ROUND((AT84-AT83)/365.25,2))))</f>
        <v/>
      </c>
      <c r="AW84" s="55">
        <f>Y84</f>
        <v/>
      </c>
      <c r="AX84" s="26">
        <f t="array" ref="AX84">IF(AU84&gt;Ret_Yr_post,0,_xlfn.IFNA(VLOOKUP(AW84,N$11:S$1000,5,),IF(AND(AU84=Current,AT84&gt;DoC,MONTH(DoC)&lt;&gt;3),AX83,AX83+INDEX(S$11:S$1000,MATCH(AW84,N$11:N$1000,1)+1))))</f>
        <v/>
      </c>
      <c r="AY84" s="590">
        <f>IF($V84&lt;DoC,AX84*VLOOKUP(YEAR($V84),CPI_Table,4,FALSE)/index,AX84*real_i^INT(BP84))</f>
        <v/>
      </c>
      <c r="AZ84" s="590">
        <f>$AY84/12*Bonus_Post*($AW84&lt;=RetAge_Post)</f>
        <v/>
      </c>
      <c r="BA84" s="590">
        <f>IF($E84="FL",MedSub*m^INT(BP84),MedSub)*IF(Summary!$C$81="Y",1,0)*($AU84&lt;=Ret_Yr_post)*(Summary!$C$81="Y")</f>
        <v/>
      </c>
      <c r="BB84" s="590">
        <f>IF(Summary!$C$80="Y",IF($E84&lt;&gt;"PL",VLOOKUP(Current,'Housing Allowance'!$A:$B,2,),VLOOKUP(YEAR($AT84),'Housing Allowance'!$A:$B,2,)),0)*($AU84&lt;=Ret_Yr_post)</f>
        <v/>
      </c>
      <c r="BC84" s="590">
        <f>AY84*overtime_post</f>
        <v/>
      </c>
      <c r="BD84" s="590">
        <f>$AY84*allow_1_post</f>
        <v/>
      </c>
      <c r="BE84" s="590">
        <f>($AY84&lt;&gt;0)*allow_2_post*12</f>
        <v/>
      </c>
      <c r="BF84" s="590" t="n"/>
      <c r="BG84" s="581">
        <f>IF(YEAR($V84)&lt;=Ret_Yr_post,SUM(AY84:BF84),0)*IF($W84=Ret_Yr_post,AV84,1)</f>
        <v/>
      </c>
      <c r="BH84" s="581">
        <f>IF($W84&gt;=Ret_Yr_post,pens_Post*(GEPF_pre="Y"),0)*IF($W84=Ret_Yr_post,1-$AV84,1)*IF(Ret_Yr_post&lt;Current,(_xlfn.IFNA(VLOOKUP($D84,CPI!$A:$E,2,FALSE),VLOOKUP(Current,CPI!$A:$E,2,FALSE))/VLOOKUP(Ret_Yr_post,CPI!$A:$E,2,FALSE)),1)</f>
        <v/>
      </c>
      <c r="BI84" s="590">
        <f>$AY84*ee_post*IF($W84=Ret_Yr_post,$AV84,1)</f>
        <v/>
      </c>
      <c r="BJ84" s="590">
        <f>$AY84*er_post*IF($W84=Ret_Yr_post,$AV84,1)</f>
        <v/>
      </c>
      <c r="BK84" s="590">
        <f>IF('LOE Sc1'!$W84=Ret_Yr_post,Gratuity_Post*(GEPF_post="Y"),0)</f>
        <v/>
      </c>
      <c r="BL84" s="581">
        <f>BG84+BH84-BI84-BJ84*(GEPF_post="Y")</f>
        <v/>
      </c>
      <c r="BM84" s="590">
        <f>IF(DM84&lt;0,0,DM84)</f>
        <v/>
      </c>
      <c r="BN84" s="581">
        <f>(BL84-BM84+BI84*(BI$7="Y")+BJ84*(BJ$7="Y"))*IF($W84&lt;Ret_Yr_post,AV84,1)+BK84</f>
        <v/>
      </c>
      <c r="BO84" s="591" t="n"/>
      <c r="BP84" s="592">
        <f>IF($E84="FL",IF($X84&lt;=DoC,DATEDIF(DoC,$V84,"M")/12,0),0)</f>
        <v/>
      </c>
      <c r="BQ84" s="592">
        <f>IF($E84="FL",(1+CPI)^INT(BP84),0)</f>
        <v/>
      </c>
      <c r="BR84" s="592">
        <f>IF($E84="FL",IF(($BP84-0.5)&gt;=0,1/(1+d)^($BP84-0.5),1/(1+d)^($BP84)),0)</f>
        <v/>
      </c>
      <c r="BS84" s="592" t="n"/>
      <c r="BT84" s="25">
        <f>IF(gender="M",VLOOKUP($Y84+pre_mort+IF(MONTH(DoC)&lt;MONTH(DoB),IF(MONTH(DoC)&lt;3,0,-1),IF(MONTH(DoB)&lt;3,-1,0)),'SALT LIFE TABLES'!$A$7:$E$106,2),VLOOKUP($Y84+pre_mort+IF(MONTH(DoC)&lt;MONTH(DoB),IF(MONTH(DoC)&lt;3,0,-1),IF(MONTH(DoB)&lt;3,-1,0)),'SALT LIFE TABLES'!$A$7:$E$106,4))</f>
        <v/>
      </c>
      <c r="BU84" s="592">
        <f>IF($E84="PL",1,BT84/BU$7)</f>
        <v/>
      </c>
      <c r="BV84" s="593" t="n"/>
      <c r="BW84" s="25">
        <f>IF(gender="M",VLOOKUP($Y84+post_mort+IF(MONTH(DoC)&lt;MONTH(DoB),IF(MONTH(DoC)&lt;3,0,-1),IF(MONTH(DoB)&lt;3,-1,0)),'SALT LIFE TABLES'!$A$7:$E$106,2),VLOOKUP($Y84+post_mort+IF(MONTH(DoC)&lt;MONTH(DoB),IF(MONTH(DoC)&lt;3,0,-1),IF(MONTH(DoB)&lt;3,-1,0)),'SALT LIFE TABLES'!$A$7:$E$106,4))</f>
        <v/>
      </c>
      <c r="BX84" s="592">
        <f>IF($E84="PL",1,BW84/BX$7)</f>
        <v/>
      </c>
      <c r="BY84" s="594" t="n"/>
      <c r="BZ84" s="592" t="n"/>
      <c r="CA84" s="592">
        <f>IF($E84="FL",$AR84*$BQ84*$BR84*$BU84,$AR84)</f>
        <v/>
      </c>
      <c r="CB84" s="592">
        <f>IF($E84="FL",$BN84*$BQ84*$BR84*$BX84,$BN84)</f>
        <v/>
      </c>
      <c r="CC84" s="592" t="n"/>
      <c r="CD84" s="592">
        <f>IF($E84="FL",$CA84*(1-pre_FL),$CA84*(1-pre_PL))</f>
        <v/>
      </c>
      <c r="CE84" s="592">
        <f>IF($E84="FL",$CB84*(1-post_FL),$CB84*(1-post_PL))</f>
        <v/>
      </c>
      <c r="CF84" s="592" t="n"/>
      <c r="CG84" s="599">
        <f>CD84-CE84</f>
        <v/>
      </c>
      <c r="CH84" s="599">
        <f>MIN(CG84,IF(W84=Ret_Yr_pre,1,$X84)*Cap)</f>
        <v/>
      </c>
      <c r="CI84" s="128" t="n"/>
      <c r="CJ84" s="37">
        <f>IF(D84&gt;Current,Current,D84)</f>
        <v/>
      </c>
      <c r="CK84" s="37">
        <f>MATCH($CJ84,Tax_Tables[Tax Year],0)</f>
        <v/>
      </c>
      <c r="CL84" s="600" t="n">
        <v>0</v>
      </c>
      <c r="CM84" s="600">
        <f t="array" ref="CM84">INDEX(Tax_Tables[[Limits]:[Limits]],$CK84+CM$8)</f>
        <v/>
      </c>
      <c r="CN84" s="600">
        <f t="array" ref="CN84">INDEX(Tax_Tables[[Limits]:[Limits]],$CK84+CN$8)</f>
        <v/>
      </c>
      <c r="CO84" s="600">
        <f t="array" ref="CO84">INDEX(Tax_Tables[[Limits]:[Limits]],$CK84+CO$8)</f>
        <v/>
      </c>
      <c r="CP84" s="600">
        <f t="array" ref="CP84">INDEX(Tax_Tables[[Limits]:[Limits]],$CK84+CP$8)</f>
        <v/>
      </c>
      <c r="CQ84" s="600">
        <f t="array" ref="CQ84">INDEX(Tax_Tables[[Limits]:[Limits]],$CK84+CQ$8)</f>
        <v/>
      </c>
      <c r="CR84" s="600">
        <f t="array" ref="CR84">INDEX(Tax_Tables[[Limits]:[Limits]],$CK84+CR$8)</f>
        <v/>
      </c>
      <c r="CS84" s="37">
        <f>INDEX(Rebate[&lt;65],MATCH($CJ84,Rebate[[Tax Year]:[Tax Year]],0))</f>
        <v/>
      </c>
      <c r="CT84" s="37">
        <f>INDEX(Rebate[&lt;75],MATCH($CJ84,Rebate[[Tax Year]:[Tax Year]],0))</f>
        <v/>
      </c>
      <c r="CU84" s="37">
        <f>INDEX(Rebate[&gt;75],MATCH($CJ84,Rebate[[Tax Year]:[Tax Year]],0))</f>
        <v/>
      </c>
      <c r="CV84" s="37">
        <f>INDEX(Tax_Credit[Principal],MATCH($CJ84,Tax_Credit[[Tax Year]:[Tax Year]],0))</f>
        <v/>
      </c>
      <c r="CW84" s="37">
        <f>INDEX(Tax_Credit[First Dependant],MATCH($CJ84,Tax_Credit[[Tax Year]:[Tax Year]],0))</f>
        <v/>
      </c>
      <c r="CX84" s="37">
        <f>INDEX(Tax_Credit[Each Additional],MATCH($CJ84,Tax_Credit[[Tax Year]:[Tax Year]],0))</f>
        <v/>
      </c>
      <c r="CY84" s="484">
        <f>Y84</f>
        <v/>
      </c>
      <c r="CZ84" s="601">
        <f>AP84</f>
        <v/>
      </c>
      <c r="DA84" s="37">
        <f t="array" ref="DA84">INDEX($CL84:$CR84,0,MATCH($CZ84,$CL84:$CR84,1))</f>
        <v/>
      </c>
      <c r="DB84" s="37">
        <f t="array" ref="DB84">IFERROR(INDEX(Tax_Tables[Percentages],$CK84+MATCH($DA84,$CL84:$CR84,0)-1),"")</f>
        <v/>
      </c>
      <c r="DC84" s="37">
        <f t="array" ref="DC84">IFERROR(INDEX(Tax_Tables[Tax],$CK84+MATCH($DA84,$CL84:$CR84,0)-1),"")</f>
        <v/>
      </c>
      <c r="DD84" s="37">
        <f>IF(CY84&lt;65,CS84,IF(CY84&lt;75,CT84,CU84))</f>
        <v/>
      </c>
      <c r="DE84" s="37">
        <f>CV84*(Summary!$C$31="Y")+(Summary!$C$31="Y")*(CW84*(Pre_MDep&gt;=1)+CX84*MAX(Pre_MDep-1,0))</f>
        <v/>
      </c>
      <c r="DF84" s="599">
        <f>IFERROR(MAX(DB84*(CZ84-DA84)+DC84-DD84-DE84*12,0),"")</f>
        <v/>
      </c>
      <c r="DG84" s="602" t="n"/>
      <c r="DH84" s="601">
        <f>BL84</f>
        <v/>
      </c>
      <c r="DI84" s="37">
        <f t="array" ref="DI84">INDEX($CL84:$CR84,0,MATCH($DH84,$CL84:$CR84,1))</f>
        <v/>
      </c>
      <c r="DJ84" s="37">
        <f t="array" ref="DJ84">IFERROR(INDEX(Tax_Tables[Percentages],$CK84+MATCH($DI84,$CL84:$CR84,0)-1),"")</f>
        <v/>
      </c>
      <c r="DK84" s="37">
        <f t="array" ref="DK84">IFERROR(INDEX(Tax_Tables[Tax],$CK84+MATCH($DI84,$CL84:$CR84,0)-1),"")</f>
        <v/>
      </c>
      <c r="DL84" s="37">
        <f>CV84*(Summary!$C$81="Y")+(Summary!$C$81="Y")*(CW84*(Post_MDep&gt;=1)+CX84*MAX(Post_MDep-1,0))</f>
        <v/>
      </c>
      <c r="DM84" s="599">
        <f>IFERROR(MAX(DJ84*(DH84-DI84)+DK84-DD84-DL84*12,0),"")</f>
        <v/>
      </c>
      <c r="DN84" s="601" t="n"/>
      <c r="DO84" s="37" t="n"/>
      <c r="DP84" s="37" t="n"/>
      <c r="DQ84" s="37" t="n"/>
      <c r="DR84" s="37" t="n"/>
      <c r="DS84" s="37" t="n"/>
      <c r="DT84" s="37" t="n"/>
      <c r="DU84" s="37" t="n"/>
      <c r="DV84" s="37" t="n"/>
      <c r="DW84" s="37" t="n"/>
      <c r="DX84" s="599" t="n"/>
      <c r="DY84" s="131" t="n"/>
      <c r="DZ84" s="601" t="n"/>
      <c r="EA84" s="37" t="n"/>
      <c r="EB84" s="37" t="n"/>
      <c r="EC84" s="37" t="n"/>
      <c r="ED84" s="599" t="n"/>
      <c r="EE84" s="595" t="n"/>
      <c r="EF84" s="25" t="n"/>
    </row>
    <row r="85">
      <c r="C85" s="596">
        <f>C84+D85-D84</f>
        <v/>
      </c>
      <c r="D85" s="160">
        <f>AU85</f>
        <v/>
      </c>
      <c r="E85" s="87">
        <f>IF(DoC=V85,"Calc Date",IF(V85&lt;DoC,"PL","FL"))</f>
        <v/>
      </c>
      <c r="F85" s="310">
        <f>F84+1</f>
        <v/>
      </c>
      <c r="G85" s="31">
        <f>VLOOKUP(F85,C$10:D$148,2)</f>
        <v/>
      </c>
      <c r="H85" s="313">
        <f>H84</f>
        <v/>
      </c>
      <c r="I85" s="281">
        <f>I84</f>
        <v/>
      </c>
      <c r="J85" s="589">
        <f>I85*index/VLOOKUP($H85,CPI!A:E,4,FALSE)</f>
        <v/>
      </c>
      <c r="K85" s="589">
        <f>IF(L85="Linear",(J85-J84)/(G85-G84),0)</f>
        <v/>
      </c>
      <c r="L85" s="311" t="inlineStr">
        <is>
          <t>Flat</t>
        </is>
      </c>
      <c r="M85" s="137" t="n"/>
      <c r="N85" s="310">
        <f>N84+1</f>
        <v/>
      </c>
      <c r="O85" s="31">
        <f>O84+N85-N84</f>
        <v/>
      </c>
      <c r="P85" s="313">
        <f>P84</f>
        <v/>
      </c>
      <c r="Q85" s="281">
        <f>Q84</f>
        <v/>
      </c>
      <c r="R85" s="589">
        <f>Q85*index/VLOOKUP($P85,CPI!A:E,4,FALSE)</f>
        <v/>
      </c>
      <c r="S85" s="589">
        <f>IF(T85="Linear",(R85-R84)/(O85-O84),0)</f>
        <v/>
      </c>
      <c r="T85" s="311" t="inlineStr">
        <is>
          <t>Flat</t>
        </is>
      </c>
      <c r="U85" s="144" t="n"/>
      <c r="V85" s="6">
        <f>IF(AND($V84=DoA,MONTH(V84)&lt;3),DATE(YEAR(DoA),3,1),IF(AND(IFERROR(DATEDIF(V84,DoC,"M"),12)&lt;12,IFERROR(DATEDIF(V84,DoC,"M"),12)&gt;0),DoC,DATE(YEAR(V84)+(1-AND(YEAR(DoC)=Current,V84=DoC)-AND(V84=DoA,MONTH(V84)&lt;3)),3,1)))</f>
        <v/>
      </c>
      <c r="W85" s="31">
        <f>IF(V85=DoR_Pre,IF(MONTH(DoR_Pre)&gt;3,YEAR(DoR_Pre)+1,YEAR(DoR_Pre)),IF(MONTH(V85)&gt;3,Current,YEAR(V85)))</f>
        <v/>
      </c>
      <c r="X85" s="597">
        <f>IF(W85=Current,ROUND((V85-V84)/365.25,5),_xlfn.IFNA(INDEX(Summary!$A$5:$A$22,MATCH('LOE Sc1'!W85,Summary!$C$5:$C$22,0)),IF(W85=Ret_Yr_pre,ROUND((DoR_Pre-V84)/365.25,5),ROUND((V85-V84)/365.25,2))))</f>
        <v/>
      </c>
      <c r="Y85" s="55">
        <f>IF(AND(V85=DoC,MONTH(DoC)&lt;&gt;3),ROUNDDOWN(DATEDIF(DoB,V86,"M")/12,),ROUNDDOWN(DATEDIF(DoB,V85,"M")/12,))</f>
        <v/>
      </c>
      <c r="Z85" s="590" t="n"/>
      <c r="AA85" s="25">
        <f>MAX(RetAge_Pre-Y85,0)</f>
        <v/>
      </c>
      <c r="AB85" s="26">
        <f t="array" ref="AB85">IF(W85&gt;Ret_Yr_pre,0,_xlfn.IFNA(VLOOKUP(Y85,F$11:J$1000,5,),IF(AND(W85=Current,V85&gt;DoC,MONTH(DoC)&lt;&gt;3),AB84,AB84+INDEX(K$11:K$1000,MATCH(Y85,F$11:F$1000,1)+1))))</f>
        <v/>
      </c>
      <c r="AC85" s="590">
        <f>IF(V85&lt;DoC,AB85*VLOOKUP(YEAR(V85),CPI!A:E,4,FALSE)/index,AB85*real_i^INT(BP85))</f>
        <v/>
      </c>
      <c r="AD85" s="590">
        <f>$AC85/12*Bonus</f>
        <v/>
      </c>
      <c r="AE85" s="590">
        <f>IF($E85="FL",MedSub*m^INT(BP85),MedSub)*IF(Summary!$C$31="Y",1,0)*(W85&lt;=Ret_Yr_pre)*(Summary!C$31="Y")</f>
        <v/>
      </c>
      <c r="AF85" s="590">
        <f>IF(Summary!$C$30="Y",IF(E85&lt;&gt;"PL",VLOOKUP(Current,'Housing Allowance'!$A:$B,2,),VLOOKUP(YEAR($V85),'Housing Allowance'!$A:$B,2,)),0)*(W85&lt;=Ret_Yr_pre)</f>
        <v/>
      </c>
      <c r="AG85" s="590">
        <f>AC85*overtime</f>
        <v/>
      </c>
      <c r="AH85" s="590">
        <f>AC85*allow_1</f>
        <v/>
      </c>
      <c r="AI85" s="590">
        <f>(AB85&lt;&gt;0)*12*allow_2</f>
        <v/>
      </c>
      <c r="AJ85" s="590" t="n"/>
      <c r="AK85" s="581">
        <f>IF(YEAR(W85)&lt;=Ret_Yr_pre,SUM(AC85:AJ85),0)*IF($W85=Ret_Yr_pre,X85,1)</f>
        <v/>
      </c>
      <c r="AL85" s="581">
        <f>IF($W85&gt;=Ret_Yr_pre,pens_Pre*(GEPF_pre="Y"),0)*IF($W85=Ret_Yr_pre,1-$X85,1)*IF(Ret_Yr_pre&lt;Current,(_xlfn.IFNA(VLOOKUP($D85,CPI!$A:$E,2,FALSE),VLOOKUP(Current,CPI!$A:$E,2,FALSE))/VLOOKUP(Ret_Yr_pre,CPI!$A:$E,2,FALSE)),1)</f>
        <v/>
      </c>
      <c r="AM85" s="590">
        <f>$AC85*ee*IF($W85=Ret_Yr_pre,$X85,1)</f>
        <v/>
      </c>
      <c r="AN85" s="590">
        <f>$AC85*er*IF($W85=Ret_Yr_pre,$X85,1)</f>
        <v/>
      </c>
      <c r="AO85" s="590">
        <f>IF('LOE Sc1'!$W85=Ret_Yr_pre,Gratuity_Pre*(GEPF_pre="Y"),0)</f>
        <v/>
      </c>
      <c r="AP85" s="581">
        <f>AK85+AL85-$AM85-AN85*(GEPF_pre="Y")</f>
        <v/>
      </c>
      <c r="AQ85" s="590">
        <f>IF(DF85&lt;0,0,DF85)</f>
        <v/>
      </c>
      <c r="AR85" s="581">
        <f>(AP85-AQ85+AM85*(AM$7="Y")+AN85*(AN$7="Y"))*IF(W85&lt;Ret_Yr_pre,X85,1)+AO85</f>
        <v/>
      </c>
      <c r="AS85" s="595" t="n"/>
      <c r="AT85" s="6">
        <f>V85</f>
        <v/>
      </c>
      <c r="AU85" s="31">
        <f>W85</f>
        <v/>
      </c>
      <c r="AV85" s="598">
        <f>IF(AU85=Current,ROUND((AT85-AT84)/365.25,5),_xlfn.IFNA(INDEX(Summary!$A$55:$A$72,MATCH('LOE Sc1'!AU85,Summary!$C$55:$C$72,0)),IF(AU85=Ret_Yr_post,ROUND((DoR_Post-AT84)/365.25,5),ROUND((AT85-AT84)/365.25,2))))</f>
        <v/>
      </c>
      <c r="AW85" s="55">
        <f>Y85</f>
        <v/>
      </c>
      <c r="AX85" s="26">
        <f t="array" ref="AX85">IF(AU85&gt;Ret_Yr_post,0,_xlfn.IFNA(VLOOKUP(AW85,N$11:S$1000,5,),IF(AND(AU85=Current,AT85&gt;DoC,MONTH(DoC)&lt;&gt;3),AX84,AX84+INDEX(S$11:S$1000,MATCH(AW85,N$11:N$1000,1)+1))))</f>
        <v/>
      </c>
      <c r="AY85" s="590">
        <f>IF($V85&lt;DoC,AX85*VLOOKUP(YEAR($V85),CPI_Table,4,FALSE)/index,AX85*real_i^INT(BP85))</f>
        <v/>
      </c>
      <c r="AZ85" s="590">
        <f>$AY85/12*Bonus_Post*($AW85&lt;=RetAge_Post)</f>
        <v/>
      </c>
      <c r="BA85" s="590">
        <f>IF($E85="FL",MedSub*m^INT(BP85),MedSub)*IF(Summary!$C$81="Y",1,0)*($AU85&lt;=Ret_Yr_post)*(Summary!$C$81="Y")</f>
        <v/>
      </c>
      <c r="BB85" s="590">
        <f>IF(Summary!$C$80="Y",IF($E85&lt;&gt;"PL",VLOOKUP(Current,'Housing Allowance'!$A:$B,2,),VLOOKUP(YEAR($AT85),'Housing Allowance'!$A:$B,2,)),0)*($AU85&lt;=Ret_Yr_post)</f>
        <v/>
      </c>
      <c r="BC85" s="590">
        <f>AY85*overtime_post</f>
        <v/>
      </c>
      <c r="BD85" s="590">
        <f>$AY85*allow_1_post</f>
        <v/>
      </c>
      <c r="BE85" s="590">
        <f>($AY85&lt;&gt;0)*allow_2_post*12</f>
        <v/>
      </c>
      <c r="BF85" s="590" t="n"/>
      <c r="BG85" s="581">
        <f>IF(YEAR($V85)&lt;=Ret_Yr_post,SUM(AY85:BF85),0)*IF($W85=Ret_Yr_post,AV85,1)</f>
        <v/>
      </c>
      <c r="BH85" s="581">
        <f>IF($W85&gt;=Ret_Yr_post,pens_Post*(GEPF_pre="Y"),0)*IF($W85=Ret_Yr_post,1-$AV85,1)*IF(Ret_Yr_post&lt;Current,(_xlfn.IFNA(VLOOKUP($D85,CPI!$A:$E,2,FALSE),VLOOKUP(Current,CPI!$A:$E,2,FALSE))/VLOOKUP(Ret_Yr_post,CPI!$A:$E,2,FALSE)),1)</f>
        <v/>
      </c>
      <c r="BI85" s="590">
        <f>$AY85*ee_post*IF($W85=Ret_Yr_post,$AV85,1)</f>
        <v/>
      </c>
      <c r="BJ85" s="590">
        <f>$AY85*er_post*IF($W85=Ret_Yr_post,$AV85,1)</f>
        <v/>
      </c>
      <c r="BK85" s="590">
        <f>IF('LOE Sc1'!$W85=Ret_Yr_post,Gratuity_Post*(GEPF_post="Y"),0)</f>
        <v/>
      </c>
      <c r="BL85" s="581">
        <f>BG85+BH85-BI85-BJ85*(GEPF_post="Y")</f>
        <v/>
      </c>
      <c r="BM85" s="590">
        <f>IF(DM85&lt;0,0,DM85)</f>
        <v/>
      </c>
      <c r="BN85" s="581">
        <f>(BL85-BM85+BI85*(BI$7="Y")+BJ85*(BJ$7="Y"))*IF($W85&lt;Ret_Yr_post,AV85,1)+BK85</f>
        <v/>
      </c>
      <c r="BO85" s="591" t="n"/>
      <c r="BP85" s="592">
        <f>IF($E85="FL",IF($X85&lt;=DoC,DATEDIF(DoC,$V85,"M")/12,0),0)</f>
        <v/>
      </c>
      <c r="BQ85" s="592">
        <f>IF($E85="FL",(1+CPI)^INT(BP85),0)</f>
        <v/>
      </c>
      <c r="BR85" s="592">
        <f>IF($E85="FL",IF(($BP85-0.5)&gt;=0,1/(1+d)^($BP85-0.5),1/(1+d)^($BP85)),0)</f>
        <v/>
      </c>
      <c r="BS85" s="592" t="n"/>
      <c r="BT85" s="25">
        <f>IF(gender="M",VLOOKUP($Y85+pre_mort+IF(MONTH(DoC)&lt;MONTH(DoB),IF(MONTH(DoC)&lt;3,0,-1),IF(MONTH(DoB)&lt;3,-1,0)),'SALT LIFE TABLES'!$A$7:$E$106,2),VLOOKUP($Y85+pre_mort+IF(MONTH(DoC)&lt;MONTH(DoB),IF(MONTH(DoC)&lt;3,0,-1),IF(MONTH(DoB)&lt;3,-1,0)),'SALT LIFE TABLES'!$A$7:$E$106,4))</f>
        <v/>
      </c>
      <c r="BU85" s="592">
        <f>IF($E85="PL",1,BT85/BU$7)</f>
        <v/>
      </c>
      <c r="BV85" s="593" t="n"/>
      <c r="BW85" s="25">
        <f>IF(gender="M",VLOOKUP($Y85+post_mort+IF(MONTH(DoC)&lt;MONTH(DoB),IF(MONTH(DoC)&lt;3,0,-1),IF(MONTH(DoB)&lt;3,-1,0)),'SALT LIFE TABLES'!$A$7:$E$106,2),VLOOKUP($Y85+post_mort+IF(MONTH(DoC)&lt;MONTH(DoB),IF(MONTH(DoC)&lt;3,0,-1),IF(MONTH(DoB)&lt;3,-1,0)),'SALT LIFE TABLES'!$A$7:$E$106,4))</f>
        <v/>
      </c>
      <c r="BX85" s="592">
        <f>IF($E85="PL",1,BW85/BX$7)</f>
        <v/>
      </c>
      <c r="BY85" s="594" t="n"/>
      <c r="BZ85" s="592" t="n"/>
      <c r="CA85" s="592">
        <f>IF($E85="FL",$AR85*$BQ85*$BR85*$BU85,$AR85)</f>
        <v/>
      </c>
      <c r="CB85" s="592">
        <f>IF($E85="FL",$BN85*$BQ85*$BR85*$BX85,$BN85)</f>
        <v/>
      </c>
      <c r="CC85" s="592" t="n"/>
      <c r="CD85" s="592">
        <f>IF($E85="FL",$CA85*(1-pre_FL),$CA85*(1-pre_PL))</f>
        <v/>
      </c>
      <c r="CE85" s="592">
        <f>IF($E85="FL",$CB85*(1-post_FL),$CB85*(1-post_PL))</f>
        <v/>
      </c>
      <c r="CF85" s="592" t="n"/>
      <c r="CG85" s="599">
        <f>CD85-CE85</f>
        <v/>
      </c>
      <c r="CH85" s="599">
        <f>MIN(CG85,IF(W85=Ret_Yr_pre,1,$X85)*Cap)</f>
        <v/>
      </c>
      <c r="CI85" s="128" t="n"/>
      <c r="CJ85" s="37">
        <f>IF(D85&gt;Current,Current,D85)</f>
        <v/>
      </c>
      <c r="CK85" s="37">
        <f>MATCH($CJ85,Tax_Tables[Tax Year],0)</f>
        <v/>
      </c>
      <c r="CL85" s="600" t="n">
        <v>0</v>
      </c>
      <c r="CM85" s="600">
        <f t="array" ref="CM85">INDEX(Tax_Tables[[Limits]:[Limits]],$CK85+CM$8)</f>
        <v/>
      </c>
      <c r="CN85" s="600">
        <f t="array" ref="CN85">INDEX(Tax_Tables[[Limits]:[Limits]],$CK85+CN$8)</f>
        <v/>
      </c>
      <c r="CO85" s="600">
        <f t="array" ref="CO85">INDEX(Tax_Tables[[Limits]:[Limits]],$CK85+CO$8)</f>
        <v/>
      </c>
      <c r="CP85" s="600">
        <f t="array" ref="CP85">INDEX(Tax_Tables[[Limits]:[Limits]],$CK85+CP$8)</f>
        <v/>
      </c>
      <c r="CQ85" s="600">
        <f t="array" ref="CQ85">INDEX(Tax_Tables[[Limits]:[Limits]],$CK85+CQ$8)</f>
        <v/>
      </c>
      <c r="CR85" s="600">
        <f t="array" ref="CR85">INDEX(Tax_Tables[[Limits]:[Limits]],$CK85+CR$8)</f>
        <v/>
      </c>
      <c r="CS85" s="37">
        <f>INDEX(Rebate[&lt;65],MATCH($CJ85,Rebate[[Tax Year]:[Tax Year]],0))</f>
        <v/>
      </c>
      <c r="CT85" s="37">
        <f>INDEX(Rebate[&lt;75],MATCH($CJ85,Rebate[[Tax Year]:[Tax Year]],0))</f>
        <v/>
      </c>
      <c r="CU85" s="37">
        <f>INDEX(Rebate[&gt;75],MATCH($CJ85,Rebate[[Tax Year]:[Tax Year]],0))</f>
        <v/>
      </c>
      <c r="CV85" s="37">
        <f>INDEX(Tax_Credit[Principal],MATCH($CJ85,Tax_Credit[[Tax Year]:[Tax Year]],0))</f>
        <v/>
      </c>
      <c r="CW85" s="37">
        <f>INDEX(Tax_Credit[First Dependant],MATCH($CJ85,Tax_Credit[[Tax Year]:[Tax Year]],0))</f>
        <v/>
      </c>
      <c r="CX85" s="37">
        <f>INDEX(Tax_Credit[Each Additional],MATCH($CJ85,Tax_Credit[[Tax Year]:[Tax Year]],0))</f>
        <v/>
      </c>
      <c r="CY85" s="484">
        <f>Y85</f>
        <v/>
      </c>
      <c r="CZ85" s="601">
        <f>AP85</f>
        <v/>
      </c>
      <c r="DA85" s="37">
        <f t="array" ref="DA85">INDEX($CL85:$CR85,0,MATCH($CZ85,$CL85:$CR85,1))</f>
        <v/>
      </c>
      <c r="DB85" s="37">
        <f t="array" ref="DB85">IFERROR(INDEX(Tax_Tables[Percentages],$CK85+MATCH($DA85,$CL85:$CR85,0)-1),"")</f>
        <v/>
      </c>
      <c r="DC85" s="37">
        <f t="array" ref="DC85">IFERROR(INDEX(Tax_Tables[Tax],$CK85+MATCH($DA85,$CL85:$CR85,0)-1),"")</f>
        <v/>
      </c>
      <c r="DD85" s="37">
        <f>IF(CY85&lt;65,CS85,IF(CY85&lt;75,CT85,CU85))</f>
        <v/>
      </c>
      <c r="DE85" s="37">
        <f>CV85*(Summary!$C$31="Y")+(Summary!$C$31="Y")*(CW85*(Pre_MDep&gt;=1)+CX85*MAX(Pre_MDep-1,0))</f>
        <v/>
      </c>
      <c r="DF85" s="599">
        <f>IFERROR(MAX(DB85*(CZ85-DA85)+DC85-DD85-DE85*12,0),"")</f>
        <v/>
      </c>
      <c r="DG85" s="602" t="n"/>
      <c r="DH85" s="601">
        <f>BL85</f>
        <v/>
      </c>
      <c r="DI85" s="37">
        <f t="array" ref="DI85">INDEX($CL85:$CR85,0,MATCH($DH85,$CL85:$CR85,1))</f>
        <v/>
      </c>
      <c r="DJ85" s="37">
        <f t="array" ref="DJ85">IFERROR(INDEX(Tax_Tables[Percentages],$CK85+MATCH($DI85,$CL85:$CR85,0)-1),"")</f>
        <v/>
      </c>
      <c r="DK85" s="37">
        <f t="array" ref="DK85">IFERROR(INDEX(Tax_Tables[Tax],$CK85+MATCH($DI85,$CL85:$CR85,0)-1),"")</f>
        <v/>
      </c>
      <c r="DL85" s="37">
        <f>CV85*(Summary!$C$81="Y")+(Summary!$C$81="Y")*(CW85*(Post_MDep&gt;=1)+CX85*MAX(Post_MDep-1,0))</f>
        <v/>
      </c>
      <c r="DM85" s="599">
        <f>IFERROR(MAX(DJ85*(DH85-DI85)+DK85-DD85-DL85*12,0),"")</f>
        <v/>
      </c>
      <c r="DN85" s="601" t="n"/>
      <c r="DO85" s="37" t="n"/>
      <c r="DP85" s="37" t="n"/>
      <c r="DQ85" s="37" t="n"/>
      <c r="DR85" s="37" t="n"/>
      <c r="DS85" s="37" t="n"/>
      <c r="DT85" s="37" t="n"/>
      <c r="DU85" s="37" t="n"/>
      <c r="DV85" s="37" t="n"/>
      <c r="DW85" s="37" t="n"/>
      <c r="DX85" s="599" t="n"/>
      <c r="DY85" s="131" t="n"/>
      <c r="DZ85" s="601" t="n"/>
      <c r="EA85" s="37" t="n"/>
      <c r="EB85" s="37" t="n"/>
      <c r="EC85" s="37" t="n"/>
      <c r="ED85" s="599" t="n"/>
      <c r="EE85" s="595" t="n"/>
      <c r="EF85" s="25" t="n"/>
    </row>
    <row r="86">
      <c r="V86" s="6" t="n"/>
      <c r="X86" s="569" t="n"/>
      <c r="Y86" s="25" t="n"/>
      <c r="Z86" s="590" t="n"/>
      <c r="AA86" s="25" t="n"/>
      <c r="AB86" s="26" t="n"/>
      <c r="AC86" s="26" t="n"/>
      <c r="AD86" s="26" t="n"/>
      <c r="AE86" s="26" t="n"/>
      <c r="AF86" s="26" t="n"/>
      <c r="AG86" s="26" t="n"/>
      <c r="AH86" s="26" t="n"/>
      <c r="AI86" s="590">
        <f>(AB86&lt;&gt;0)*12*allow_2</f>
        <v/>
      </c>
      <c r="AJ86" s="26" t="n"/>
      <c r="AK86" s="581">
        <f>IF(YEAR(W86)&lt;=Ret_Yr_pre,SUM(AC86:AJ86),0)*IF($W86=Ret_Yr_pre,X86,1)</f>
        <v/>
      </c>
      <c r="AL86" s="581">
        <f>IF($W86&gt;=Ret_Yr_pre,pens_Pre*(GEPF_pre="Y"),0)*IF($W86=Ret_Yr_pre,1-$X86,1)*IF(Ret_Yr_pre&lt;Current,(_xlfn.IFNA(VLOOKUP($D86,CPI!$A:$E,2,FALSE),VLOOKUP(Current,CPI!$A:$E,2,FALSE))/VLOOKUP(Ret_Yr_pre,CPI!$A:$E,2,FALSE)),1)</f>
        <v/>
      </c>
      <c r="AM86" s="590">
        <f>$AC86*ee*IF($W86=Ret_Yr_pre,$X86,1)</f>
        <v/>
      </c>
      <c r="AN86" s="590">
        <f>$AC86*er*IF($W86=Ret_Yr_pre,$X86,1)</f>
        <v/>
      </c>
      <c r="AO86" s="590">
        <f>IF('LOE Sc1'!$W86=Ret_Yr_pre,Gratuity_Pre*(GEPF_pre="Y"),0)</f>
        <v/>
      </c>
      <c r="AP86" s="581">
        <f>AK86+AL86-$AM86-AN86*(GEPF_pre="Y")</f>
        <v/>
      </c>
      <c r="AQ86" s="26" t="n"/>
      <c r="AR86" s="101" t="n"/>
      <c r="AS86" s="106" t="n"/>
      <c r="AT86" s="25" t="n"/>
      <c r="AU86" s="31">
        <f>W86</f>
        <v/>
      </c>
      <c r="AV86" s="569" t="n"/>
      <c r="AW86" s="25" t="n"/>
      <c r="AX86" s="26" t="n"/>
      <c r="AY86" s="26" t="n"/>
      <c r="AZ86" s="26" t="n"/>
      <c r="BA86" s="26" t="n"/>
      <c r="BB86" s="26" t="n"/>
      <c r="BC86" s="26" t="n"/>
      <c r="BD86" s="26" t="n"/>
      <c r="BE86" s="26" t="n"/>
      <c r="BF86" s="26" t="n"/>
      <c r="BG86" s="581">
        <f>IF(YEAR($V86)&lt;=Ret_Yr_post,SUM(AY86:BF86),0)*IF($W86=Ret_Yr_post,AV86,1)</f>
        <v/>
      </c>
      <c r="BH86" s="581">
        <f>IF($W86&gt;=Ret_Yr_post,pens_Post*(GEPF_pre="Y"),0)*IF($W86=Ret_Yr_post,1-$AV86,1)*IF(Ret_Yr_post&lt;Current,(_xlfn.IFNA(VLOOKUP($D86,CPI!$A:$E,2,FALSE),VLOOKUP(Current,CPI!$A:$E,2,FALSE))/VLOOKUP(Ret_Yr_post,CPI!$A:$E,2,FALSE)),1)</f>
        <v/>
      </c>
      <c r="BI86" s="590">
        <f>$AY86*ee_post*IF($W86=Ret_Yr_post,$AV86,1)</f>
        <v/>
      </c>
      <c r="BJ86" s="590">
        <f>$AY86*er_post*IF($W86=Ret_Yr_post,$AV86,1)</f>
        <v/>
      </c>
      <c r="BK86" s="590">
        <f>IF('LOE Sc1'!$W86=Ret_Yr_post,Gratuity_Post*(GEPF_post="Y"),0)</f>
        <v/>
      </c>
      <c r="BL86" s="581">
        <f>BG86+BH86-BI86-BJ86*(GEPF_post="Y")</f>
        <v/>
      </c>
      <c r="BM86" s="26" t="n"/>
      <c r="BN86" s="101" t="n"/>
      <c r="BO86" s="591" t="n"/>
      <c r="BP86" s="26" t="n"/>
      <c r="BQ86" s="26" t="n"/>
      <c r="BR86" s="26" t="n"/>
      <c r="BS86" s="26" t="n"/>
      <c r="BT86" s="614" t="n"/>
      <c r="BU86" s="614" t="n"/>
      <c r="BV86" s="593" t="n"/>
      <c r="BW86" s="614" t="n"/>
      <c r="BX86" s="614" t="n"/>
      <c r="BY86" s="615" t="n"/>
      <c r="BZ86" s="614" t="n"/>
      <c r="CA86" s="592">
        <f>IF($E86="FL",$AR86*$BQ86*$BR86*$BU86,$AR86)</f>
        <v/>
      </c>
      <c r="CB86" s="592">
        <f>IF($E86="FL",$BN86*$BQ86*$BR86*$BX86,$BN86)</f>
        <v/>
      </c>
      <c r="CC86" s="592" t="n"/>
      <c r="CD86" s="592">
        <f>IF($E86="FL",$CA86*(1-pre_FL),$CA86*(1-pre_PL))</f>
        <v/>
      </c>
      <c r="CE86" s="592">
        <f>IF($E86="FL",$CB86*(1-post_FL),$CB86*(1-post_PL))</f>
        <v/>
      </c>
      <c r="CF86" s="592" t="n"/>
      <c r="CG86" s="37" t="n"/>
      <c r="CH86" s="37" t="n"/>
      <c r="CI86" s="128" t="n"/>
      <c r="CJ86" s="37" t="n"/>
      <c r="CK86" s="37" t="n"/>
      <c r="CL86" s="37" t="n"/>
      <c r="CM86" s="37" t="n"/>
      <c r="CN86" s="37" t="n"/>
      <c r="CO86" s="37" t="n"/>
      <c r="CP86" s="37" t="n"/>
      <c r="CQ86" s="37" t="n"/>
      <c r="CR86" s="37" t="n"/>
      <c r="CS86" s="37" t="n"/>
      <c r="CT86" s="37" t="n"/>
      <c r="CU86" s="37" t="n"/>
      <c r="CV86" s="37" t="n"/>
      <c r="CW86" s="37" t="n"/>
      <c r="CX86" s="37" t="n"/>
      <c r="CY86" s="484">
        <f>Y86</f>
        <v/>
      </c>
      <c r="CZ86" s="37" t="n"/>
      <c r="DA86" s="37" t="n"/>
      <c r="DB86" s="37">
        <f t="array" ref="DB86">IFERROR(INDEX(Tax_Tables[Percentages],$CK86+MATCH($DA86,$CL86:$CR86,0)-1),"")</f>
        <v/>
      </c>
      <c r="DC86" s="37">
        <f t="array" ref="DC86">IFERROR(INDEX(Tax_Tables[Tax],$CK86+MATCH($DA86,$CL86:$CR86,0)-1),"")</f>
        <v/>
      </c>
      <c r="DD86" s="37">
        <f>IF(CY86&lt;65,CS86,IF(CY86&lt;75,CT86,CU86))</f>
        <v/>
      </c>
      <c r="DE86" s="37">
        <f>CV86*(Summary!$C$31="Y")+(Summary!$C$31="Y")*(CW86*(Pre_MDep&gt;=1)+CX86*MAX(Pre_MDep-1,0))</f>
        <v/>
      </c>
      <c r="DF86" s="599">
        <f>IFERROR(MAX(DB86*(CZ86-DA86)+DC86-DD86-DE86*12,0),"")</f>
        <v/>
      </c>
      <c r="DG86" s="602" t="n"/>
      <c r="DH86" s="37" t="n"/>
      <c r="DI86" s="37" t="n"/>
      <c r="DJ86" s="37">
        <f t="array" ref="DJ86">IFERROR(INDEX(Tax_Tables[Percentages],$CK86+MATCH($DI86,$CL86:$CR86,0)-1),"")</f>
        <v/>
      </c>
      <c r="DK86" s="37">
        <f t="array" ref="DK86">IFERROR(INDEX(Tax_Tables[Tax],$CK86+MATCH($DI86,$CL86:$CR86,0)-1),"")</f>
        <v/>
      </c>
      <c r="DL86" s="37">
        <f>CV86*(Summary!$C$81="Y")+(Summary!$C$81="Y")*(CW86*(Post_MDep&gt;=1)+CX86*MAX(Post_MDep-1,0))</f>
        <v/>
      </c>
      <c r="DM86" s="599">
        <f>IFERROR(MAX(DJ86*(DH86-DI86)+DK86-DD86-DL86*12,0),"")</f>
        <v/>
      </c>
      <c r="DN86" s="37" t="n"/>
      <c r="DO86" s="37" t="n"/>
      <c r="DP86" s="37" t="n"/>
      <c r="DQ86" s="37" t="n"/>
      <c r="DR86" s="37" t="n"/>
      <c r="DS86" s="37" t="n"/>
      <c r="DT86" s="37" t="n"/>
      <c r="DU86" s="37" t="n"/>
      <c r="DV86" s="37" t="n"/>
      <c r="DW86" s="37" t="n"/>
      <c r="DX86" s="37" t="n"/>
      <c r="DY86" s="131" t="n"/>
      <c r="DZ86" s="37" t="n"/>
      <c r="EA86" s="37" t="n"/>
      <c r="EB86" s="37" t="n"/>
      <c r="EC86" s="37" t="n"/>
      <c r="ED86" s="35" t="n"/>
      <c r="EE86" s="595" t="n"/>
      <c r="EF86" s="25" t="n"/>
    </row>
    <row r="87">
      <c r="V87" s="6" t="n"/>
      <c r="X87" s="569" t="n"/>
      <c r="Y87" s="25" t="n"/>
      <c r="Z87" s="590" t="n"/>
      <c r="AA87" s="25" t="n"/>
      <c r="AB87" s="26" t="n"/>
      <c r="AC87" s="26" t="n"/>
      <c r="AD87" s="26" t="n"/>
      <c r="AE87" s="26" t="n"/>
      <c r="AF87" s="26" t="n"/>
      <c r="AG87" s="26" t="n"/>
      <c r="AH87" s="26" t="n"/>
      <c r="AI87" s="590">
        <f>(AB87&lt;&gt;0)*12*allow_2</f>
        <v/>
      </c>
      <c r="AJ87" s="26" t="n"/>
      <c r="AK87" s="581">
        <f>IF(YEAR(W87)&lt;=Ret_Yr_pre,SUM(AC87:AJ87),0)*IF($W87=Ret_Yr_pre,X87,1)</f>
        <v/>
      </c>
      <c r="AL87" s="581">
        <f>IF($W87&gt;=Ret_Yr_pre,pens_Pre*(GEPF_pre="Y"),0)*IF($W87=Ret_Yr_pre,1-$X87,1)*IF(Ret_Yr_pre&lt;Current,(_xlfn.IFNA(VLOOKUP($D87,CPI!$A:$E,2,FALSE),VLOOKUP(Current,CPI!$A:$E,2,FALSE))/VLOOKUP(Ret_Yr_pre,CPI!$A:$E,2,FALSE)),1)</f>
        <v/>
      </c>
      <c r="AM87" s="590">
        <f>$AC87*ee*IF($W87=Ret_Yr_pre,$X87,1)</f>
        <v/>
      </c>
      <c r="AN87" s="590">
        <f>$AC87*er*IF($W87=Ret_Yr_pre,$X87,1)</f>
        <v/>
      </c>
      <c r="AO87" s="590">
        <f>IF('LOE Sc1'!$W87=Ret_Yr_pre,Gratuity_Pre*(GEPF_pre="Y"),0)</f>
        <v/>
      </c>
      <c r="AP87" s="581">
        <f>AK87+AL87-$AM87-AN87*(GEPF_pre="Y")</f>
        <v/>
      </c>
      <c r="AQ87" s="26" t="n"/>
      <c r="AR87" s="101" t="n"/>
      <c r="AS87" s="106" t="n"/>
      <c r="AT87" s="25" t="n"/>
      <c r="AU87" s="31">
        <f>W87</f>
        <v/>
      </c>
      <c r="AV87" s="569" t="n"/>
      <c r="AW87" s="25" t="n"/>
      <c r="AX87" s="26" t="n"/>
      <c r="AY87" s="26" t="n"/>
      <c r="AZ87" s="26" t="n"/>
      <c r="BA87" s="26" t="n"/>
      <c r="BB87" s="26" t="n"/>
      <c r="BC87" s="26" t="n"/>
      <c r="BD87" s="26" t="n"/>
      <c r="BE87" s="26" t="n"/>
      <c r="BF87" s="26" t="n"/>
      <c r="BG87" s="581">
        <f>IF(YEAR($V87)&lt;=Ret_Yr_post,SUM(AY87:BF87),0)*IF($W87=Ret_Yr_post,AV87,1)</f>
        <v/>
      </c>
      <c r="BH87" s="581">
        <f>IF($W87&gt;=Ret_Yr_post,pens_Post*(GEPF_pre="Y"),0)*IF($W87=Ret_Yr_post,1-$AV87,1)*IF(Ret_Yr_post&lt;Current,(_xlfn.IFNA(VLOOKUP($D87,CPI!$A:$E,2,FALSE),VLOOKUP(Current,CPI!$A:$E,2,FALSE))/VLOOKUP(Ret_Yr_post,CPI!$A:$E,2,FALSE)),1)</f>
        <v/>
      </c>
      <c r="BI87" s="590">
        <f>$AY87*ee_post*IF($W87=Ret_Yr_post,$AV87,1)</f>
        <v/>
      </c>
      <c r="BJ87" s="590">
        <f>$AY87*er_post*IF($W87=Ret_Yr_post,$AV87,1)</f>
        <v/>
      </c>
      <c r="BK87" s="590">
        <f>IF('LOE Sc1'!$W87=Ret_Yr_post,Gratuity_Post*(GEPF_post="Y"),0)</f>
        <v/>
      </c>
      <c r="BL87" s="581">
        <f>BG87+BH87-BI87-BJ87*(GEPF_post="Y")</f>
        <v/>
      </c>
      <c r="BM87" s="26" t="n"/>
      <c r="BN87" s="101" t="n"/>
      <c r="BO87" s="591" t="n"/>
      <c r="BP87" s="26" t="n"/>
      <c r="BQ87" s="26" t="n"/>
      <c r="BR87" s="26" t="n"/>
      <c r="BS87" s="26" t="n"/>
      <c r="BT87" s="614" t="n"/>
      <c r="BU87" s="614" t="n"/>
      <c r="BV87" s="593" t="n"/>
      <c r="BW87" s="614" t="n"/>
      <c r="BX87" s="614" t="n"/>
      <c r="BY87" s="615" t="n"/>
      <c r="BZ87" s="614" t="n"/>
      <c r="CA87" s="592">
        <f>IF($E87="FL",$AR87*$BQ87*$BR87*$BU87,$AR87)</f>
        <v/>
      </c>
      <c r="CB87" s="592">
        <f>IF($E87="FL",$BN87*$BQ87*$BR87*$BX87,$BN87)</f>
        <v/>
      </c>
      <c r="CC87" s="592" t="n"/>
      <c r="CD87" s="592">
        <f>IF($E87="FL",$CA87*(1-pre_FL),$CA87*(1-pre_PL))</f>
        <v/>
      </c>
      <c r="CE87" s="592">
        <f>IF($E87="FL",$CB87*(1-post_FL),$CB87*(1-post_PL))</f>
        <v/>
      </c>
      <c r="CF87" s="592" t="n"/>
      <c r="CG87" s="37" t="n"/>
      <c r="CH87" s="37" t="n"/>
      <c r="CI87" s="128" t="n"/>
      <c r="CJ87" s="37" t="n"/>
      <c r="CK87" s="37" t="n"/>
      <c r="CL87" s="37" t="n"/>
      <c r="CM87" s="37" t="n"/>
      <c r="CN87" s="37" t="n"/>
      <c r="CO87" s="37" t="n"/>
      <c r="CP87" s="37" t="n"/>
      <c r="CQ87" s="37" t="n"/>
      <c r="CR87" s="37" t="n"/>
      <c r="CS87" s="37" t="n"/>
      <c r="CT87" s="37" t="n"/>
      <c r="CU87" s="37" t="n"/>
      <c r="CV87" s="37" t="n"/>
      <c r="CW87" s="37" t="n"/>
      <c r="CX87" s="37" t="n"/>
      <c r="CY87" s="484">
        <f>Y87</f>
        <v/>
      </c>
      <c r="CZ87" s="37" t="n"/>
      <c r="DA87" s="37" t="n"/>
      <c r="DB87" s="37">
        <f t="array" ref="DB87">IFERROR(INDEX(Tax_Tables[Percentages],$CK87+MATCH($DA87,$CL87:$CR87,0)-1),"")</f>
        <v/>
      </c>
      <c r="DC87" s="37">
        <f t="array" ref="DC87">IFERROR(INDEX(Tax_Tables[Tax],$CK87+MATCH($DA87,$CL87:$CR87,0)-1),"")</f>
        <v/>
      </c>
      <c r="DD87" s="37">
        <f>IF(CY87&lt;65,CS87,IF(CY87&lt;75,CT87,CU87))</f>
        <v/>
      </c>
      <c r="DE87" s="37">
        <f>CV87*(Summary!$C$31="Y")+(Summary!$C$31="Y")*(CW87*(Pre_MDep&gt;=1)+CX87*MAX(Pre_MDep-1,0))</f>
        <v/>
      </c>
      <c r="DF87" s="599">
        <f>IFERROR(MAX(DB87*(CZ87-DA87)+DC87-DD87-DE87*12,0),"")</f>
        <v/>
      </c>
      <c r="DG87" s="602" t="n"/>
      <c r="DH87" s="37" t="n"/>
      <c r="DI87" s="37" t="n"/>
      <c r="DJ87" s="37">
        <f t="array" ref="DJ87">IFERROR(INDEX(Tax_Tables[Percentages],$CK87+MATCH($DI87,$CL87:$CR87,0)-1),"")</f>
        <v/>
      </c>
      <c r="DK87" s="37">
        <f t="array" ref="DK87">IFERROR(INDEX(Tax_Tables[Tax],$CK87+MATCH($DI87,$CL87:$CR87,0)-1),"")</f>
        <v/>
      </c>
      <c r="DL87" s="37">
        <f>CV87*(Summary!$C$81="Y")+(Summary!$C$81="Y")*(CW87*(Post_MDep&gt;=1)+CX87*MAX(Post_MDep-1,0))</f>
        <v/>
      </c>
      <c r="DM87" s="599">
        <f>IFERROR(MAX(DJ87*(DH87-DI87)+DK87-DD87-DL87*12,0),"")</f>
        <v/>
      </c>
      <c r="DN87" s="37" t="n"/>
      <c r="DO87" s="37" t="n"/>
      <c r="DP87" s="37" t="n"/>
      <c r="DQ87" s="37" t="n"/>
      <c r="DR87" s="37" t="n"/>
      <c r="DS87" s="37" t="n"/>
      <c r="DT87" s="37" t="n"/>
      <c r="DU87" s="37" t="n"/>
      <c r="DV87" s="37" t="n"/>
      <c r="DW87" s="37" t="n"/>
      <c r="DX87" s="37" t="n"/>
      <c r="DY87" s="131" t="n"/>
      <c r="DZ87" s="37" t="n"/>
      <c r="EA87" s="37" t="n"/>
      <c r="EB87" s="37" t="n"/>
      <c r="EC87" s="37" t="n"/>
      <c r="ED87" s="35" t="n"/>
      <c r="EE87" s="595" t="n"/>
      <c r="EF87" s="25" t="n"/>
    </row>
    <row r="88">
      <c r="V88" s="6" t="n"/>
      <c r="X88" s="569" t="n"/>
      <c r="Y88" s="25" t="n"/>
      <c r="Z88" s="590" t="n"/>
      <c r="AA88" s="25" t="n"/>
      <c r="AB88" s="26" t="n"/>
      <c r="AC88" s="26" t="n"/>
      <c r="AD88" s="26" t="n"/>
      <c r="AE88" s="26" t="n"/>
      <c r="AF88" s="26" t="n"/>
      <c r="AG88" s="26" t="n"/>
      <c r="AH88" s="26" t="n"/>
      <c r="AI88" s="590">
        <f>(AB88&lt;&gt;0)*12*allow_2</f>
        <v/>
      </c>
      <c r="AJ88" s="26" t="n"/>
      <c r="AK88" s="581">
        <f>IF(YEAR(W88)&lt;=Ret_Yr_pre,SUM(AC88:AJ88),0)*IF($W88=Ret_Yr_pre,X88,1)</f>
        <v/>
      </c>
      <c r="AL88" s="581">
        <f>IF($W88&gt;=Ret_Yr_pre,pens_Pre*(GEPF_pre="Y"),0)*IF($W88=Ret_Yr_pre,1-$X88,1)*IF(Ret_Yr_pre&lt;Current,(_xlfn.IFNA(VLOOKUP($D88,CPI!$A:$E,2,FALSE),VLOOKUP(Current,CPI!$A:$E,2,FALSE))/VLOOKUP(Ret_Yr_pre,CPI!$A:$E,2,FALSE)),1)</f>
        <v/>
      </c>
      <c r="AM88" s="590">
        <f>$AC88*ee*IF($W88=Ret_Yr_pre,$X88,1)</f>
        <v/>
      </c>
      <c r="AN88" s="590">
        <f>$AC88*er*IF($W88=Ret_Yr_pre,$X88,1)</f>
        <v/>
      </c>
      <c r="AO88" s="590">
        <f>IF('LOE Sc1'!$W88=Ret_Yr_pre,Gratuity_Pre*(GEPF_pre="Y"),0)</f>
        <v/>
      </c>
      <c r="AP88" s="581">
        <f>AK88+AL88-$AM88-AN88*(GEPF_pre="Y")</f>
        <v/>
      </c>
      <c r="AQ88" s="26" t="n"/>
      <c r="AR88" s="101" t="n"/>
      <c r="AS88" s="106" t="n"/>
      <c r="AT88" s="25" t="n"/>
      <c r="AU88" s="31">
        <f>W88</f>
        <v/>
      </c>
      <c r="AV88" s="569" t="n"/>
      <c r="AW88" s="25" t="n"/>
      <c r="AX88" s="26" t="n"/>
      <c r="AY88" s="26" t="n"/>
      <c r="AZ88" s="26" t="n"/>
      <c r="BA88" s="26" t="n"/>
      <c r="BB88" s="26" t="n"/>
      <c r="BC88" s="26" t="n"/>
      <c r="BD88" s="26" t="n"/>
      <c r="BE88" s="26" t="n"/>
      <c r="BF88" s="26" t="n"/>
      <c r="BG88" s="581">
        <f>IF(YEAR($V88)&lt;=Ret_Yr_post,SUM(AY88:BF88),0)*IF($W88=Ret_Yr_post,AV88,1)</f>
        <v/>
      </c>
      <c r="BH88" s="581">
        <f>IF($W88&gt;=Ret_Yr_post,pens_Post*(GEPF_pre="Y"),0)*IF($W88=Ret_Yr_post,1-$AV88,1)*IF(Ret_Yr_post&lt;Current,(_xlfn.IFNA(VLOOKUP($D88,CPI!$A:$E,2,FALSE),VLOOKUP(Current,CPI!$A:$E,2,FALSE))/VLOOKUP(Ret_Yr_post,CPI!$A:$E,2,FALSE)),1)</f>
        <v/>
      </c>
      <c r="BI88" s="590">
        <f>$AY88*ee_post*IF($W88=Ret_Yr_post,$AV88,1)</f>
        <v/>
      </c>
      <c r="BJ88" s="590">
        <f>$AY88*er_post*IF($W88=Ret_Yr_post,$AV88,1)</f>
        <v/>
      </c>
      <c r="BK88" s="590">
        <f>IF('LOE Sc1'!$W88=Ret_Yr_post,Gratuity_Post*(GEPF_post="Y"),0)</f>
        <v/>
      </c>
      <c r="BL88" s="581">
        <f>BG88+BH88-BI88-BJ88*(GEPF_post="Y")</f>
        <v/>
      </c>
      <c r="BM88" s="26" t="n"/>
      <c r="BN88" s="101" t="n"/>
      <c r="BO88" s="591" t="n"/>
      <c r="BP88" s="26" t="n"/>
      <c r="BQ88" s="26" t="n"/>
      <c r="BR88" s="26" t="n"/>
      <c r="BS88" s="26" t="n"/>
      <c r="BT88" s="614" t="n"/>
      <c r="BU88" s="614" t="n"/>
      <c r="BV88" s="593" t="n"/>
      <c r="BW88" s="614" t="n"/>
      <c r="BX88" s="614" t="n"/>
      <c r="BY88" s="615" t="n"/>
      <c r="BZ88" s="614" t="n"/>
      <c r="CA88" s="592">
        <f>IF($E88="FL",$AR88*$BQ88*$BR88*$BU88,$AR88)</f>
        <v/>
      </c>
      <c r="CB88" s="592">
        <f>IF($E88="FL",$BN88*$BQ88*$BR88*$BX88,$BN88)</f>
        <v/>
      </c>
      <c r="CC88" s="592" t="n"/>
      <c r="CD88" s="592">
        <f>IF($E88="FL",$CA88*(1-pre_FL),$CA88*(1-pre_PL))</f>
        <v/>
      </c>
      <c r="CE88" s="592">
        <f>IF($E88="FL",$CB88*(1-post_FL),$CB88*(1-post_PL))</f>
        <v/>
      </c>
      <c r="CF88" s="592" t="n"/>
      <c r="CG88" s="37" t="n"/>
      <c r="CH88" s="37" t="n"/>
      <c r="CI88" s="128" t="n"/>
      <c r="CJ88" s="37" t="n"/>
      <c r="CK88" s="37" t="n"/>
      <c r="CL88" s="37" t="n"/>
      <c r="CM88" s="37" t="n"/>
      <c r="CN88" s="37" t="n"/>
      <c r="CO88" s="37" t="n"/>
      <c r="CP88" s="37" t="n"/>
      <c r="CQ88" s="37" t="n"/>
      <c r="CR88" s="37" t="n"/>
      <c r="CS88" s="37" t="n"/>
      <c r="CT88" s="37" t="n"/>
      <c r="CU88" s="37" t="n"/>
      <c r="CV88" s="37" t="n"/>
      <c r="CW88" s="37" t="n"/>
      <c r="CX88" s="37" t="n"/>
      <c r="CY88" s="484">
        <f>Y88</f>
        <v/>
      </c>
      <c r="CZ88" s="37" t="n"/>
      <c r="DA88" s="37" t="n"/>
      <c r="DB88" s="37">
        <f t="array" ref="DB88">IFERROR(INDEX(Tax_Tables[Percentages],$CK88+MATCH($DA88,$CL88:$CR88,0)-1),"")</f>
        <v/>
      </c>
      <c r="DC88" s="37">
        <f t="array" ref="DC88">IFERROR(INDEX(Tax_Tables[Tax],$CK88+MATCH($DA88,$CL88:$CR88,0)-1),"")</f>
        <v/>
      </c>
      <c r="DD88" s="37">
        <f>IF(CY88&lt;65,CS88,IF(CY88&lt;75,CT88,CU88))</f>
        <v/>
      </c>
      <c r="DE88" s="37">
        <f>CV88*(Summary!$C$31="Y")+(Summary!$C$31="Y")*(CW88*(Pre_MDep&gt;=1)+CX88*MAX(Pre_MDep-1,0))</f>
        <v/>
      </c>
      <c r="DF88" s="599">
        <f>IFERROR(MAX(DB88*(CZ88-DA88)+DC88-DD88-DE88*12,0),"")</f>
        <v/>
      </c>
      <c r="DG88" s="602" t="n"/>
      <c r="DH88" s="37" t="n"/>
      <c r="DI88" s="37" t="n"/>
      <c r="DJ88" s="37">
        <f t="array" ref="DJ88">IFERROR(INDEX(Tax_Tables[Percentages],$CK88+MATCH($DI88,$CL88:$CR88,0)-1),"")</f>
        <v/>
      </c>
      <c r="DK88" s="37">
        <f t="array" ref="DK88">IFERROR(INDEX(Tax_Tables[Tax],$CK88+MATCH($DI88,$CL88:$CR88,0)-1),"")</f>
        <v/>
      </c>
      <c r="DL88" s="37">
        <f>CV88*(Summary!$C$81="Y")+(Summary!$C$81="Y")*(CW88*(Post_MDep&gt;=1)+CX88*MAX(Post_MDep-1,0))</f>
        <v/>
      </c>
      <c r="DM88" s="599">
        <f>IFERROR(MAX(DJ88*(DH88-DI88)+DK88-DD88-DL88*12,0),"")</f>
        <v/>
      </c>
      <c r="DN88" s="37" t="n"/>
      <c r="DO88" s="37" t="n"/>
      <c r="DP88" s="37" t="n"/>
      <c r="DQ88" s="37" t="n"/>
      <c r="DR88" s="37" t="n"/>
      <c r="DS88" s="37" t="n"/>
      <c r="DT88" s="37" t="n"/>
      <c r="DU88" s="37" t="n"/>
      <c r="DV88" s="37" t="n"/>
      <c r="DW88" s="37" t="n"/>
      <c r="DX88" s="37" t="n"/>
      <c r="DY88" s="131" t="n"/>
      <c r="DZ88" s="37" t="n"/>
      <c r="EA88" s="37" t="n"/>
      <c r="EB88" s="37" t="n"/>
      <c r="EC88" s="37" t="n"/>
      <c r="ED88" s="35" t="n"/>
      <c r="EE88" s="595" t="n"/>
      <c r="EF88" s="25" t="n"/>
    </row>
    <row r="89">
      <c r="V89" s="6" t="n"/>
      <c r="X89" s="569" t="n"/>
      <c r="Y89" s="25" t="n"/>
      <c r="Z89" s="590" t="n"/>
      <c r="AA89" s="25" t="n"/>
      <c r="AB89" s="26" t="n"/>
      <c r="AC89" s="26" t="n"/>
      <c r="AD89" s="26" t="n"/>
      <c r="AE89" s="26" t="n"/>
      <c r="AF89" s="26" t="n"/>
      <c r="AG89" s="26" t="n"/>
      <c r="AH89" s="26" t="n"/>
      <c r="AI89" s="590">
        <f>(AB89&lt;&gt;0)*12*allow_2</f>
        <v/>
      </c>
      <c r="AJ89" s="26" t="n"/>
      <c r="AK89" s="581">
        <f>IF(YEAR(W89)&lt;=Ret_Yr_pre,SUM(AC89:AJ89),0)*IF($W89=Ret_Yr_pre,X89,1)</f>
        <v/>
      </c>
      <c r="AL89" s="581">
        <f>IF($W89&gt;=Ret_Yr_pre,pens_Pre*(GEPF_pre="Y"),0)*IF($W89=Ret_Yr_pre,1-$X89,1)*IF(Ret_Yr_pre&lt;Current,(_xlfn.IFNA(VLOOKUP($D89,CPI!$A:$E,2,FALSE),VLOOKUP(Current,CPI!$A:$E,2,FALSE))/VLOOKUP(Ret_Yr_pre,CPI!$A:$E,2,FALSE)),1)</f>
        <v/>
      </c>
      <c r="AM89" s="590">
        <f>$AC89*ee*IF($W89=Ret_Yr_pre,$X89,1)</f>
        <v/>
      </c>
      <c r="AN89" s="590">
        <f>$AC89*er*IF($W89=Ret_Yr_pre,$X89,1)</f>
        <v/>
      </c>
      <c r="AO89" s="590">
        <f>IF('LOE Sc1'!$W89=Ret_Yr_pre,Gratuity_Pre*(GEPF_pre="Y"),0)</f>
        <v/>
      </c>
      <c r="AP89" s="581">
        <f>AK89+AL89-$AM89-AN89*(GEPF_pre="Y")</f>
        <v/>
      </c>
      <c r="AQ89" s="26" t="n"/>
      <c r="AR89" s="101" t="n"/>
      <c r="AS89" s="106" t="n"/>
      <c r="AT89" s="25" t="n"/>
      <c r="AU89" s="31">
        <f>W89</f>
        <v/>
      </c>
      <c r="AV89" s="569" t="n"/>
      <c r="AW89" s="25" t="n"/>
      <c r="AX89" s="26" t="n"/>
      <c r="AY89" s="26" t="n"/>
      <c r="AZ89" s="26" t="n"/>
      <c r="BA89" s="26" t="n"/>
      <c r="BB89" s="26" t="n"/>
      <c r="BC89" s="26" t="n"/>
      <c r="BD89" s="26" t="n"/>
      <c r="BE89" s="26" t="n"/>
      <c r="BF89" s="26" t="n"/>
      <c r="BG89" s="581">
        <f>IF(YEAR($V89)&lt;=Ret_Yr_post,SUM(AY89:BF89),0)*IF($W89=Ret_Yr_post,AV89,1)</f>
        <v/>
      </c>
      <c r="BH89" s="581">
        <f>IF($W89&gt;=Ret_Yr_post,pens_Post*(GEPF_pre="Y"),0)*IF($W89=Ret_Yr_post,1-$AV89,1)*IF(Ret_Yr_post&lt;Current,(_xlfn.IFNA(VLOOKUP($D89,CPI!$A:$E,2,FALSE),VLOOKUP(Current,CPI!$A:$E,2,FALSE))/VLOOKUP(Ret_Yr_post,CPI!$A:$E,2,FALSE)),1)</f>
        <v/>
      </c>
      <c r="BI89" s="590">
        <f>$AY89*ee_post*IF($W89=Ret_Yr_post,$AV89,1)</f>
        <v/>
      </c>
      <c r="BJ89" s="590">
        <f>$AY89*er_post*IF($W89=Ret_Yr_post,$AV89,1)</f>
        <v/>
      </c>
      <c r="BK89" s="590">
        <f>IF('LOE Sc1'!$W89=Ret_Yr_post,Gratuity_Post*(GEPF_post="Y"),0)</f>
        <v/>
      </c>
      <c r="BL89" s="581">
        <f>BG89+BH89-BI89-BJ89*(GEPF_post="Y")</f>
        <v/>
      </c>
      <c r="BM89" s="26" t="n"/>
      <c r="BN89" s="101" t="n"/>
      <c r="BO89" s="591" t="n"/>
      <c r="BP89" s="26" t="n"/>
      <c r="BQ89" s="26" t="n"/>
      <c r="BR89" s="26" t="n"/>
      <c r="BS89" s="26" t="n"/>
      <c r="BT89" s="614" t="n"/>
      <c r="BU89" s="614" t="n"/>
      <c r="BV89" s="593" t="n"/>
      <c r="BW89" s="614" t="n"/>
      <c r="BX89" s="614" t="n"/>
      <c r="BY89" s="615" t="n"/>
      <c r="BZ89" s="614" t="n"/>
      <c r="CA89" s="592">
        <f>IF($E89="FL",$AR89*$BQ89*$BR89*$BU89,$AR89)</f>
        <v/>
      </c>
      <c r="CB89" s="592">
        <f>IF($E89="FL",$BN89*$BQ89*$BR89*$BX89,$BN89)</f>
        <v/>
      </c>
      <c r="CC89" s="592" t="n"/>
      <c r="CD89" s="592">
        <f>IF($E89="FL",$CA89*(1-pre_FL),$CA89*(1-pre_PL))</f>
        <v/>
      </c>
      <c r="CE89" s="592">
        <f>IF($E89="FL",$CB89*(1-post_FL),$CB89*(1-post_PL))</f>
        <v/>
      </c>
      <c r="CF89" s="592" t="n"/>
      <c r="CG89" s="37" t="n"/>
      <c r="CH89" s="37" t="n"/>
      <c r="CI89" s="128" t="n"/>
      <c r="CJ89" s="37" t="n"/>
      <c r="CK89" s="37" t="n"/>
      <c r="CL89" s="37" t="n"/>
      <c r="CM89" s="37" t="n"/>
      <c r="CN89" s="37" t="n"/>
      <c r="CO89" s="37" t="n"/>
      <c r="CP89" s="37" t="n"/>
      <c r="CQ89" s="37" t="n"/>
      <c r="CR89" s="37" t="n"/>
      <c r="CS89" s="37" t="n"/>
      <c r="CT89" s="37" t="n"/>
      <c r="CU89" s="37" t="n"/>
      <c r="CV89" s="37" t="n"/>
      <c r="CW89" s="37" t="n"/>
      <c r="CX89" s="37" t="n"/>
      <c r="CY89" s="484">
        <f>Y89</f>
        <v/>
      </c>
      <c r="CZ89" s="37" t="n"/>
      <c r="DA89" s="37" t="n"/>
      <c r="DB89" s="37">
        <f t="array" ref="DB89">IFERROR(INDEX(Tax_Tables[Percentages],$CK89+MATCH($DA89,$CL89:$CR89,0)-1),"")</f>
        <v/>
      </c>
      <c r="DC89" s="37">
        <f t="array" ref="DC89">IFERROR(INDEX(Tax_Tables[Tax],$CK89+MATCH($DA89,$CL89:$CR89,0)-1),"")</f>
        <v/>
      </c>
      <c r="DD89" s="37">
        <f>IF(CY89&lt;65,CS89,IF(CY89&lt;75,CT89,CU89))</f>
        <v/>
      </c>
      <c r="DE89" s="37">
        <f>CV89*(Summary!$C$31="Y")+(Summary!$C$31="Y")*(CW89*(Pre_MDep&gt;=1)+CX89*MAX(Pre_MDep-1,0))</f>
        <v/>
      </c>
      <c r="DF89" s="599">
        <f>IFERROR(MAX(DB89*(CZ89-DA89)+DC89-DD89-DE89*12,0),"")</f>
        <v/>
      </c>
      <c r="DG89" s="602" t="n"/>
      <c r="DH89" s="37" t="n"/>
      <c r="DI89" s="37" t="n"/>
      <c r="DJ89" s="37">
        <f t="array" ref="DJ89">IFERROR(INDEX(Tax_Tables[Percentages],$CK89+MATCH($DI89,$CL89:$CR89,0)-1),"")</f>
        <v/>
      </c>
      <c r="DK89" s="37">
        <f t="array" ref="DK89">IFERROR(INDEX(Tax_Tables[Tax],$CK89+MATCH($DI89,$CL89:$CR89,0)-1),"")</f>
        <v/>
      </c>
      <c r="DL89" s="37">
        <f>CV89*(Summary!$C$81="Y")+(Summary!$C$81="Y")*(CW89*(Post_MDep&gt;=1)+CX89*MAX(Post_MDep-1,0))</f>
        <v/>
      </c>
      <c r="DM89" s="599">
        <f>IFERROR(MAX(DJ89*(DH89-DI89)+DK89-DD89-DL89*12,0),"")</f>
        <v/>
      </c>
      <c r="DN89" s="37" t="n"/>
      <c r="DO89" s="37" t="n"/>
      <c r="DP89" s="37" t="n"/>
      <c r="DQ89" s="37" t="n"/>
      <c r="DR89" s="37" t="n"/>
      <c r="DS89" s="37" t="n"/>
      <c r="DT89" s="37" t="n"/>
      <c r="DU89" s="37" t="n"/>
      <c r="DV89" s="37" t="n"/>
      <c r="DW89" s="37" t="n"/>
      <c r="DX89" s="37" t="n"/>
      <c r="DY89" s="131" t="n"/>
      <c r="DZ89" s="37" t="n"/>
      <c r="EA89" s="37" t="n"/>
      <c r="EB89" s="37" t="n"/>
      <c r="EC89" s="37" t="n"/>
      <c r="ED89" s="35" t="n"/>
      <c r="EE89" s="595" t="n"/>
      <c r="EF89" s="25" t="n"/>
    </row>
    <row r="90">
      <c r="V90" s="6" t="n"/>
      <c r="X90" s="569" t="n"/>
      <c r="Y90" s="25" t="n"/>
      <c r="Z90" s="590" t="n"/>
      <c r="AA90" s="25" t="n"/>
      <c r="AB90" s="26" t="n"/>
      <c r="AC90" s="26" t="n"/>
      <c r="AD90" s="26" t="n"/>
      <c r="AE90" s="26" t="n"/>
      <c r="AF90" s="26" t="n"/>
      <c r="AG90" s="26" t="n"/>
      <c r="AH90" s="26" t="n"/>
      <c r="AI90" s="590">
        <f>(AB90&lt;&gt;0)*12*allow_2</f>
        <v/>
      </c>
      <c r="AJ90" s="26" t="n"/>
      <c r="AK90" s="581">
        <f>IF(YEAR(W90)&lt;=Ret_Yr_pre,SUM(AC90:AJ90),0)*IF($W90=Ret_Yr_pre,X90,1)</f>
        <v/>
      </c>
      <c r="AL90" s="581">
        <f>IF($W90&gt;=Ret_Yr_pre,pens_Pre*(GEPF_pre="Y"),0)*IF($W90=Ret_Yr_pre,1-$X90,1)*IF(Ret_Yr_pre&lt;Current,(_xlfn.IFNA(VLOOKUP($D90,CPI!$A:$E,2,FALSE),VLOOKUP(Current,CPI!$A:$E,2,FALSE))/VLOOKUP(Ret_Yr_pre,CPI!$A:$E,2,FALSE)),1)</f>
        <v/>
      </c>
      <c r="AM90" s="590">
        <f>$AC90*ee*IF($W90=Ret_Yr_pre,$X90,1)</f>
        <v/>
      </c>
      <c r="AN90" s="590">
        <f>$AC90*er*IF($W90=Ret_Yr_pre,$X90,1)</f>
        <v/>
      </c>
      <c r="AO90" s="590">
        <f>IF('LOE Sc1'!$W90=Ret_Yr_pre,Gratuity_Pre*(GEPF_pre="Y"),0)</f>
        <v/>
      </c>
      <c r="AP90" s="581">
        <f>AK90+AL90-$AM90-AN90*(GEPF_pre="Y")</f>
        <v/>
      </c>
      <c r="AQ90" s="26" t="n"/>
      <c r="AR90" s="101" t="n"/>
      <c r="AS90" s="106" t="n"/>
      <c r="AT90" s="25" t="n"/>
      <c r="AU90" s="31">
        <f>W90</f>
        <v/>
      </c>
      <c r="AV90" s="569" t="n"/>
      <c r="AW90" s="25" t="n"/>
      <c r="AX90" s="26" t="n"/>
      <c r="AY90" s="26" t="n"/>
      <c r="AZ90" s="26" t="n"/>
      <c r="BA90" s="26" t="n"/>
      <c r="BB90" s="26" t="n"/>
      <c r="BC90" s="26" t="n"/>
      <c r="BD90" s="26" t="n"/>
      <c r="BE90" s="26" t="n"/>
      <c r="BF90" s="26" t="n"/>
      <c r="BG90" s="581">
        <f>IF(YEAR($V90)&lt;=Ret_Yr_post,SUM(AY90:BF90),0)*IF($W90=Ret_Yr_post,AV90,1)</f>
        <v/>
      </c>
      <c r="BH90" s="581">
        <f>IF($W90&gt;=Ret_Yr_post,pens_Post*(GEPF_pre="Y"),0)*IF($W90=Ret_Yr_post,1-$AV90,1)*IF(Ret_Yr_post&lt;Current,(_xlfn.IFNA(VLOOKUP($D90,CPI!$A:$E,2,FALSE),VLOOKUP(Current,CPI!$A:$E,2,FALSE))/VLOOKUP(Ret_Yr_post,CPI!$A:$E,2,FALSE)),1)</f>
        <v/>
      </c>
      <c r="BI90" s="590">
        <f>$AY90*ee_post*IF($W90=Ret_Yr_post,$AV90,1)</f>
        <v/>
      </c>
      <c r="BJ90" s="590">
        <f>$AY90*er_post*IF($W90=Ret_Yr_post,$AV90,1)</f>
        <v/>
      </c>
      <c r="BK90" s="590">
        <f>IF('LOE Sc1'!$W90=Ret_Yr_post,Gratuity_Post*(GEPF_post="Y"),0)</f>
        <v/>
      </c>
      <c r="BL90" s="581">
        <f>BG90+BH90-BI90-BJ90*(GEPF_post="Y")</f>
        <v/>
      </c>
      <c r="BM90" s="26" t="n"/>
      <c r="BN90" s="101" t="n"/>
      <c r="BO90" s="591" t="n"/>
      <c r="BP90" s="26" t="n"/>
      <c r="BQ90" s="26" t="n"/>
      <c r="BR90" s="26" t="n"/>
      <c r="BS90" s="26" t="n"/>
      <c r="BT90" s="614" t="n"/>
      <c r="BU90" s="614" t="n"/>
      <c r="BV90" s="593" t="n"/>
      <c r="BW90" s="614" t="n"/>
      <c r="BX90" s="614" t="n"/>
      <c r="BY90" s="615" t="n"/>
      <c r="BZ90" s="614" t="n"/>
      <c r="CA90" s="592">
        <f>IF($E90="FL",$AR90*$BQ90*$BR90*$BU90,$AR90)</f>
        <v/>
      </c>
      <c r="CB90" s="592">
        <f>IF($E90="FL",$BN90*$BQ90*$BR90*$BX90,$BN90)</f>
        <v/>
      </c>
      <c r="CC90" s="592" t="n"/>
      <c r="CD90" s="592">
        <f>IF($E90="FL",$CA90*(1-pre_FL),$CA90*(1-pre_PL))</f>
        <v/>
      </c>
      <c r="CE90" s="592">
        <f>IF($E90="FL",$CB90*(1-post_FL),$CB90*(1-post_PL))</f>
        <v/>
      </c>
      <c r="CF90" s="592" t="n"/>
      <c r="CG90" s="37" t="n"/>
      <c r="CH90" s="37" t="n"/>
      <c r="CI90" s="128" t="n"/>
      <c r="CJ90" s="37" t="n"/>
      <c r="CK90" s="37" t="n"/>
      <c r="CL90" s="37" t="n"/>
      <c r="CM90" s="37" t="n"/>
      <c r="CN90" s="37" t="n"/>
      <c r="CO90" s="37" t="n"/>
      <c r="CP90" s="37" t="n"/>
      <c r="CQ90" s="37" t="n"/>
      <c r="CR90" s="37" t="n"/>
      <c r="CS90" s="37" t="n"/>
      <c r="CT90" s="37" t="n"/>
      <c r="CU90" s="37" t="n"/>
      <c r="CV90" s="37" t="n"/>
      <c r="CW90" s="37" t="n"/>
      <c r="CX90" s="37" t="n"/>
      <c r="CY90" s="484">
        <f>Y90</f>
        <v/>
      </c>
      <c r="CZ90" s="37" t="n"/>
      <c r="DA90" s="37" t="n"/>
      <c r="DB90" s="37">
        <f t="array" ref="DB90">IFERROR(INDEX(Tax_Tables[Percentages],$CK90+MATCH($DA90,$CL90:$CR90,0)-1),"")</f>
        <v/>
      </c>
      <c r="DC90" s="37">
        <f t="array" ref="DC90">IFERROR(INDEX(Tax_Tables[Tax],$CK90+MATCH($DA90,$CL90:$CR90,0)-1),"")</f>
        <v/>
      </c>
      <c r="DD90" s="37">
        <f>IF(CY90&lt;65,CS90,IF(CY90&lt;75,CT90,CU90))</f>
        <v/>
      </c>
      <c r="DE90" s="37">
        <f>CV90*(Summary!$C$31="Y")+(Summary!$C$31="Y")*(CW90*(Pre_MDep&gt;=1)+CX90*MAX(Pre_MDep-1,0))</f>
        <v/>
      </c>
      <c r="DF90" s="599">
        <f>IFERROR(MAX(DB90*(CZ90-DA90)+DC90-DD90-DE90*12,0),"")</f>
        <v/>
      </c>
      <c r="DG90" s="602" t="n"/>
      <c r="DH90" s="37" t="n"/>
      <c r="DI90" s="37" t="n"/>
      <c r="DJ90" s="37">
        <f t="array" ref="DJ90">IFERROR(INDEX(Tax_Tables[Percentages],$CK90+MATCH($DI90,$CL90:$CR90,0)-1),"")</f>
        <v/>
      </c>
      <c r="DK90" s="37">
        <f t="array" ref="DK90">IFERROR(INDEX(Tax_Tables[Tax],$CK90+MATCH($DI90,$CL90:$CR90,0)-1),"")</f>
        <v/>
      </c>
      <c r="DL90" s="37">
        <f>CV90*(Summary!$C$81="Y")+(Summary!$C$81="Y")*(CW90*(Post_MDep&gt;=1)+CX90*MAX(Post_MDep-1,0))</f>
        <v/>
      </c>
      <c r="DM90" s="599">
        <f>IFERROR(MAX(DJ90*(DH90-DI90)+DK90-DD90-DL90*12,0),"")</f>
        <v/>
      </c>
      <c r="DN90" s="37" t="n"/>
      <c r="DO90" s="37" t="n"/>
      <c r="DP90" s="37" t="n"/>
      <c r="DQ90" s="37" t="n"/>
      <c r="DR90" s="37" t="n"/>
      <c r="DS90" s="37" t="n"/>
      <c r="DT90" s="37" t="n"/>
      <c r="DU90" s="37" t="n"/>
      <c r="DV90" s="37" t="n"/>
      <c r="DW90" s="37" t="n"/>
      <c r="DX90" s="37" t="n"/>
      <c r="DY90" s="131" t="n"/>
      <c r="DZ90" s="37" t="n"/>
      <c r="EA90" s="37" t="n"/>
      <c r="EB90" s="37" t="n"/>
      <c r="EC90" s="37" t="n"/>
      <c r="ED90" s="35" t="n"/>
      <c r="EE90" s="595" t="n"/>
      <c r="EF90" s="25" t="n"/>
    </row>
    <row r="91">
      <c r="V91" s="6" t="n"/>
      <c r="X91" s="569" t="n"/>
      <c r="Y91" s="25" t="n"/>
      <c r="Z91" s="590" t="n"/>
      <c r="AA91" s="25" t="n"/>
      <c r="AB91" s="26" t="n"/>
      <c r="AC91" s="26" t="n"/>
      <c r="AD91" s="26" t="n"/>
      <c r="AE91" s="26" t="n"/>
      <c r="AF91" s="26" t="n"/>
      <c r="AG91" s="26" t="n"/>
      <c r="AH91" s="26" t="n"/>
      <c r="AI91" s="590">
        <f>(AB91&lt;&gt;0)*12*allow_2</f>
        <v/>
      </c>
      <c r="AJ91" s="26" t="n"/>
      <c r="AK91" s="581">
        <f>IF(YEAR(W91)&lt;=Ret_Yr_pre,SUM(AC91:AJ91),0)*IF($W91=Ret_Yr_pre,X91,1)</f>
        <v/>
      </c>
      <c r="AL91" s="581">
        <f>IF($W91&gt;=Ret_Yr_pre,pens_Pre*(GEPF_pre="Y"),0)*IF($W91=Ret_Yr_pre,1-$X91,1)*IF(Ret_Yr_pre&lt;Current,(_xlfn.IFNA(VLOOKUP($D91,CPI!$A:$E,2,FALSE),VLOOKUP(Current,CPI!$A:$E,2,FALSE))/VLOOKUP(Ret_Yr_pre,CPI!$A:$E,2,FALSE)),1)</f>
        <v/>
      </c>
      <c r="AM91" s="590">
        <f>$AC91*ee*IF($W91=Ret_Yr_pre,$X91,1)</f>
        <v/>
      </c>
      <c r="AN91" s="590">
        <f>$AC91*er*IF($W91=Ret_Yr_pre,$X91,1)</f>
        <v/>
      </c>
      <c r="AO91" s="590">
        <f>IF('LOE Sc1'!$W91=Ret_Yr_pre,Gratuity_Pre*(GEPF_pre="Y"),0)</f>
        <v/>
      </c>
      <c r="AP91" s="581">
        <f>AK91+AL91-$AM91-AN91*(GEPF_pre="Y")</f>
        <v/>
      </c>
      <c r="AQ91" s="26" t="n"/>
      <c r="AR91" s="101" t="n"/>
      <c r="AS91" s="106" t="n"/>
      <c r="AT91" s="25" t="n"/>
      <c r="AU91" s="31">
        <f>W91</f>
        <v/>
      </c>
      <c r="AV91" s="569" t="n"/>
      <c r="AW91" s="25" t="n"/>
      <c r="AX91" s="26" t="n"/>
      <c r="AY91" s="26" t="n"/>
      <c r="AZ91" s="26" t="n"/>
      <c r="BA91" s="26" t="n"/>
      <c r="BB91" s="26" t="n"/>
      <c r="BC91" s="26" t="n"/>
      <c r="BD91" s="26" t="n"/>
      <c r="BE91" s="26" t="n"/>
      <c r="BF91" s="26" t="n"/>
      <c r="BG91" s="581">
        <f>IF(YEAR($V91)&lt;=Ret_Yr_post,SUM(AY91:BF91),0)*IF($W91=Ret_Yr_post,AV91,1)</f>
        <v/>
      </c>
      <c r="BH91" s="581">
        <f>IF($W91&gt;=Ret_Yr_post,pens_Post*(GEPF_pre="Y"),0)*IF($W91=Ret_Yr_post,1-$AV91,1)*IF(Ret_Yr_post&lt;Current,(_xlfn.IFNA(VLOOKUP($D91,CPI!$A:$E,2,FALSE),VLOOKUP(Current,CPI!$A:$E,2,FALSE))/VLOOKUP(Ret_Yr_post,CPI!$A:$E,2,FALSE)),1)</f>
        <v/>
      </c>
      <c r="BI91" s="590">
        <f>$AY91*ee_post*IF($W91=Ret_Yr_post,$AV91,1)</f>
        <v/>
      </c>
      <c r="BJ91" s="590">
        <f>$AY91*er_post*IF($W91=Ret_Yr_post,$AV91,1)</f>
        <v/>
      </c>
      <c r="BK91" s="590">
        <f>IF('LOE Sc1'!$W91=Ret_Yr_post,Gratuity_Post*(GEPF_post="Y"),0)</f>
        <v/>
      </c>
      <c r="BL91" s="581">
        <f>BG91+BH91-BI91-BJ91*(GEPF_post="Y")</f>
        <v/>
      </c>
      <c r="BM91" s="26" t="n"/>
      <c r="BN91" s="101" t="n"/>
      <c r="BO91" s="591" t="n"/>
      <c r="BP91" s="26" t="n"/>
      <c r="BQ91" s="26" t="n"/>
      <c r="BR91" s="26" t="n"/>
      <c r="BS91" s="26" t="n"/>
      <c r="BT91" s="614" t="n"/>
      <c r="BU91" s="614" t="n"/>
      <c r="BV91" s="593" t="n"/>
      <c r="BW91" s="614" t="n"/>
      <c r="BX91" s="614" t="n"/>
      <c r="BY91" s="615" t="n"/>
      <c r="BZ91" s="614" t="n"/>
      <c r="CA91" s="592">
        <f>IF($E91="FL",$AR91*$BQ91*$BR91*$BU91,$AR91)</f>
        <v/>
      </c>
      <c r="CB91" s="592">
        <f>IF($E91="FL",$BN91*$BQ91*$BR91*$BX91,$BN91)</f>
        <v/>
      </c>
      <c r="CC91" s="592" t="n"/>
      <c r="CD91" s="592">
        <f>IF($E91="FL",$CA91*(1-pre_FL),$CA91*(1-pre_PL))</f>
        <v/>
      </c>
      <c r="CE91" s="592">
        <f>IF($E91="FL",$CB91*(1-post_FL),$CB91*(1-post_PL))</f>
        <v/>
      </c>
      <c r="CF91" s="592" t="n"/>
      <c r="CG91" s="37" t="n"/>
      <c r="CH91" s="37" t="n"/>
      <c r="CI91" s="128" t="n"/>
      <c r="CJ91" s="37" t="n"/>
      <c r="CK91" s="37" t="n"/>
      <c r="CL91" s="37" t="n"/>
      <c r="CM91" s="37" t="n"/>
      <c r="CN91" s="37" t="n"/>
      <c r="CO91" s="37" t="n"/>
      <c r="CP91" s="37" t="n"/>
      <c r="CQ91" s="37" t="n"/>
      <c r="CR91" s="37" t="n"/>
      <c r="CS91" s="37" t="n"/>
      <c r="CT91" s="37" t="n"/>
      <c r="CU91" s="37" t="n"/>
      <c r="CV91" s="37" t="n"/>
      <c r="CW91" s="37" t="n"/>
      <c r="CX91" s="37" t="n"/>
      <c r="CY91" s="484">
        <f>Y91</f>
        <v/>
      </c>
      <c r="CZ91" s="37" t="n"/>
      <c r="DA91" s="37" t="n"/>
      <c r="DB91" s="37">
        <f t="array" ref="DB91">IFERROR(INDEX(Tax_Tables[Percentages],$CK91+MATCH($DA91,$CL91:$CR91,0)-1),"")</f>
        <v/>
      </c>
      <c r="DC91" s="37">
        <f t="array" ref="DC91">IFERROR(INDEX(Tax_Tables[Tax],$CK91+MATCH($DA91,$CL91:$CR91,0)-1),"")</f>
        <v/>
      </c>
      <c r="DD91" s="37">
        <f>IF(CY91&lt;65,CS91,IF(CY91&lt;75,CT91,CU91))</f>
        <v/>
      </c>
      <c r="DE91" s="37">
        <f>CV91*(Summary!$C$31="Y")+(Summary!$C$31="Y")*(CW91*(Pre_MDep&gt;=1)+CX91*MAX(Pre_MDep-1,0))</f>
        <v/>
      </c>
      <c r="DF91" s="599">
        <f>IFERROR(MAX(DB91*(CZ91-DA91)+DC91-DD91-DE91*12,0),"")</f>
        <v/>
      </c>
      <c r="DG91" s="602" t="n"/>
      <c r="DH91" s="37" t="n"/>
      <c r="DI91" s="37" t="n"/>
      <c r="DJ91" s="37">
        <f t="array" ref="DJ91">IFERROR(INDEX(Tax_Tables[Percentages],$CK91+MATCH($DI91,$CL91:$CR91,0)-1),"")</f>
        <v/>
      </c>
      <c r="DK91" s="37">
        <f t="array" ref="DK91">IFERROR(INDEX(Tax_Tables[Tax],$CK91+MATCH($DI91,$CL91:$CR91,0)-1),"")</f>
        <v/>
      </c>
      <c r="DL91" s="37">
        <f>CV91*(Summary!$C$81="Y")+(Summary!$C$81="Y")*(CW91*(Post_MDep&gt;=1)+CX91*MAX(Post_MDep-1,0))</f>
        <v/>
      </c>
      <c r="DM91" s="599">
        <f>IFERROR(MAX(DJ91*(DH91-DI91)+DK91-DD91-DL91*12,0),"")</f>
        <v/>
      </c>
      <c r="DN91" s="37" t="n"/>
      <c r="DO91" s="37" t="n"/>
      <c r="DP91" s="37" t="n"/>
      <c r="DQ91" s="37" t="n"/>
      <c r="DR91" s="37" t="n"/>
      <c r="DS91" s="37" t="n"/>
      <c r="DT91" s="37" t="n"/>
      <c r="DU91" s="37" t="n"/>
      <c r="DV91" s="37" t="n"/>
      <c r="DW91" s="37" t="n"/>
      <c r="DX91" s="37" t="n"/>
      <c r="DY91" s="131" t="n"/>
      <c r="DZ91" s="37" t="n"/>
      <c r="EA91" s="37" t="n"/>
      <c r="EB91" s="37" t="n"/>
      <c r="EC91" s="37" t="n"/>
      <c r="ED91" s="35" t="n"/>
      <c r="EE91" s="595" t="n"/>
      <c r="EF91" s="25" t="n"/>
    </row>
    <row r="92">
      <c r="V92" s="6" t="n"/>
      <c r="X92" s="569" t="n"/>
      <c r="Y92" s="25" t="n"/>
      <c r="Z92" s="590" t="n"/>
      <c r="AA92" s="25" t="n"/>
      <c r="AB92" s="26" t="n"/>
      <c r="AC92" s="26" t="n"/>
      <c r="AD92" s="26" t="n"/>
      <c r="AE92" s="26" t="n"/>
      <c r="AF92" s="26" t="n"/>
      <c r="AG92" s="26" t="n"/>
      <c r="AH92" s="26" t="n"/>
      <c r="AI92" s="590">
        <f>(AB92&lt;&gt;0)*12*allow_2</f>
        <v/>
      </c>
      <c r="AJ92" s="26" t="n"/>
      <c r="AK92" s="581">
        <f>IF(YEAR(W92)&lt;=Ret_Yr_pre,SUM(AC92:AJ92),0)*IF($W92=Ret_Yr_pre,X92,1)</f>
        <v/>
      </c>
      <c r="AL92" s="581">
        <f>IF($W92&gt;=Ret_Yr_pre,pens_Pre*(GEPF_pre="Y"),0)*IF($W92=Ret_Yr_pre,1-$X92,1)*IF(Ret_Yr_pre&lt;Current,(_xlfn.IFNA(VLOOKUP($D92,CPI!$A:$E,2,FALSE),VLOOKUP(Current,CPI!$A:$E,2,FALSE))/VLOOKUP(Ret_Yr_pre,CPI!$A:$E,2,FALSE)),1)</f>
        <v/>
      </c>
      <c r="AM92" s="590">
        <f>$AC92*ee*IF($W92=Ret_Yr_pre,$X92,1)</f>
        <v/>
      </c>
      <c r="AN92" s="590">
        <f>$AC92*er*IF($W92=Ret_Yr_pre,$X92,1)</f>
        <v/>
      </c>
      <c r="AO92" s="590">
        <f>IF('LOE Sc1'!$W92=Ret_Yr_pre,Gratuity_Pre*(GEPF_pre="Y"),0)</f>
        <v/>
      </c>
      <c r="AP92" s="581">
        <f>AK92+AL92-$AM92-AN92*(GEPF_pre="Y")</f>
        <v/>
      </c>
      <c r="AQ92" s="26" t="n"/>
      <c r="AR92" s="101" t="n"/>
      <c r="AS92" s="106" t="n"/>
      <c r="AT92" s="25" t="n"/>
      <c r="AU92" s="31">
        <f>W92</f>
        <v/>
      </c>
      <c r="AV92" s="569" t="n"/>
      <c r="AW92" s="25" t="n"/>
      <c r="AX92" s="26" t="n"/>
      <c r="AY92" s="26" t="n"/>
      <c r="AZ92" s="26" t="n"/>
      <c r="BA92" s="26" t="n"/>
      <c r="BB92" s="26" t="n"/>
      <c r="BC92" s="26" t="n"/>
      <c r="BD92" s="26" t="n"/>
      <c r="BE92" s="26" t="n"/>
      <c r="BF92" s="26" t="n"/>
      <c r="BG92" s="581">
        <f>IF(YEAR($V92)&lt;=Ret_Yr_post,SUM(AY92:BF92),0)*IF($W92=Ret_Yr_post,AV92,1)</f>
        <v/>
      </c>
      <c r="BH92" s="581">
        <f>IF($W92&gt;=Ret_Yr_post,pens_Post*(GEPF_pre="Y"),0)*IF($W92=Ret_Yr_post,1-$AV92,1)*IF(Ret_Yr_post&lt;Current,(_xlfn.IFNA(VLOOKUP($D92,CPI!$A:$E,2,FALSE),VLOOKUP(Current,CPI!$A:$E,2,FALSE))/VLOOKUP(Ret_Yr_post,CPI!$A:$E,2,FALSE)),1)</f>
        <v/>
      </c>
      <c r="BI92" s="590">
        <f>$AY92*ee_post*IF($W92=Ret_Yr_post,$AV92,1)</f>
        <v/>
      </c>
      <c r="BJ92" s="590">
        <f>$AY92*er_post*IF($W92=Ret_Yr_post,$AV92,1)</f>
        <v/>
      </c>
      <c r="BK92" s="590">
        <f>IF('LOE Sc1'!$W92=Ret_Yr_post,Gratuity_Post*(GEPF_post="Y"),0)</f>
        <v/>
      </c>
      <c r="BL92" s="581">
        <f>BG92+BH92-BI92-BJ92*(GEPF_post="Y")</f>
        <v/>
      </c>
      <c r="BM92" s="26" t="n"/>
      <c r="BN92" s="101" t="n"/>
      <c r="BO92" s="591" t="n"/>
      <c r="BP92" s="26" t="n"/>
      <c r="BQ92" s="26" t="n"/>
      <c r="BR92" s="26" t="n"/>
      <c r="BS92" s="26" t="n"/>
      <c r="BT92" s="614" t="n"/>
      <c r="BU92" s="614" t="n"/>
      <c r="BV92" s="593" t="n"/>
      <c r="BW92" s="614" t="n"/>
      <c r="BX92" s="614" t="n"/>
      <c r="BY92" s="615" t="n"/>
      <c r="BZ92" s="614" t="n"/>
      <c r="CA92" s="592">
        <f>IF($E92="FL",$AR92*$BQ92*$BR92*$BU92,$AR92)</f>
        <v/>
      </c>
      <c r="CB92" s="592">
        <f>IF($E92="FL",$BN92*$BQ92*$BR92*$BX92,$BN92)</f>
        <v/>
      </c>
      <c r="CC92" s="592" t="n"/>
      <c r="CD92" s="592">
        <f>IF($E92="FL",$CA92*(1-pre_FL),$CA92*(1-pre_PL))</f>
        <v/>
      </c>
      <c r="CE92" s="592">
        <f>IF($E92="FL",$CB92*(1-post_FL),$CB92*(1-post_PL))</f>
        <v/>
      </c>
      <c r="CF92" s="592" t="n"/>
      <c r="CG92" s="37" t="n"/>
      <c r="CH92" s="37" t="n"/>
      <c r="CI92" s="128" t="n"/>
      <c r="CJ92" s="37" t="n"/>
      <c r="CK92" s="37" t="n"/>
      <c r="CL92" s="37" t="n"/>
      <c r="CM92" s="37" t="n"/>
      <c r="CN92" s="37" t="n"/>
      <c r="CO92" s="37" t="n"/>
      <c r="CP92" s="37" t="n"/>
      <c r="CQ92" s="37" t="n"/>
      <c r="CR92" s="37" t="n"/>
      <c r="CS92" s="37" t="n"/>
      <c r="CT92" s="37" t="n"/>
      <c r="CU92" s="37" t="n"/>
      <c r="CV92" s="37" t="n"/>
      <c r="CW92" s="37" t="n"/>
      <c r="CX92" s="37" t="n"/>
      <c r="CY92" s="484">
        <f>Y92</f>
        <v/>
      </c>
      <c r="CZ92" s="37" t="n"/>
      <c r="DA92" s="37" t="n"/>
      <c r="DB92" s="37">
        <f t="array" ref="DB92">IFERROR(INDEX(Tax_Tables[Percentages],$CK92+MATCH($DA92,$CL92:$CR92,0)-1),"")</f>
        <v/>
      </c>
      <c r="DC92" s="37">
        <f t="array" ref="DC92">IFERROR(INDEX(Tax_Tables[Tax],$CK92+MATCH($DA92,$CL92:$CR92,0)-1),"")</f>
        <v/>
      </c>
      <c r="DD92" s="37">
        <f>IF(CY92&lt;65,CS92,IF(CY92&lt;75,CT92,CU92))</f>
        <v/>
      </c>
      <c r="DE92" s="37">
        <f>CV92*(Summary!$C$31="Y")+(Summary!$C$31="Y")*(CW92*(Pre_MDep&gt;=1)+CX92*MAX(Pre_MDep-1,0))</f>
        <v/>
      </c>
      <c r="DF92" s="599">
        <f>IFERROR(MAX(DB92*(CZ92-DA92)+DC92-DD92-DE92*12,0),"")</f>
        <v/>
      </c>
      <c r="DG92" s="602" t="n"/>
      <c r="DH92" s="37" t="n"/>
      <c r="DI92" s="37" t="n"/>
      <c r="DJ92" s="37">
        <f t="array" ref="DJ92">IFERROR(INDEX(Tax_Tables[Percentages],$CK92+MATCH($DI92,$CL92:$CR92,0)-1),"")</f>
        <v/>
      </c>
      <c r="DK92" s="37">
        <f t="array" ref="DK92">IFERROR(INDEX(Tax_Tables[Tax],$CK92+MATCH($DI92,$CL92:$CR92,0)-1),"")</f>
        <v/>
      </c>
      <c r="DL92" s="37">
        <f>CV92*(Summary!$C$81="Y")+(Summary!$C$81="Y")*(CW92*(Post_MDep&gt;=1)+CX92*MAX(Post_MDep-1,0))</f>
        <v/>
      </c>
      <c r="DM92" s="599">
        <f>IFERROR(MAX(DJ92*(DH92-DI92)+DK92-DD92-DL92*12,0),"")</f>
        <v/>
      </c>
      <c r="DN92" s="37" t="n"/>
      <c r="DO92" s="37" t="n"/>
      <c r="DP92" s="37" t="n"/>
      <c r="DQ92" s="37" t="n"/>
      <c r="DR92" s="37" t="n"/>
      <c r="DS92" s="37" t="n"/>
      <c r="DT92" s="37" t="n"/>
      <c r="DU92" s="37" t="n"/>
      <c r="DV92" s="37" t="n"/>
      <c r="DW92" s="37" t="n"/>
      <c r="DX92" s="37" t="n"/>
      <c r="DY92" s="131" t="n"/>
      <c r="DZ92" s="37" t="n"/>
      <c r="EA92" s="37" t="n"/>
      <c r="EB92" s="37" t="n"/>
      <c r="EC92" s="37" t="n"/>
      <c r="ED92" s="35" t="n"/>
      <c r="EE92" s="595" t="n"/>
      <c r="EF92" s="25" t="n"/>
    </row>
    <row r="93">
      <c r="V93" s="6" t="n"/>
      <c r="X93" s="569" t="n"/>
      <c r="Y93" s="25" t="n"/>
      <c r="Z93" s="590" t="n"/>
      <c r="AA93" s="25" t="n"/>
      <c r="AB93" s="26" t="n"/>
      <c r="AC93" s="26" t="n"/>
      <c r="AD93" s="26" t="n"/>
      <c r="AE93" s="26" t="n"/>
      <c r="AF93" s="26" t="n"/>
      <c r="AG93" s="26" t="n"/>
      <c r="AH93" s="26" t="n"/>
      <c r="AI93" s="590">
        <f>(AB93&lt;&gt;0)*12*allow_2</f>
        <v/>
      </c>
      <c r="AJ93" s="26" t="n"/>
      <c r="AK93" s="581">
        <f>IF(YEAR(W93)&lt;=Ret_Yr_pre,SUM(AC93:AJ93),0)*IF($W93=Ret_Yr_pre,X93,1)</f>
        <v/>
      </c>
      <c r="AL93" s="581">
        <f>IF($W93&gt;=Ret_Yr_pre,pens_Pre*(GEPF_pre="Y"),0)*IF($W93=Ret_Yr_pre,1-$X93,1)*IF(Ret_Yr_pre&lt;Current,(_xlfn.IFNA(VLOOKUP($D93,CPI!$A:$E,2,FALSE),VLOOKUP(Current,CPI!$A:$E,2,FALSE))/VLOOKUP(Ret_Yr_pre,CPI!$A:$E,2,FALSE)),1)</f>
        <v/>
      </c>
      <c r="AM93" s="590">
        <f>$AC93*ee*IF($W93=Ret_Yr_pre,$X93,1)</f>
        <v/>
      </c>
      <c r="AN93" s="590">
        <f>$AC93*er*IF($W93=Ret_Yr_pre,$X93,1)</f>
        <v/>
      </c>
      <c r="AO93" s="590">
        <f>IF('LOE Sc1'!$W93=Ret_Yr_pre,Gratuity_Pre*(GEPF_pre="Y"),0)</f>
        <v/>
      </c>
      <c r="AP93" s="581">
        <f>AK93+AL93-$AM93-AN93*(GEPF_pre="Y")</f>
        <v/>
      </c>
      <c r="AQ93" s="26" t="n"/>
      <c r="AR93" s="101" t="n"/>
      <c r="AS93" s="106" t="n"/>
      <c r="AT93" s="25" t="n"/>
      <c r="AU93" s="31">
        <f>W93</f>
        <v/>
      </c>
      <c r="AV93" s="569" t="n"/>
      <c r="AW93" s="25" t="n"/>
      <c r="AX93" s="26" t="n"/>
      <c r="AY93" s="26" t="n"/>
      <c r="AZ93" s="26" t="n"/>
      <c r="BA93" s="26" t="n"/>
      <c r="BB93" s="26" t="n"/>
      <c r="BC93" s="26" t="n"/>
      <c r="BD93" s="26" t="n"/>
      <c r="BE93" s="26" t="n"/>
      <c r="BF93" s="26" t="n"/>
      <c r="BG93" s="581">
        <f>IF(YEAR($V93)&lt;=Ret_Yr_post,SUM(AY93:BF93),0)*IF($W93=Ret_Yr_post,AV93,1)</f>
        <v/>
      </c>
      <c r="BH93" s="581">
        <f>IF($W93&gt;=Ret_Yr_post,pens_Post*(GEPF_pre="Y"),0)*IF($W93=Ret_Yr_post,1-$AV93,1)*IF(Ret_Yr_post&lt;Current,(_xlfn.IFNA(VLOOKUP($D93,CPI!$A:$E,2,FALSE),VLOOKUP(Current,CPI!$A:$E,2,FALSE))/VLOOKUP(Ret_Yr_post,CPI!$A:$E,2,FALSE)),1)</f>
        <v/>
      </c>
      <c r="BI93" s="590">
        <f>$AY93*ee_post*IF($W93=Ret_Yr_post,$AV93,1)</f>
        <v/>
      </c>
      <c r="BJ93" s="590">
        <f>$AY93*er_post*IF($W93=Ret_Yr_post,$AV93,1)</f>
        <v/>
      </c>
      <c r="BK93" s="590">
        <f>IF('LOE Sc1'!$W93=Ret_Yr_post,Gratuity_Post*(GEPF_post="Y"),0)</f>
        <v/>
      </c>
      <c r="BL93" s="581">
        <f>BG93+BH93-BI93-BJ93*(GEPF_post="Y")</f>
        <v/>
      </c>
      <c r="BM93" s="26" t="n"/>
      <c r="BN93" s="101" t="n"/>
      <c r="BO93" s="591" t="n"/>
      <c r="BP93" s="26" t="n"/>
      <c r="BQ93" s="26" t="n"/>
      <c r="BR93" s="26" t="n"/>
      <c r="BS93" s="26" t="n"/>
      <c r="BT93" s="614" t="n"/>
      <c r="BU93" s="614" t="n"/>
      <c r="BV93" s="593" t="n"/>
      <c r="BW93" s="614" t="n"/>
      <c r="BX93" s="614" t="n"/>
      <c r="BY93" s="615" t="n"/>
      <c r="BZ93" s="614" t="n"/>
      <c r="CA93" s="592">
        <f>IF($E93="FL",$AR93*$BQ93*$BR93*$BU93,$AR93)</f>
        <v/>
      </c>
      <c r="CB93" s="592">
        <f>IF($E93="FL",$BN93*$BQ93*$BR93*$BX93,$BN93)</f>
        <v/>
      </c>
      <c r="CC93" s="592" t="n"/>
      <c r="CD93" s="592" t="n"/>
      <c r="CE93" s="592" t="n"/>
      <c r="CF93" s="592" t="n"/>
      <c r="CG93" s="37" t="n"/>
      <c r="CH93" s="37" t="n"/>
      <c r="CI93" s="128" t="n"/>
      <c r="CJ93" s="37" t="n"/>
      <c r="CK93" s="37" t="n"/>
      <c r="CL93" s="37" t="n"/>
      <c r="CM93" s="37" t="n"/>
      <c r="CN93" s="37" t="n"/>
      <c r="CO93" s="37" t="n"/>
      <c r="CP93" s="37" t="n"/>
      <c r="CQ93" s="37" t="n"/>
      <c r="CR93" s="37" t="n"/>
      <c r="CS93" s="37" t="n"/>
      <c r="CT93" s="37" t="n"/>
      <c r="CU93" s="37" t="n"/>
      <c r="CV93" s="37" t="n"/>
      <c r="CW93" s="37" t="n"/>
      <c r="CX93" s="37" t="n"/>
      <c r="CY93" s="484">
        <f>Y93</f>
        <v/>
      </c>
      <c r="CZ93" s="37" t="n"/>
      <c r="DA93" s="37" t="n"/>
      <c r="DB93" s="37">
        <f t="array" ref="DB93">IFERROR(INDEX(Tax_Tables[Percentages],$CK93+MATCH($DA93,$CL93:$CR93,0)-1),"")</f>
        <v/>
      </c>
      <c r="DC93" s="37">
        <f t="array" ref="DC93">IFERROR(INDEX(Tax_Tables[Tax],$CK93+MATCH($DA93,$CL93:$CR93,0)-1),"")</f>
        <v/>
      </c>
      <c r="DD93" s="37">
        <f>IF(CY93&lt;65,CS93,IF(CY93&lt;75,CT93,CU93))</f>
        <v/>
      </c>
      <c r="DE93" s="37">
        <f>CV93*(Summary!$C$31="Y")+(Summary!$C$31="Y")*(CW93*(Pre_MDep&gt;=1)+CX93*MAX(Pre_MDep-1,0))</f>
        <v/>
      </c>
      <c r="DF93" s="599">
        <f>IFERROR(MAX(DB93*(CZ93-DA93)+DC93-DD93-DE93*12,0),"")</f>
        <v/>
      </c>
      <c r="DG93" s="602" t="n"/>
      <c r="DH93" s="37" t="n"/>
      <c r="DI93" s="37" t="n"/>
      <c r="DJ93" s="37">
        <f t="array" ref="DJ93">IFERROR(INDEX(Tax_Tables[Percentages],$CK93+MATCH($DI93,$CL93:$CR93,0)-1),"")</f>
        <v/>
      </c>
      <c r="DK93" s="37">
        <f t="array" ref="DK93">IFERROR(INDEX(Tax_Tables[Tax],$CK93+MATCH($DI93,$CL93:$CR93,0)-1),"")</f>
        <v/>
      </c>
      <c r="DL93" s="37">
        <f>CV93*(Summary!$C$81="Y")+(Summary!$C$81="Y")*(CW93*(Post_MDep&gt;=1)+CX93*MAX(Post_MDep-1,0))</f>
        <v/>
      </c>
      <c r="DM93" s="599">
        <f>IFERROR(MAX(DJ93*(DH93-DI93)+DK93-DD93-DL93*12,0),"")</f>
        <v/>
      </c>
      <c r="DN93" s="37" t="n"/>
      <c r="DO93" s="37" t="n"/>
      <c r="DP93" s="37" t="n"/>
      <c r="DQ93" s="37" t="n"/>
      <c r="DR93" s="37" t="n"/>
      <c r="DS93" s="37" t="n"/>
      <c r="DT93" s="37" t="n"/>
      <c r="DU93" s="37" t="n"/>
      <c r="DV93" s="37" t="n"/>
      <c r="DW93" s="37" t="n"/>
      <c r="DX93" s="37" t="n"/>
      <c r="DY93" s="131" t="n"/>
      <c r="DZ93" s="37" t="n"/>
      <c r="EA93" s="37" t="n"/>
      <c r="EB93" s="37" t="n"/>
      <c r="EC93" s="37" t="n"/>
      <c r="ED93" s="35" t="n"/>
      <c r="EE93" s="595" t="n"/>
      <c r="EF93" s="25" t="n"/>
    </row>
    <row r="94">
      <c r="V94" s="6" t="n"/>
      <c r="X94" s="569" t="n"/>
      <c r="Y94" s="25" t="n"/>
      <c r="Z94" s="590" t="n"/>
      <c r="AA94" s="25" t="n"/>
      <c r="AB94" s="26" t="n"/>
      <c r="AC94" s="26" t="n"/>
      <c r="AD94" s="26" t="n"/>
      <c r="AE94" s="26" t="n"/>
      <c r="AF94" s="26" t="n"/>
      <c r="AG94" s="26" t="n"/>
      <c r="AH94" s="26" t="n"/>
      <c r="AI94" s="590">
        <f>(AB94&lt;&gt;0)*12*allow_2</f>
        <v/>
      </c>
      <c r="AJ94" s="26" t="n"/>
      <c r="AK94" s="581">
        <f>IF(YEAR(W94)&lt;=Ret_Yr_pre,SUM(AC94:AJ94),0)*IF($W94=Ret_Yr_pre,X94,1)</f>
        <v/>
      </c>
      <c r="AL94" s="581">
        <f>IF($W94&gt;=Ret_Yr_pre,pens_Pre*(GEPF_pre="Y"),0)*IF($W94=Ret_Yr_pre,1-$X94,1)*IF(Ret_Yr_pre&lt;Current,(_xlfn.IFNA(VLOOKUP($D94,CPI!$A:$E,2,FALSE),VLOOKUP(Current,CPI!$A:$E,2,FALSE))/VLOOKUP(Ret_Yr_pre,CPI!$A:$E,2,FALSE)),1)</f>
        <v/>
      </c>
      <c r="AM94" s="590">
        <f>$AC94*ee*IF($W94=Ret_Yr_pre,$X94,1)</f>
        <v/>
      </c>
      <c r="AN94" s="590">
        <f>$AC94*er*IF($W94=Ret_Yr_pre,$X94,1)</f>
        <v/>
      </c>
      <c r="AO94" s="590">
        <f>IF('LOE Sc1'!$W94=Ret_Yr_pre,Gratuity_Pre*(GEPF_pre="Y"),0)</f>
        <v/>
      </c>
      <c r="AP94" s="581">
        <f>AK94+AL94-$AM94-AN94*(GEPF_pre="Y")</f>
        <v/>
      </c>
      <c r="AQ94" s="26" t="n"/>
      <c r="AR94" s="101" t="n"/>
      <c r="AS94" s="106" t="n"/>
      <c r="AT94" s="25" t="n"/>
      <c r="AU94" s="31">
        <f>W94</f>
        <v/>
      </c>
      <c r="AV94" s="569" t="n"/>
      <c r="AW94" s="25" t="n"/>
      <c r="AX94" s="26" t="n"/>
      <c r="AY94" s="26" t="n"/>
      <c r="AZ94" s="26" t="n"/>
      <c r="BA94" s="26" t="n"/>
      <c r="BB94" s="26" t="n"/>
      <c r="BC94" s="26" t="n"/>
      <c r="BD94" s="26" t="n"/>
      <c r="BE94" s="26" t="n"/>
      <c r="BF94" s="26" t="n"/>
      <c r="BG94" s="581">
        <f>IF(YEAR($V94)&lt;=Ret_Yr_post,SUM(AY94:BF94),0)*IF($W94=Ret_Yr_post,AV94,1)</f>
        <v/>
      </c>
      <c r="BH94" s="581">
        <f>IF($W94&gt;=Ret_Yr_post,pens_Post*(GEPF_pre="Y"),0)*IF($W94=Ret_Yr_post,1-$AV94,1)*IF(Ret_Yr_post&lt;Current,(_xlfn.IFNA(VLOOKUP($D94,CPI!$A:$E,2,FALSE),VLOOKUP(Current,CPI!$A:$E,2,FALSE))/VLOOKUP(Ret_Yr_post,CPI!$A:$E,2,FALSE)),1)</f>
        <v/>
      </c>
      <c r="BI94" s="590">
        <f>$AY94*ee_post*IF($W94=Ret_Yr_post,$AV94,1)</f>
        <v/>
      </c>
      <c r="BJ94" s="590">
        <f>$AY94*er_post*IF($W94=Ret_Yr_post,$AV94,1)</f>
        <v/>
      </c>
      <c r="BK94" s="590">
        <f>IF('LOE Sc1'!$W94=Ret_Yr_post,Gratuity_Post*(GEPF_post="Y"),0)</f>
        <v/>
      </c>
      <c r="BL94" s="581">
        <f>BG94+BH94-BI94-BJ94*(GEPF_post="Y")</f>
        <v/>
      </c>
      <c r="BM94" s="26" t="n"/>
      <c r="BN94" s="101" t="n"/>
      <c r="BO94" s="591" t="n"/>
      <c r="BP94" s="26" t="n"/>
      <c r="BQ94" s="26" t="n"/>
      <c r="BR94" s="26" t="n"/>
      <c r="BS94" s="26" t="n"/>
      <c r="BT94" s="614" t="n"/>
      <c r="BU94" s="614" t="n"/>
      <c r="BV94" s="593" t="n"/>
      <c r="BW94" s="614" t="n"/>
      <c r="BX94" s="614" t="n"/>
      <c r="BY94" s="615" t="n"/>
      <c r="BZ94" s="614" t="n"/>
      <c r="CA94" s="592">
        <f>IF($E94="FL",$AR94*$BQ94*$BR94*$BU94,$AR94)</f>
        <v/>
      </c>
      <c r="CB94" s="592">
        <f>IF($E94="FL",$BN94*$BQ94*$BR94*$BX94,$BN94)</f>
        <v/>
      </c>
      <c r="CC94" s="592" t="n"/>
      <c r="CD94" s="592" t="n"/>
      <c r="CE94" s="592" t="n"/>
      <c r="CF94" s="592" t="n"/>
      <c r="CG94" s="37" t="n"/>
      <c r="CH94" s="37" t="n"/>
      <c r="CI94" s="128" t="n"/>
      <c r="CJ94" s="37" t="n"/>
      <c r="CK94" s="37" t="n"/>
      <c r="CL94" s="37" t="n"/>
      <c r="CM94" s="37" t="n"/>
      <c r="CN94" s="37" t="n"/>
      <c r="CO94" s="37" t="n"/>
      <c r="CP94" s="37" t="n"/>
      <c r="CQ94" s="37" t="n"/>
      <c r="CR94" s="37" t="n"/>
      <c r="CS94" s="37" t="n"/>
      <c r="CT94" s="37" t="n"/>
      <c r="CU94" s="37" t="n"/>
      <c r="CV94" s="37" t="n"/>
      <c r="CW94" s="37" t="n"/>
      <c r="CX94" s="37" t="n"/>
      <c r="CY94" s="484">
        <f>Y94</f>
        <v/>
      </c>
      <c r="CZ94" s="37" t="n"/>
      <c r="DA94" s="37" t="n"/>
      <c r="DB94" s="37">
        <f t="array" ref="DB94">IFERROR(INDEX(Tax_Tables[Percentages],$CK94+MATCH($DA94,$CL94:$CR94,0)-1),"")</f>
        <v/>
      </c>
      <c r="DC94" s="37">
        <f t="array" ref="DC94">IFERROR(INDEX(Tax_Tables[Tax],$CK94+MATCH($DA94,$CL94:$CR94,0)-1),"")</f>
        <v/>
      </c>
      <c r="DD94" s="37">
        <f>IF(CY94&lt;65,CS94,IF(CY94&lt;75,CT94,CU94))</f>
        <v/>
      </c>
      <c r="DE94" s="37">
        <f>CV94*(Summary!$C$31="Y")+(Summary!$C$31="Y")*(CW94*(Pre_MDep&gt;=1)+CX94*MAX(Pre_MDep-1,0))</f>
        <v/>
      </c>
      <c r="DF94" s="599">
        <f>IFERROR(MAX(DB94*(CZ94-DA94)+DC94-DD94-DE94*12,0),"")</f>
        <v/>
      </c>
      <c r="DG94" s="602" t="n"/>
      <c r="DH94" s="37" t="n"/>
      <c r="DI94" s="37" t="n"/>
      <c r="DJ94" s="37">
        <f t="array" ref="DJ94">IFERROR(INDEX(Tax_Tables[Percentages],$CK94+MATCH($DI94,$CL94:$CR94,0)-1),"")</f>
        <v/>
      </c>
      <c r="DK94" s="37">
        <f t="array" ref="DK94">IFERROR(INDEX(Tax_Tables[Tax],$CK94+MATCH($DI94,$CL94:$CR94,0)-1),"")</f>
        <v/>
      </c>
      <c r="DL94" s="37">
        <f>CV94*(Summary!$C$81="Y")+(Summary!$C$81="Y")*(CW94*(Post_MDep&gt;=1)+CX94*MAX(Post_MDep-1,0))</f>
        <v/>
      </c>
      <c r="DM94" s="599">
        <f>IFERROR(MAX(DJ94*(DH94-DI94)+DK94-DD94-DL94*12,0),"")</f>
        <v/>
      </c>
      <c r="DN94" s="37" t="n"/>
      <c r="DO94" s="37" t="n"/>
      <c r="DP94" s="37" t="n"/>
      <c r="DQ94" s="37" t="n"/>
      <c r="DR94" s="37" t="n"/>
      <c r="DS94" s="37" t="n"/>
      <c r="DT94" s="37" t="n"/>
      <c r="DU94" s="37" t="n"/>
      <c r="DV94" s="37" t="n"/>
      <c r="DW94" s="37" t="n"/>
      <c r="DX94" s="37" t="n"/>
      <c r="DY94" s="131" t="n"/>
      <c r="DZ94" s="37" t="n"/>
      <c r="EA94" s="37" t="n"/>
      <c r="EB94" s="37" t="n"/>
      <c r="EC94" s="37" t="n"/>
      <c r="ED94" s="35" t="n"/>
      <c r="EE94" s="595" t="n"/>
      <c r="EF94" s="25" t="n"/>
    </row>
    <row r="95">
      <c r="V95" s="6" t="n"/>
      <c r="X95" s="569" t="n"/>
      <c r="Y95" s="25" t="n"/>
      <c r="Z95" s="590" t="n"/>
      <c r="AA95" s="25" t="n"/>
      <c r="AB95" s="26" t="n"/>
      <c r="AC95" s="26" t="n"/>
      <c r="AD95" s="26" t="n"/>
      <c r="AE95" s="26" t="n"/>
      <c r="AF95" s="26" t="n"/>
      <c r="AG95" s="26" t="n"/>
      <c r="AH95" s="26" t="n"/>
      <c r="AI95" s="590">
        <f>(AB95&lt;&gt;0)*12*allow_2</f>
        <v/>
      </c>
      <c r="AJ95" s="26" t="n"/>
      <c r="AK95" s="581">
        <f>IF(YEAR(W95)&lt;=Ret_Yr_pre,SUM(AC95:AJ95),0)*IF($W95=Ret_Yr_pre,X95,1)</f>
        <v/>
      </c>
      <c r="AL95" s="581">
        <f>IF($W95&gt;=Ret_Yr_pre,pens_Pre*(GEPF_pre="Y"),0)*IF($W95=Ret_Yr_pre,1-$X95,1)*IF(Ret_Yr_pre&lt;Current,(_xlfn.IFNA(VLOOKUP($D95,CPI!$A:$E,2,FALSE),VLOOKUP(Current,CPI!$A:$E,2,FALSE))/VLOOKUP(Ret_Yr_pre,CPI!$A:$E,2,FALSE)),1)</f>
        <v/>
      </c>
      <c r="AM95" s="590">
        <f>$AC95*ee*IF($W95=Ret_Yr_pre,$X95,1)</f>
        <v/>
      </c>
      <c r="AN95" s="590">
        <f>$AC95*er*IF($W95=Ret_Yr_pre,$X95,1)</f>
        <v/>
      </c>
      <c r="AO95" s="590">
        <f>IF('LOE Sc1'!$W95=Ret_Yr_pre,Gratuity_Pre*(GEPF_pre="Y"),0)</f>
        <v/>
      </c>
      <c r="AP95" s="581">
        <f>AK95+AL95-$AM95-AN95*(GEPF_pre="Y")</f>
        <v/>
      </c>
      <c r="AQ95" s="26" t="n"/>
      <c r="AR95" s="101" t="n"/>
      <c r="AS95" s="106" t="n"/>
      <c r="AT95" s="25" t="n"/>
      <c r="AU95" s="31">
        <f>W95</f>
        <v/>
      </c>
      <c r="AV95" s="569" t="n"/>
      <c r="AW95" s="25" t="n"/>
      <c r="AX95" s="26" t="n"/>
      <c r="AY95" s="26" t="n"/>
      <c r="AZ95" s="26" t="n"/>
      <c r="BA95" s="26" t="n"/>
      <c r="BB95" s="26" t="n"/>
      <c r="BC95" s="26" t="n"/>
      <c r="BD95" s="26" t="n"/>
      <c r="BE95" s="26" t="n"/>
      <c r="BF95" s="26" t="n"/>
      <c r="BG95" s="581">
        <f>IF(YEAR($V95)&lt;=Ret_Yr_post,SUM(AY95:BF95),0)*IF($W95=Ret_Yr_post,AV95,1)</f>
        <v/>
      </c>
      <c r="BH95" s="581">
        <f>IF($W95&gt;=Ret_Yr_post,pens_Post*(GEPF_pre="Y"),0)*IF($W95=Ret_Yr_post,1-$AV95,1)*IF(Ret_Yr_post&lt;Current,(_xlfn.IFNA(VLOOKUP($D95,CPI!$A:$E,2,FALSE),VLOOKUP(Current,CPI!$A:$E,2,FALSE))/VLOOKUP(Ret_Yr_post,CPI!$A:$E,2,FALSE)),1)</f>
        <v/>
      </c>
      <c r="BI95" s="590">
        <f>$AY95*ee_post*IF($W95=Ret_Yr_post,$AV95,1)</f>
        <v/>
      </c>
      <c r="BJ95" s="590">
        <f>$AY95*er_post*IF($W95=Ret_Yr_post,$AV95,1)</f>
        <v/>
      </c>
      <c r="BK95" s="590">
        <f>IF('LOE Sc1'!$W95=Ret_Yr_post,Gratuity_Post*(GEPF_post="Y"),0)</f>
        <v/>
      </c>
      <c r="BL95" s="581">
        <f>BG95+BH95-BI95-BJ95*(GEPF_post="Y")</f>
        <v/>
      </c>
      <c r="BM95" s="26" t="n"/>
      <c r="BN95" s="101" t="n"/>
      <c r="BO95" s="591" t="n"/>
      <c r="BP95" s="26" t="n"/>
      <c r="BQ95" s="26" t="n"/>
      <c r="BR95" s="26" t="n"/>
      <c r="BS95" s="26" t="n"/>
      <c r="BT95" s="614" t="n"/>
      <c r="BU95" s="614" t="n"/>
      <c r="BV95" s="593" t="n"/>
      <c r="BW95" s="614" t="n"/>
      <c r="BX95" s="614" t="n"/>
      <c r="BY95" s="615" t="n"/>
      <c r="BZ95" s="614" t="n"/>
      <c r="CA95" s="592">
        <f>IF($E95="FL",$AR95*$BQ95*$BR95*$BU95,$AR95)</f>
        <v/>
      </c>
      <c r="CB95" s="592">
        <f>IF($E95="FL",$BN95*$BQ95*$BR95*$BX95,$BN95)</f>
        <v/>
      </c>
      <c r="CC95" s="592" t="n"/>
      <c r="CD95" s="592" t="n"/>
      <c r="CE95" s="592" t="n"/>
      <c r="CF95" s="592" t="n"/>
      <c r="CG95" s="37" t="n"/>
      <c r="CH95" s="37" t="n"/>
      <c r="CI95" s="128" t="n"/>
      <c r="CJ95" s="37" t="n"/>
      <c r="CK95" s="37" t="n"/>
      <c r="CL95" s="37" t="n"/>
      <c r="CM95" s="37" t="n"/>
      <c r="CN95" s="37" t="n"/>
      <c r="CO95" s="37" t="n"/>
      <c r="CP95" s="37" t="n"/>
      <c r="CQ95" s="37" t="n"/>
      <c r="CR95" s="37" t="n"/>
      <c r="CS95" s="37" t="n"/>
      <c r="CT95" s="37" t="n"/>
      <c r="CU95" s="37" t="n"/>
      <c r="CV95" s="37" t="n"/>
      <c r="CW95" s="37" t="n"/>
      <c r="CX95" s="37" t="n"/>
      <c r="CY95" s="484">
        <f>Y95</f>
        <v/>
      </c>
      <c r="CZ95" s="37" t="n"/>
      <c r="DA95" s="37" t="n"/>
      <c r="DB95" s="37">
        <f t="array" ref="DB95">IFERROR(INDEX(Tax_Tables[Percentages],$CK95+MATCH($DA95,$CL95:$CR95,0)-1),"")</f>
        <v/>
      </c>
      <c r="DC95" s="37">
        <f t="array" ref="DC95">IFERROR(INDEX(Tax_Tables[Tax],$CK95+MATCH($DA95,$CL95:$CR95,0)-1),"")</f>
        <v/>
      </c>
      <c r="DD95" s="37">
        <f>IF(CY95&lt;65,CS95,IF(CY95&lt;75,CT95,CU95))</f>
        <v/>
      </c>
      <c r="DE95" s="37">
        <f>CV95*(Summary!$C$31="Y")+(Summary!$C$31="Y")*(CW95*(Pre_MDep&gt;=1)+CX95*MAX(Pre_MDep-1,0))</f>
        <v/>
      </c>
      <c r="DF95" s="599">
        <f>IFERROR(MAX(DB95*(CZ95-DA95)+DC95-DD95-DE95*12,0),"")</f>
        <v/>
      </c>
      <c r="DG95" s="602" t="n"/>
      <c r="DH95" s="37" t="n"/>
      <c r="DI95" s="37" t="n"/>
      <c r="DJ95" s="37">
        <f t="array" ref="DJ95">IFERROR(INDEX(Tax_Tables[Percentages],$CK95+MATCH($DI95,$CL95:$CR95,0)-1),"")</f>
        <v/>
      </c>
      <c r="DK95" s="37">
        <f t="array" ref="DK95">IFERROR(INDEX(Tax_Tables[Tax],$CK95+MATCH($DI95,$CL95:$CR95,0)-1),"")</f>
        <v/>
      </c>
      <c r="DL95" s="37">
        <f>CV95*(Summary!$C$81="Y")+(Summary!$C$81="Y")*(CW95*(Post_MDep&gt;=1)+CX95*MAX(Post_MDep-1,0))</f>
        <v/>
      </c>
      <c r="DM95" s="599">
        <f>IFERROR(MAX(DJ95*(DH95-DI95)+DK95-DD95-DL95*12,0),"")</f>
        <v/>
      </c>
      <c r="DN95" s="37" t="n"/>
      <c r="DO95" s="37" t="n"/>
      <c r="DP95" s="37" t="n"/>
      <c r="DQ95" s="37" t="n"/>
      <c r="DR95" s="37" t="n"/>
      <c r="DS95" s="37" t="n"/>
      <c r="DT95" s="37" t="n"/>
      <c r="DU95" s="37" t="n"/>
      <c r="DV95" s="37" t="n"/>
      <c r="DW95" s="37" t="n"/>
      <c r="DX95" s="37" t="n"/>
      <c r="DY95" s="131" t="n"/>
      <c r="DZ95" s="37" t="n"/>
      <c r="EA95" s="37" t="n"/>
      <c r="EB95" s="37" t="n"/>
      <c r="EC95" s="37" t="n"/>
      <c r="ED95" s="35" t="n"/>
      <c r="EE95" s="595" t="n"/>
      <c r="EF95" s="25" t="n"/>
    </row>
    <row r="96">
      <c r="V96" s="6" t="n"/>
      <c r="X96" s="569" t="n"/>
      <c r="Y96" s="25" t="n"/>
      <c r="Z96" s="590" t="n"/>
      <c r="AA96" s="25" t="n"/>
      <c r="AB96" s="26" t="n"/>
      <c r="AC96" s="26" t="n"/>
      <c r="AD96" s="26" t="n"/>
      <c r="AE96" s="26" t="n"/>
      <c r="AF96" s="26" t="n"/>
      <c r="AG96" s="26" t="n"/>
      <c r="AH96" s="26" t="n"/>
      <c r="AI96" s="590">
        <f>(AB96&lt;&gt;0)*12*allow_2</f>
        <v/>
      </c>
      <c r="AJ96" s="26" t="n"/>
      <c r="AK96" s="581">
        <f>IF(YEAR(W96)&lt;=Ret_Yr_pre,SUM(AC96:AJ96),0)*IF($W96=Ret_Yr_pre,X96,1)</f>
        <v/>
      </c>
      <c r="AL96" s="581">
        <f>IF($W96&gt;=Ret_Yr_pre,pens_Pre*(GEPF_pre="Y"),0)*IF($W96=Ret_Yr_pre,1-$X96,1)*IF(Ret_Yr_pre&lt;Current,(_xlfn.IFNA(VLOOKUP($D96,CPI!$A:$E,2,FALSE),VLOOKUP(Current,CPI!$A:$E,2,FALSE))/VLOOKUP(Ret_Yr_pre,CPI!$A:$E,2,FALSE)),1)</f>
        <v/>
      </c>
      <c r="AM96" s="590">
        <f>$AC96*ee*IF($W96=Ret_Yr_pre,$X96,1)</f>
        <v/>
      </c>
      <c r="AN96" s="590">
        <f>$AC96*er*IF($W96=Ret_Yr_pre,$X96,1)</f>
        <v/>
      </c>
      <c r="AO96" s="590">
        <f>IF('LOE Sc1'!$W96=Ret_Yr_pre,Gratuity_Pre*(GEPF_pre="Y"),0)</f>
        <v/>
      </c>
      <c r="AP96" s="581">
        <f>AK96+AL96-$AM96-AN96*(GEPF_pre="Y")</f>
        <v/>
      </c>
      <c r="AQ96" s="26" t="n"/>
      <c r="AR96" s="101" t="n"/>
      <c r="AS96" s="106" t="n"/>
      <c r="AT96" s="25" t="n"/>
      <c r="AU96" s="31">
        <f>W96</f>
        <v/>
      </c>
      <c r="AV96" s="569" t="n"/>
      <c r="AW96" s="25" t="n"/>
      <c r="AX96" s="26" t="n"/>
      <c r="AY96" s="26" t="n"/>
      <c r="AZ96" s="26" t="n"/>
      <c r="BA96" s="26" t="n"/>
      <c r="BB96" s="26" t="n"/>
      <c r="BC96" s="26" t="n"/>
      <c r="BD96" s="26" t="n"/>
      <c r="BE96" s="26" t="n"/>
      <c r="BF96" s="26" t="n"/>
      <c r="BG96" s="581">
        <f>IF(YEAR($V96)&lt;=Ret_Yr_post,SUM(AY96:BF96),0)*IF($W96=Ret_Yr_post,AV96,1)</f>
        <v/>
      </c>
      <c r="BH96" s="581">
        <f>IF($W96&gt;=Ret_Yr_post,pens_Post*(GEPF_pre="Y"),0)*IF($W96=Ret_Yr_post,1-$AV96,1)*IF(Ret_Yr_post&lt;Current,(_xlfn.IFNA(VLOOKUP($D96,CPI!$A:$E,2,FALSE),VLOOKUP(Current,CPI!$A:$E,2,FALSE))/VLOOKUP(Ret_Yr_post,CPI!$A:$E,2,FALSE)),1)</f>
        <v/>
      </c>
      <c r="BI96" s="590">
        <f>$AY96*ee_post*IF($W96=Ret_Yr_post,$AV96,1)</f>
        <v/>
      </c>
      <c r="BJ96" s="590">
        <f>$AY96*er_post*IF($W96=Ret_Yr_post,$AV96,1)</f>
        <v/>
      </c>
      <c r="BK96" s="590">
        <f>IF('LOE Sc1'!$W96=Ret_Yr_post,Gratuity_Post*(GEPF_post="Y"),0)</f>
        <v/>
      </c>
      <c r="BL96" s="581">
        <f>BG96+BH96-BI96-BJ96*(GEPF_post="Y")</f>
        <v/>
      </c>
      <c r="BM96" s="26" t="n"/>
      <c r="BN96" s="101" t="n"/>
      <c r="BO96" s="591" t="n"/>
      <c r="BP96" s="26" t="n"/>
      <c r="BQ96" s="26" t="n"/>
      <c r="BR96" s="26" t="n"/>
      <c r="BS96" s="26" t="n"/>
      <c r="BT96" s="614" t="n"/>
      <c r="BU96" s="614" t="n"/>
      <c r="BV96" s="593" t="n"/>
      <c r="BW96" s="614" t="n"/>
      <c r="BX96" s="614" t="n"/>
      <c r="BY96" s="615" t="n"/>
      <c r="BZ96" s="614" t="n"/>
      <c r="CA96" s="592">
        <f>IF($E96="FL",$AR96*$BQ96*$BR96*$BU96,$AR96)</f>
        <v/>
      </c>
      <c r="CB96" s="592">
        <f>IF($E96="FL",$BN96*$BQ96*$BR96*$BX96,$BN96)</f>
        <v/>
      </c>
      <c r="CC96" s="592" t="n"/>
      <c r="CD96" s="592" t="n"/>
      <c r="CE96" s="592" t="n"/>
      <c r="CF96" s="592" t="n"/>
      <c r="CG96" s="37" t="n"/>
      <c r="CH96" s="37" t="n"/>
      <c r="CI96" s="128" t="n"/>
      <c r="CJ96" s="37" t="n"/>
      <c r="CK96" s="37" t="n"/>
      <c r="CL96" s="37" t="n"/>
      <c r="CM96" s="37" t="n"/>
      <c r="CN96" s="37" t="n"/>
      <c r="CO96" s="37" t="n"/>
      <c r="CP96" s="37" t="n"/>
      <c r="CQ96" s="37" t="n"/>
      <c r="CR96" s="37" t="n"/>
      <c r="CS96" s="37" t="n"/>
      <c r="CT96" s="37" t="n"/>
      <c r="CU96" s="37" t="n"/>
      <c r="CV96" s="37" t="n"/>
      <c r="CW96" s="37" t="n"/>
      <c r="CX96" s="37" t="n"/>
      <c r="CY96" s="484">
        <f>Y96</f>
        <v/>
      </c>
      <c r="CZ96" s="37" t="n"/>
      <c r="DA96" s="37" t="n"/>
      <c r="DB96" s="37">
        <f t="array" ref="DB96">IFERROR(INDEX(Tax_Tables[Percentages],$CK96+MATCH($DA96,$CL96:$CR96,0)-1),"")</f>
        <v/>
      </c>
      <c r="DC96" s="37">
        <f t="array" ref="DC96">IFERROR(INDEX(Tax_Tables[Tax],$CK96+MATCH($DA96,$CL96:$CR96,0)-1),"")</f>
        <v/>
      </c>
      <c r="DD96" s="37">
        <f>IF(CY96&lt;65,CS96,IF(CY96&lt;75,CT96,CU96))</f>
        <v/>
      </c>
      <c r="DE96" s="37">
        <f>CV96*(Summary!$C$31="Y")+(Summary!$C$31="Y")*(CW96*(Pre_MDep&gt;=1)+CX96*MAX(Pre_MDep-1,0))</f>
        <v/>
      </c>
      <c r="DF96" s="599">
        <f>IFERROR(MAX(DB96*(CZ96-DA96)+DC96-DD96-DE96*12,0),"")</f>
        <v/>
      </c>
      <c r="DG96" s="602" t="n"/>
      <c r="DH96" s="37" t="n"/>
      <c r="DI96" s="37" t="n"/>
      <c r="DJ96" s="37">
        <f t="array" ref="DJ96">IFERROR(INDEX(Tax_Tables[Percentages],$CK96+MATCH($DI96,$CL96:$CR96,0)-1),"")</f>
        <v/>
      </c>
      <c r="DK96" s="37">
        <f t="array" ref="DK96">IFERROR(INDEX(Tax_Tables[Tax],$CK96+MATCH($DI96,$CL96:$CR96,0)-1),"")</f>
        <v/>
      </c>
      <c r="DL96" s="37">
        <f>CV96*(Summary!$C$81="Y")+(Summary!$C$81="Y")*(CW96*(Post_MDep&gt;=1)+CX96*MAX(Post_MDep-1,0))</f>
        <v/>
      </c>
      <c r="DM96" s="599">
        <f>IFERROR(MAX(DJ96*(DH96-DI96)+DK96-DD96-DL96*12,0),"")</f>
        <v/>
      </c>
      <c r="DN96" s="37" t="n"/>
      <c r="DO96" s="37" t="n"/>
      <c r="DP96" s="37" t="n"/>
      <c r="DQ96" s="37" t="n"/>
      <c r="DR96" s="37" t="n"/>
      <c r="DS96" s="37" t="n"/>
      <c r="DT96" s="37" t="n"/>
      <c r="DU96" s="37" t="n"/>
      <c r="DV96" s="37" t="n"/>
      <c r="DW96" s="37" t="n"/>
      <c r="DX96" s="37" t="n"/>
      <c r="DY96" s="131" t="n"/>
      <c r="DZ96" s="37" t="n"/>
      <c r="EA96" s="37" t="n"/>
      <c r="EB96" s="37" t="n"/>
      <c r="EC96" s="37" t="n"/>
      <c r="ED96" s="35" t="n"/>
      <c r="EE96" s="595" t="n"/>
      <c r="EF96" s="25" t="n"/>
    </row>
    <row r="97">
      <c r="V97" s="6" t="n"/>
      <c r="X97" s="569" t="n"/>
      <c r="Y97" s="25" t="n"/>
      <c r="Z97" s="590" t="n"/>
      <c r="AA97" s="25" t="n"/>
      <c r="AB97" s="26" t="n"/>
      <c r="AC97" s="26" t="n"/>
      <c r="AD97" s="26" t="n"/>
      <c r="AE97" s="26" t="n"/>
      <c r="AF97" s="26" t="n"/>
      <c r="AG97" s="26" t="n"/>
      <c r="AH97" s="26" t="n"/>
      <c r="AI97" s="590">
        <f>(AB97&lt;&gt;0)*12*allow_2</f>
        <v/>
      </c>
      <c r="AJ97" s="26" t="n"/>
      <c r="AK97" s="581">
        <f>IF(YEAR(W97)&lt;=Ret_Yr_pre,SUM(AC97:AJ97),0)*IF($W97=Ret_Yr_pre,X97,1)</f>
        <v/>
      </c>
      <c r="AL97" s="581">
        <f>IF($W97&gt;=Ret_Yr_pre,pens_Pre*(GEPF_pre="Y"),0)*IF($W97=Ret_Yr_pre,1-$X97,1)*IF(Ret_Yr_pre&lt;Current,(_xlfn.IFNA(VLOOKUP($D97,CPI!$A:$E,2,FALSE),VLOOKUP(Current,CPI!$A:$E,2,FALSE))/VLOOKUP(Ret_Yr_pre,CPI!$A:$E,2,FALSE)),1)</f>
        <v/>
      </c>
      <c r="AM97" s="590">
        <f>$AC97*ee*IF($W97=Ret_Yr_pre,$X97,1)</f>
        <v/>
      </c>
      <c r="AN97" s="590">
        <f>$AC97*er*IF($W97=Ret_Yr_pre,$X97,1)</f>
        <v/>
      </c>
      <c r="AO97" s="590">
        <f>IF('LOE Sc1'!$W97=Ret_Yr_pre,Gratuity_Pre*(GEPF_pre="Y"),0)</f>
        <v/>
      </c>
      <c r="AP97" s="581">
        <f>AK97+AL97-$AM97-AN97*(GEPF_pre="Y")</f>
        <v/>
      </c>
      <c r="AQ97" s="26" t="n"/>
      <c r="AR97" s="101" t="n"/>
      <c r="AS97" s="106" t="n"/>
      <c r="AT97" s="25" t="n"/>
      <c r="AU97" s="31">
        <f>W97</f>
        <v/>
      </c>
      <c r="AV97" s="569" t="n"/>
      <c r="AW97" s="25" t="n"/>
      <c r="AX97" s="26" t="n"/>
      <c r="AY97" s="26" t="n"/>
      <c r="AZ97" s="26" t="n"/>
      <c r="BA97" s="26" t="n"/>
      <c r="BB97" s="26" t="n"/>
      <c r="BC97" s="26" t="n"/>
      <c r="BD97" s="26" t="n"/>
      <c r="BE97" s="26" t="n"/>
      <c r="BF97" s="26" t="n"/>
      <c r="BG97" s="581">
        <f>IF(YEAR($V97)&lt;=Ret_Yr_post,SUM(AY97:BF97),0)*IF($W97=Ret_Yr_post,AV97,1)</f>
        <v/>
      </c>
      <c r="BH97" s="581">
        <f>IF($W97&gt;=Ret_Yr_post,pens_Post*(GEPF_pre="Y"),0)*IF($W97=Ret_Yr_post,1-$AV97,1)*IF(Ret_Yr_post&lt;Current,(_xlfn.IFNA(VLOOKUP($D97,CPI!$A:$E,2,FALSE),VLOOKUP(Current,CPI!$A:$E,2,FALSE))/VLOOKUP(Ret_Yr_post,CPI!$A:$E,2,FALSE)),1)</f>
        <v/>
      </c>
      <c r="BI97" s="590">
        <f>$AY97*ee_post*IF($W97=Ret_Yr_post,$AV97,1)</f>
        <v/>
      </c>
      <c r="BJ97" s="590">
        <f>$AY97*er_post*IF($W97=Ret_Yr_post,$AV97,1)</f>
        <v/>
      </c>
      <c r="BK97" s="590">
        <f>IF('LOE Sc1'!$W97=Ret_Yr_post,Gratuity_Post*(GEPF_post="Y"),0)</f>
        <v/>
      </c>
      <c r="BL97" s="581">
        <f>BG97+BH97-BI97-BJ97*(GEPF_post="Y")</f>
        <v/>
      </c>
      <c r="BM97" s="26" t="n"/>
      <c r="BN97" s="101" t="n"/>
      <c r="BO97" s="591" t="n"/>
      <c r="BP97" s="26" t="n"/>
      <c r="BQ97" s="26" t="n"/>
      <c r="BR97" s="26" t="n"/>
      <c r="BS97" s="26" t="n"/>
      <c r="BT97" s="614" t="n"/>
      <c r="BU97" s="614" t="n"/>
      <c r="BV97" s="593" t="n"/>
      <c r="BW97" s="614" t="n"/>
      <c r="BX97" s="614" t="n"/>
      <c r="BY97" s="615" t="n"/>
      <c r="BZ97" s="614" t="n"/>
      <c r="CA97" s="592">
        <f>IF($E97="FL",$AR97*$BQ97*$BR97*$BU97,$AR97)</f>
        <v/>
      </c>
      <c r="CB97" s="592">
        <f>IF($E97="FL",$BN97*$BQ97*$BR97*$BX97,$BN97)</f>
        <v/>
      </c>
      <c r="CC97" s="592" t="n"/>
      <c r="CD97" s="592" t="n"/>
      <c r="CE97" s="592" t="n"/>
      <c r="CF97" s="592" t="n"/>
      <c r="CG97" s="37" t="n"/>
      <c r="CH97" s="37" t="n"/>
      <c r="CI97" s="128" t="n"/>
      <c r="CJ97" s="37" t="n"/>
      <c r="CK97" s="37" t="n"/>
      <c r="CL97" s="37" t="n"/>
      <c r="CM97" s="37" t="n"/>
      <c r="CN97" s="37" t="n"/>
      <c r="CO97" s="37" t="n"/>
      <c r="CP97" s="37" t="n"/>
      <c r="CQ97" s="37" t="n"/>
      <c r="CR97" s="37" t="n"/>
      <c r="CS97" s="37" t="n"/>
      <c r="CT97" s="37" t="n"/>
      <c r="CU97" s="37" t="n"/>
      <c r="CV97" s="37" t="n"/>
      <c r="CW97" s="37" t="n"/>
      <c r="CX97" s="37" t="n"/>
      <c r="CY97" s="484">
        <f>Y97</f>
        <v/>
      </c>
      <c r="CZ97" s="37" t="n"/>
      <c r="DA97" s="37" t="n"/>
      <c r="DB97" s="37">
        <f t="array" ref="DB97">IFERROR(INDEX(Tax_Tables[Percentages],$CK97+MATCH($DA97,$CL97:$CR97,0)-1),"")</f>
        <v/>
      </c>
      <c r="DC97" s="37">
        <f t="array" ref="DC97">IFERROR(INDEX(Tax_Tables[Tax],$CK97+MATCH($DA97,$CL97:$CR97,0)-1),"")</f>
        <v/>
      </c>
      <c r="DD97" s="37">
        <f>IF(CY97&lt;65,CS97,IF(CY97&lt;75,CT97,CU97))</f>
        <v/>
      </c>
      <c r="DE97" s="37">
        <f>CV97*(Summary!$C$31="Y")+(Summary!$C$31="Y")*(CW97*(Pre_MDep&gt;=1)+CX97*MAX(Pre_MDep-1,0))</f>
        <v/>
      </c>
      <c r="DF97" s="599">
        <f>IFERROR(MAX(DB97*(CZ97-DA97)+DC97-DD97-DE97*12,0),"")</f>
        <v/>
      </c>
      <c r="DG97" s="602" t="n"/>
      <c r="DH97" s="37" t="n"/>
      <c r="DI97" s="37" t="n"/>
      <c r="DJ97" s="37">
        <f t="array" ref="DJ97">IFERROR(INDEX(Tax_Tables[Percentages],$CK97+MATCH($DI97,$CL97:$CR97,0)-1),"")</f>
        <v/>
      </c>
      <c r="DK97" s="37">
        <f t="array" ref="DK97">IFERROR(INDEX(Tax_Tables[Tax],$CK97+MATCH($DI97,$CL97:$CR97,0)-1),"")</f>
        <v/>
      </c>
      <c r="DL97" s="37">
        <f>CV97*(Summary!$C$81="Y")+(Summary!$C$81="Y")*(CW97*(Post_MDep&gt;=1)+CX97*MAX(Post_MDep-1,0))</f>
        <v/>
      </c>
      <c r="DM97" s="599">
        <f>IFERROR(MAX(DJ97*(DH97-DI97)+DK97-DD97-DL97*12,0),"")</f>
        <v/>
      </c>
      <c r="DN97" s="37" t="n"/>
      <c r="DO97" s="37" t="n"/>
      <c r="DP97" s="37" t="n"/>
      <c r="DQ97" s="37" t="n"/>
      <c r="DR97" s="37" t="n"/>
      <c r="DS97" s="37" t="n"/>
      <c r="DT97" s="37" t="n"/>
      <c r="DU97" s="37" t="n"/>
      <c r="DV97" s="37" t="n"/>
      <c r="DW97" s="37" t="n"/>
      <c r="DX97" s="37" t="n"/>
      <c r="DY97" s="131" t="n"/>
      <c r="DZ97" s="37" t="n"/>
      <c r="EA97" s="37" t="n"/>
      <c r="EB97" s="37" t="n"/>
      <c r="EC97" s="37" t="n"/>
      <c r="ED97" s="35" t="n"/>
      <c r="EE97" s="595" t="n"/>
      <c r="EF97" s="25" t="n"/>
    </row>
    <row r="98">
      <c r="V98" s="6" t="n"/>
      <c r="X98" s="569" t="n"/>
      <c r="Y98" s="25" t="n"/>
      <c r="Z98" s="590" t="n"/>
      <c r="AA98" s="25" t="n"/>
      <c r="AB98" s="26" t="n"/>
      <c r="AC98" s="26" t="n"/>
      <c r="AD98" s="26" t="n"/>
      <c r="AE98" s="26" t="n"/>
      <c r="AF98" s="26" t="n"/>
      <c r="AG98" s="26" t="n"/>
      <c r="AH98" s="26" t="n"/>
      <c r="AI98" s="590">
        <f>(AB98&lt;&gt;0)*12*allow_2</f>
        <v/>
      </c>
      <c r="AJ98" s="26" t="n"/>
      <c r="AK98" s="581">
        <f>IF(YEAR(W98)&lt;=Ret_Yr_pre,SUM(AC98:AJ98),0)*IF($W98=Ret_Yr_pre,X98,1)</f>
        <v/>
      </c>
      <c r="AL98" s="581">
        <f>IF($W98&gt;=Ret_Yr_pre,pens_Pre*(GEPF_pre="Y"),0)*IF($W98=Ret_Yr_pre,1-$X98,1)*IF(Ret_Yr_pre&lt;Current,(_xlfn.IFNA(VLOOKUP($D98,CPI!$A:$E,2,FALSE),VLOOKUP(Current,CPI!$A:$E,2,FALSE))/VLOOKUP(Ret_Yr_pre,CPI!$A:$E,2,FALSE)),1)</f>
        <v/>
      </c>
      <c r="AM98" s="590">
        <f>$AC98*ee*IF($W98=Ret_Yr_pre,$X98,1)</f>
        <v/>
      </c>
      <c r="AN98" s="590">
        <f>$AC98*er*IF($W98=Ret_Yr_pre,$X98,1)</f>
        <v/>
      </c>
      <c r="AO98" s="590">
        <f>IF('LOE Sc1'!$W98=Ret_Yr_pre,Gratuity_Pre*(GEPF_pre="Y"),0)</f>
        <v/>
      </c>
      <c r="AP98" s="581">
        <f>AK98+AL98-$AM98-AN98*(GEPF_pre="Y")</f>
        <v/>
      </c>
      <c r="AQ98" s="26" t="n"/>
      <c r="AR98" s="101" t="n"/>
      <c r="AS98" s="106" t="n"/>
      <c r="AT98" s="25" t="n"/>
      <c r="AU98" s="31">
        <f>W98</f>
        <v/>
      </c>
      <c r="AV98" s="569" t="n"/>
      <c r="AW98" s="25" t="n"/>
      <c r="AX98" s="26" t="n"/>
      <c r="AY98" s="26" t="n"/>
      <c r="AZ98" s="26" t="n"/>
      <c r="BA98" s="26" t="n"/>
      <c r="BB98" s="26" t="n"/>
      <c r="BC98" s="26" t="n"/>
      <c r="BD98" s="26" t="n"/>
      <c r="BE98" s="26" t="n"/>
      <c r="BF98" s="26" t="n"/>
      <c r="BG98" s="581">
        <f>IF(YEAR($V98)&lt;=Ret_Yr_post,SUM(AY98:BF98),0)*IF($W98=Ret_Yr_post,AV98,1)</f>
        <v/>
      </c>
      <c r="BH98" s="581">
        <f>IF($W98&gt;=Ret_Yr_post,pens_Post*(GEPF_pre="Y"),0)*IF($W98=Ret_Yr_post,1-$AV98,1)*IF(Ret_Yr_post&lt;Current,(_xlfn.IFNA(VLOOKUP($D98,CPI!$A:$E,2,FALSE),VLOOKUP(Current,CPI!$A:$E,2,FALSE))/VLOOKUP(Ret_Yr_post,CPI!$A:$E,2,FALSE)),1)</f>
        <v/>
      </c>
      <c r="BI98" s="590">
        <f>$AY98*ee_post*IF($W98=Ret_Yr_post,$AV98,1)</f>
        <v/>
      </c>
      <c r="BJ98" s="590">
        <f>$AY98*er_post*IF($W98=Ret_Yr_post,$AV98,1)</f>
        <v/>
      </c>
      <c r="BK98" s="590">
        <f>IF('LOE Sc1'!$W98=Ret_Yr_post,Gratuity_Post*(GEPF_post="Y"),0)</f>
        <v/>
      </c>
      <c r="BL98" s="581">
        <f>BG98+BH98-BI98-BJ98*(GEPF_post="Y")</f>
        <v/>
      </c>
      <c r="BM98" s="26" t="n"/>
      <c r="BN98" s="101" t="n"/>
      <c r="BO98" s="591" t="n"/>
      <c r="BP98" s="26" t="n"/>
      <c r="BQ98" s="26" t="n"/>
      <c r="BR98" s="26" t="n"/>
      <c r="BS98" s="26" t="n"/>
      <c r="BT98" s="614" t="n"/>
      <c r="BU98" s="614" t="n"/>
      <c r="BV98" s="593" t="n"/>
      <c r="BW98" s="614" t="n"/>
      <c r="BX98" s="614" t="n"/>
      <c r="BY98" s="615" t="n"/>
      <c r="BZ98" s="614" t="n"/>
      <c r="CA98" s="592">
        <f>IF($E98="FL",$AR98*$BQ98*$BR98*$BU98,$AR98)</f>
        <v/>
      </c>
      <c r="CB98" s="592">
        <f>IF($E98="FL",$BN98*$BQ98*$BR98*$BX98,$BN98)</f>
        <v/>
      </c>
      <c r="CC98" s="592" t="n"/>
      <c r="CD98" s="592" t="n"/>
      <c r="CE98" s="592" t="n"/>
      <c r="CF98" s="592" t="n"/>
      <c r="CG98" s="37" t="n"/>
      <c r="CH98" s="37" t="n"/>
      <c r="CI98" s="128" t="n"/>
      <c r="CJ98" s="37" t="n"/>
      <c r="CK98" s="37" t="n"/>
      <c r="CL98" s="37" t="n"/>
      <c r="CM98" s="37" t="n"/>
      <c r="CN98" s="37" t="n"/>
      <c r="CO98" s="37" t="n"/>
      <c r="CP98" s="37" t="n"/>
      <c r="CQ98" s="37" t="n"/>
      <c r="CR98" s="37" t="n"/>
      <c r="CS98" s="37" t="n"/>
      <c r="CT98" s="37" t="n"/>
      <c r="CU98" s="37" t="n"/>
      <c r="CV98" s="37" t="n"/>
      <c r="CW98" s="37" t="n"/>
      <c r="CX98" s="37" t="n"/>
      <c r="CY98" s="484">
        <f>Y98</f>
        <v/>
      </c>
      <c r="CZ98" s="37" t="n"/>
      <c r="DA98" s="37" t="n"/>
      <c r="DB98" s="37">
        <f t="array" ref="DB98">IFERROR(INDEX(Tax_Tables[Percentages],$CK98+MATCH($DA98,$CL98:$CR98,0)-1),"")</f>
        <v/>
      </c>
      <c r="DC98" s="37">
        <f t="array" ref="DC98">IFERROR(INDEX(Tax_Tables[Tax],$CK98+MATCH($DA98,$CL98:$CR98,0)-1),"")</f>
        <v/>
      </c>
      <c r="DD98" s="37">
        <f>IF(CY98&lt;65,CS98,IF(CY98&lt;75,CT98,CU98))</f>
        <v/>
      </c>
      <c r="DE98" s="37">
        <f>CV98*(Summary!$C$31="Y")+(Summary!$C$31="Y")*(CW98*(Pre_MDep&gt;=1)+CX98*MAX(Pre_MDep-1,0))</f>
        <v/>
      </c>
      <c r="DF98" s="599">
        <f>IFERROR(MAX(DB98*(CZ98-DA98)+DC98-DD98-DE98*12,0),"")</f>
        <v/>
      </c>
      <c r="DG98" s="602" t="n"/>
      <c r="DH98" s="37" t="n"/>
      <c r="DI98" s="37" t="n"/>
      <c r="DJ98" s="37">
        <f t="array" ref="DJ98">IFERROR(INDEX(Tax_Tables[Percentages],$CK98+MATCH($DI98,$CL98:$CR98,0)-1),"")</f>
        <v/>
      </c>
      <c r="DK98" s="37">
        <f t="array" ref="DK98">IFERROR(INDEX(Tax_Tables[Tax],$CK98+MATCH($DI98,$CL98:$CR98,0)-1),"")</f>
        <v/>
      </c>
      <c r="DL98" s="37">
        <f>CV98*(Summary!$C$81="Y")+(Summary!$C$81="Y")*(CW98*(Post_MDep&gt;=1)+CX98*MAX(Post_MDep-1,0))</f>
        <v/>
      </c>
      <c r="DM98" s="599">
        <f>IFERROR(MAX(DJ98*(DH98-DI98)+DK98-DD98-DL98*12,0),"")</f>
        <v/>
      </c>
      <c r="DN98" s="37" t="n"/>
      <c r="DO98" s="37" t="n"/>
      <c r="DP98" s="37" t="n"/>
      <c r="DQ98" s="37" t="n"/>
      <c r="DR98" s="37" t="n"/>
      <c r="DS98" s="37" t="n"/>
      <c r="DT98" s="37" t="n"/>
      <c r="DU98" s="37" t="n"/>
      <c r="DV98" s="37" t="n"/>
      <c r="DW98" s="37" t="n"/>
      <c r="DX98" s="37" t="n"/>
      <c r="DY98" s="131" t="n"/>
      <c r="DZ98" s="37" t="n"/>
      <c r="EA98" s="37" t="n"/>
      <c r="EB98" s="37" t="n"/>
      <c r="EC98" s="37" t="n"/>
      <c r="ED98" s="35" t="n"/>
      <c r="EE98" s="595" t="n"/>
      <c r="EF98" s="25" t="n"/>
    </row>
    <row r="99">
      <c r="V99" s="6" t="n"/>
      <c r="X99" s="569" t="n"/>
      <c r="Y99" s="25" t="n"/>
      <c r="Z99" s="590" t="n"/>
      <c r="AA99" s="25" t="n"/>
      <c r="AB99" s="26" t="n"/>
      <c r="AC99" s="26" t="n"/>
      <c r="AD99" s="26" t="n"/>
      <c r="AE99" s="26" t="n"/>
      <c r="AF99" s="26" t="n"/>
      <c r="AG99" s="26" t="n"/>
      <c r="AH99" s="26" t="n"/>
      <c r="AI99" s="590">
        <f>(AB99&lt;&gt;0)*12*allow_2</f>
        <v/>
      </c>
      <c r="AJ99" s="26" t="n"/>
      <c r="AK99" s="581">
        <f>IF(YEAR(W99)&lt;=Ret_Yr_pre,SUM(AC99:AJ99),0)*IF($W99=Ret_Yr_pre,X99,1)</f>
        <v/>
      </c>
      <c r="AL99" s="581">
        <f>IF($W99&gt;=Ret_Yr_pre,pens_Pre*(GEPF_pre="Y"),0)*IF($W99=Ret_Yr_pre,1-$X99,1)*IF(Ret_Yr_pre&lt;Current,(_xlfn.IFNA(VLOOKUP($D99,CPI!$A:$E,2,FALSE),VLOOKUP(Current,CPI!$A:$E,2,FALSE))/VLOOKUP(Ret_Yr_pre,CPI!$A:$E,2,FALSE)),1)</f>
        <v/>
      </c>
      <c r="AM99" s="590">
        <f>$AC99*ee*IF($W99=Ret_Yr_pre,$X99,1)</f>
        <v/>
      </c>
      <c r="AN99" s="590">
        <f>$AC99*er*IF($W99=Ret_Yr_pre,$X99,1)</f>
        <v/>
      </c>
      <c r="AO99" s="590">
        <f>IF('LOE Sc1'!$W99=Ret_Yr_pre,Gratuity_Pre*(GEPF_pre="Y"),0)</f>
        <v/>
      </c>
      <c r="AP99" s="581">
        <f>AK99+AL99-$AM99-AN99*(GEPF_pre="Y")</f>
        <v/>
      </c>
      <c r="AQ99" s="26" t="n"/>
      <c r="AR99" s="101" t="n"/>
      <c r="AS99" s="106" t="n"/>
      <c r="AT99" s="25" t="n"/>
      <c r="AU99" s="31">
        <f>W99</f>
        <v/>
      </c>
      <c r="AV99" s="569" t="n"/>
      <c r="AW99" s="25" t="n"/>
      <c r="AX99" s="26" t="n"/>
      <c r="AY99" s="26" t="n"/>
      <c r="AZ99" s="26" t="n"/>
      <c r="BA99" s="26" t="n"/>
      <c r="BB99" s="26" t="n"/>
      <c r="BC99" s="26" t="n"/>
      <c r="BD99" s="26" t="n"/>
      <c r="BE99" s="26" t="n"/>
      <c r="BF99" s="26" t="n"/>
      <c r="BG99" s="581">
        <f>IF(YEAR($V99)&lt;=Ret_Yr_post,SUM(AY99:BF99),0)*IF($W99=Ret_Yr_post,AV99,1)</f>
        <v/>
      </c>
      <c r="BH99" s="581">
        <f>IF($W99&gt;=Ret_Yr_post,pens_Post*(GEPF_pre="Y"),0)*IF($W99=Ret_Yr_post,1-$AV99,1)*IF(Ret_Yr_post&lt;Current,(_xlfn.IFNA(VLOOKUP($D99,CPI!$A:$E,2,FALSE),VLOOKUP(Current,CPI!$A:$E,2,FALSE))/VLOOKUP(Ret_Yr_post,CPI!$A:$E,2,FALSE)),1)</f>
        <v/>
      </c>
      <c r="BI99" s="590">
        <f>$AY99*ee_post*IF($W99=Ret_Yr_post,$AV99,1)</f>
        <v/>
      </c>
      <c r="BJ99" s="590">
        <f>$AY99*er_post*IF($W99=Ret_Yr_post,$AV99,1)</f>
        <v/>
      </c>
      <c r="BK99" s="590">
        <f>IF('LOE Sc1'!$W99=Ret_Yr_post,Gratuity_Post*(GEPF_post="Y"),0)</f>
        <v/>
      </c>
      <c r="BL99" s="581">
        <f>BG99+BH99-BI99-BJ99*(GEPF_post="Y")</f>
        <v/>
      </c>
      <c r="BM99" s="26" t="n"/>
      <c r="BN99" s="101" t="n"/>
      <c r="BO99" s="591" t="n"/>
      <c r="BP99" s="26" t="n"/>
      <c r="BQ99" s="26" t="n"/>
      <c r="BR99" s="26" t="n"/>
      <c r="BS99" s="26" t="n"/>
      <c r="BT99" s="614" t="n"/>
      <c r="BU99" s="614" t="n"/>
      <c r="BV99" s="593" t="n"/>
      <c r="BW99" s="614" t="n"/>
      <c r="BX99" s="614" t="n"/>
      <c r="BY99" s="615" t="n"/>
      <c r="BZ99" s="614" t="n"/>
      <c r="CA99" s="592">
        <f>IF($E99="FL",$AR99*$BQ99*$BR99*$BU99,$AR99)</f>
        <v/>
      </c>
      <c r="CB99" s="592">
        <f>IF($E99="FL",$BN99*$BQ99*$BR99*$BX99,$BN99)</f>
        <v/>
      </c>
      <c r="CC99" s="592" t="n"/>
      <c r="CD99" s="592" t="n"/>
      <c r="CE99" s="592" t="n"/>
      <c r="CF99" s="592" t="n"/>
      <c r="CG99" s="37" t="n"/>
      <c r="CH99" s="37" t="n"/>
      <c r="CI99" s="128" t="n"/>
      <c r="CJ99" s="37" t="n"/>
      <c r="CK99" s="37" t="n"/>
      <c r="CL99" s="37" t="n"/>
      <c r="CM99" s="37" t="n"/>
      <c r="CN99" s="37" t="n"/>
      <c r="CO99" s="37" t="n"/>
      <c r="CP99" s="37" t="n"/>
      <c r="CQ99" s="37" t="n"/>
      <c r="CR99" s="37" t="n"/>
      <c r="CS99" s="37" t="n"/>
      <c r="CT99" s="37" t="n"/>
      <c r="CU99" s="37" t="n"/>
      <c r="CV99" s="37" t="n"/>
      <c r="CW99" s="37" t="n"/>
      <c r="CX99" s="37" t="n"/>
      <c r="CY99" s="484">
        <f>Y99</f>
        <v/>
      </c>
      <c r="CZ99" s="37" t="n"/>
      <c r="DA99" s="37" t="n"/>
      <c r="DB99" s="37">
        <f t="array" ref="DB99">IFERROR(INDEX(Tax_Tables[Percentages],$CK99+MATCH($DA99,$CL99:$CR99,0)-1),"")</f>
        <v/>
      </c>
      <c r="DC99" s="37">
        <f t="array" ref="DC99">IFERROR(INDEX(Tax_Tables[Tax],$CK99+MATCH($DA99,$CL99:$CR99,0)-1),"")</f>
        <v/>
      </c>
      <c r="DD99" s="37">
        <f>IF(CY99&lt;65,CS99,IF(CY99&lt;75,CT99,CU99))</f>
        <v/>
      </c>
      <c r="DE99" s="37">
        <f>CV99*(Summary!$C$31="Y")+(Summary!$C$31="Y")*(CW99*(Pre_MDep&gt;=1)+CX99*MAX(Pre_MDep-1,0))</f>
        <v/>
      </c>
      <c r="DF99" s="599">
        <f>IFERROR(MAX(DB99*(CZ99-DA99)+DC99-DD99-DE99*12,0),"")</f>
        <v/>
      </c>
      <c r="DG99" s="602" t="n"/>
      <c r="DH99" s="37" t="n"/>
      <c r="DI99" s="37" t="n"/>
      <c r="DJ99" s="37">
        <f t="array" ref="DJ99">IFERROR(INDEX(Tax_Tables[Percentages],$CK99+MATCH($DI99,$CL99:$CR99,0)-1),"")</f>
        <v/>
      </c>
      <c r="DK99" s="37">
        <f t="array" ref="DK99">IFERROR(INDEX(Tax_Tables[Tax],$CK99+MATCH($DI99,$CL99:$CR99,0)-1),"")</f>
        <v/>
      </c>
      <c r="DL99" s="37">
        <f>CV99*(Summary!$C$81="Y")+(Summary!$C$81="Y")*(CW99*(Post_MDep&gt;=1)+CX99*MAX(Post_MDep-1,0))</f>
        <v/>
      </c>
      <c r="DM99" s="599">
        <f>IFERROR(MAX(DJ99*(DH99-DI99)+DK99-DD99-DL99*12,0),"")</f>
        <v/>
      </c>
      <c r="DN99" s="37" t="n"/>
      <c r="DO99" s="37" t="n"/>
      <c r="DP99" s="37" t="n"/>
      <c r="DQ99" s="37" t="n"/>
      <c r="DR99" s="37" t="n"/>
      <c r="DS99" s="37" t="n"/>
      <c r="DT99" s="37" t="n"/>
      <c r="DU99" s="37" t="n"/>
      <c r="DV99" s="37" t="n"/>
      <c r="DW99" s="37" t="n"/>
      <c r="DX99" s="37" t="n"/>
      <c r="DY99" s="131" t="n"/>
      <c r="DZ99" s="37" t="n"/>
      <c r="EA99" s="37" t="n"/>
      <c r="EB99" s="37" t="n"/>
      <c r="EC99" s="37" t="n"/>
      <c r="ED99" s="35" t="n"/>
      <c r="EE99" s="595" t="n"/>
      <c r="EF99" s="25" t="n"/>
    </row>
    <row r="100">
      <c r="V100" s="6" t="n"/>
      <c r="X100" s="569" t="n"/>
      <c r="Y100" s="25" t="n"/>
      <c r="Z100" s="590" t="n"/>
      <c r="AA100" s="25" t="n"/>
      <c r="AB100" s="26" t="n"/>
      <c r="AC100" s="26" t="n"/>
      <c r="AD100" s="26" t="n"/>
      <c r="AE100" s="26" t="n"/>
      <c r="AF100" s="26" t="n"/>
      <c r="AG100" s="26" t="n"/>
      <c r="AH100" s="26" t="n"/>
      <c r="AI100" s="590">
        <f>(AB100&lt;&gt;0)*12*allow_2</f>
        <v/>
      </c>
      <c r="AJ100" s="26" t="n"/>
      <c r="AK100" s="581">
        <f>IF(YEAR(W100)&lt;=Ret_Yr_pre,SUM(AC100:AJ100),0)*IF($W100=Ret_Yr_pre,X100,1)</f>
        <v/>
      </c>
      <c r="AL100" s="581">
        <f>IF($W100&gt;=Ret_Yr_pre,pens_Pre*(GEPF_pre="Y"),0)*IF($W100=Ret_Yr_pre,1-$X100,1)*IF(Ret_Yr_pre&lt;Current,(_xlfn.IFNA(VLOOKUP($D100,CPI!$A:$E,2,FALSE),VLOOKUP(Current,CPI!$A:$E,2,FALSE))/VLOOKUP(Ret_Yr_pre,CPI!$A:$E,2,FALSE)),1)</f>
        <v/>
      </c>
      <c r="AM100" s="590">
        <f>$AC100*ee*IF($W100=Ret_Yr_pre,$X100,1)</f>
        <v/>
      </c>
      <c r="AN100" s="590">
        <f>$AC100*er*IF($W100=Ret_Yr_pre,$X100,1)</f>
        <v/>
      </c>
      <c r="AO100" s="590">
        <f>IF('LOE Sc1'!$W100=Ret_Yr_pre,Gratuity_Pre*(GEPF_pre="Y"),0)</f>
        <v/>
      </c>
      <c r="AP100" s="581">
        <f>AK100+AL100-$AM100-AN100*(GEPF_pre="Y")</f>
        <v/>
      </c>
      <c r="AQ100" s="26" t="n"/>
      <c r="AR100" s="101" t="n"/>
      <c r="AS100" s="106" t="n"/>
      <c r="AT100" s="25" t="n"/>
      <c r="AU100" s="31">
        <f>W100</f>
        <v/>
      </c>
      <c r="AV100" s="569" t="n"/>
      <c r="AW100" s="25" t="n"/>
      <c r="AX100" s="26" t="n"/>
      <c r="AY100" s="26" t="n"/>
      <c r="AZ100" s="26" t="n"/>
      <c r="BA100" s="26" t="n"/>
      <c r="BB100" s="26" t="n"/>
      <c r="BC100" s="26" t="n"/>
      <c r="BD100" s="26" t="n"/>
      <c r="BE100" s="26" t="n"/>
      <c r="BF100" s="26" t="n"/>
      <c r="BG100" s="581">
        <f>IF(YEAR($V100)&lt;=Ret_Yr_post,SUM(AY100:BF100),0)*IF($W100=Ret_Yr_post,AV100,1)</f>
        <v/>
      </c>
      <c r="BH100" s="581">
        <f>IF($W100&gt;=Ret_Yr_post,pens_Post*(GEPF_pre="Y"),0)*IF($W100=Ret_Yr_post,1-$AV100,1)*IF(Ret_Yr_post&lt;Current,(_xlfn.IFNA(VLOOKUP($D100,CPI!$A:$E,2,FALSE),VLOOKUP(Current,CPI!$A:$E,2,FALSE))/VLOOKUP(Ret_Yr_post,CPI!$A:$E,2,FALSE)),1)</f>
        <v/>
      </c>
      <c r="BI100" s="590">
        <f>$AY100*ee_post*IF($W100=Ret_Yr_post,$AV100,1)</f>
        <v/>
      </c>
      <c r="BJ100" s="590">
        <f>$AY100*er_post*IF($W100=Ret_Yr_post,$AV100,1)</f>
        <v/>
      </c>
      <c r="BK100" s="590">
        <f>IF('LOE Sc1'!$W100=Ret_Yr_post,Gratuity_Post*(GEPF_post="Y"),0)</f>
        <v/>
      </c>
      <c r="BL100" s="581">
        <f>BG100+BH100-BI100-BJ100*(GEPF_post="Y")</f>
        <v/>
      </c>
      <c r="BM100" s="26" t="n"/>
      <c r="BN100" s="101" t="n"/>
      <c r="BO100" s="591" t="n"/>
      <c r="BP100" s="26" t="n"/>
      <c r="BQ100" s="26" t="n"/>
      <c r="BR100" s="26" t="n"/>
      <c r="BS100" s="26" t="n"/>
      <c r="BT100" s="614" t="n"/>
      <c r="BU100" s="614" t="n"/>
      <c r="BV100" s="593" t="n"/>
      <c r="BW100" s="614" t="n"/>
      <c r="BX100" s="614" t="n"/>
      <c r="BY100" s="615" t="n"/>
      <c r="BZ100" s="614" t="n"/>
      <c r="CA100" s="592">
        <f>IF($E100="FL",$AR100*$BQ100*$BR100*$BU100,$AR100)</f>
        <v/>
      </c>
      <c r="CB100" s="592">
        <f>IF($E100="FL",$BN100*$BQ100*$BR100*$BX100,$BN100)</f>
        <v/>
      </c>
      <c r="CC100" s="592" t="n"/>
      <c r="CD100" s="592" t="n"/>
      <c r="CE100" s="592" t="n"/>
      <c r="CF100" s="592" t="n"/>
      <c r="CG100" s="37" t="n"/>
      <c r="CH100" s="37" t="n"/>
      <c r="CI100" s="128" t="n"/>
      <c r="CJ100" s="37" t="n"/>
      <c r="CK100" s="37" t="n"/>
      <c r="CL100" s="37" t="n"/>
      <c r="CM100" s="37" t="n"/>
      <c r="CN100" s="37" t="n"/>
      <c r="CO100" s="37" t="n"/>
      <c r="CP100" s="37" t="n"/>
      <c r="CQ100" s="37" t="n"/>
      <c r="CR100" s="37" t="n"/>
      <c r="CS100" s="37" t="n"/>
      <c r="CT100" s="37" t="n"/>
      <c r="CU100" s="37" t="n"/>
      <c r="CV100" s="37" t="n"/>
      <c r="CW100" s="37" t="n"/>
      <c r="CX100" s="37" t="n"/>
      <c r="CY100" s="484">
        <f>Y100</f>
        <v/>
      </c>
      <c r="CZ100" s="37" t="n"/>
      <c r="DA100" s="37" t="n"/>
      <c r="DB100" s="37">
        <f t="array" ref="DB100">IFERROR(INDEX(Tax_Tables[Percentages],$CK100+MATCH($DA100,$CL100:$CR100,0)-1),"")</f>
        <v/>
      </c>
      <c r="DC100" s="37">
        <f t="array" ref="DC100">IFERROR(INDEX(Tax_Tables[Tax],$CK100+MATCH($DA100,$CL100:$CR100,0)-1),"")</f>
        <v/>
      </c>
      <c r="DD100" s="37">
        <f>IF(CY100&lt;65,CS100,IF(CY100&lt;75,CT100,CU100))</f>
        <v/>
      </c>
      <c r="DE100" s="37">
        <f>CV100*(Summary!$C$31="Y")+(Summary!$C$31="Y")*(CW100*(Pre_MDep&gt;=1)+CX100*MAX(Pre_MDep-1,0))</f>
        <v/>
      </c>
      <c r="DF100" s="599">
        <f>IFERROR(MAX(DB100*(CZ100-DA100)+DC100-DD100-DE100*12,0),"")</f>
        <v/>
      </c>
      <c r="DG100" s="602" t="n"/>
      <c r="DH100" s="37" t="n"/>
      <c r="DI100" s="37" t="n"/>
      <c r="DJ100" s="37">
        <f t="array" ref="DJ100">IFERROR(INDEX(Tax_Tables[Percentages],$CK100+MATCH($DI100,$CL100:$CR100,0)-1),"")</f>
        <v/>
      </c>
      <c r="DK100" s="37">
        <f t="array" ref="DK100">IFERROR(INDEX(Tax_Tables[Tax],$CK100+MATCH($DI100,$CL100:$CR100,0)-1),"")</f>
        <v/>
      </c>
      <c r="DL100" s="37">
        <f>CV100*(Summary!$C$81="Y")+(Summary!$C$81="Y")*(CW100*(Post_MDep&gt;=1)+CX100*MAX(Post_MDep-1,0))</f>
        <v/>
      </c>
      <c r="DM100" s="599">
        <f>IFERROR(MAX(DJ100*(DH100-DI100)+DK100-DD100-DL100*12,0),"")</f>
        <v/>
      </c>
      <c r="DN100" s="37" t="n"/>
      <c r="DO100" s="37" t="n"/>
      <c r="DP100" s="37" t="n"/>
      <c r="DQ100" s="37" t="n"/>
      <c r="DR100" s="37" t="n"/>
      <c r="DS100" s="37" t="n"/>
      <c r="DT100" s="37" t="n"/>
      <c r="DU100" s="37" t="n"/>
      <c r="DV100" s="37" t="n"/>
      <c r="DW100" s="37" t="n"/>
      <c r="DX100" s="37" t="n"/>
      <c r="DY100" s="131" t="n"/>
      <c r="DZ100" s="37" t="n"/>
      <c r="EA100" s="37" t="n"/>
      <c r="EB100" s="37" t="n"/>
      <c r="EC100" s="37" t="n"/>
      <c r="ED100" s="35" t="n"/>
      <c r="EE100" s="595" t="n"/>
      <c r="EF100" s="25" t="n"/>
    </row>
    <row r="101">
      <c r="V101" s="6" t="n"/>
      <c r="X101" s="569" t="n"/>
      <c r="Y101" s="25" t="n"/>
      <c r="Z101" s="590" t="n"/>
      <c r="AA101" s="25" t="n"/>
      <c r="AB101" s="26" t="n"/>
      <c r="AC101" s="26" t="n"/>
      <c r="AD101" s="26" t="n"/>
      <c r="AE101" s="26" t="n"/>
      <c r="AF101" s="26" t="n"/>
      <c r="AG101" s="26" t="n"/>
      <c r="AH101" s="26" t="n"/>
      <c r="AI101" s="590">
        <f>(AB101&lt;&gt;0)*12*allow_2</f>
        <v/>
      </c>
      <c r="AJ101" s="26" t="n"/>
      <c r="AK101" s="581">
        <f>IF(YEAR(W101)&lt;=Ret_Yr_pre,SUM(AC101:AJ101),0)*IF($W101=Ret_Yr_pre,X101,1)</f>
        <v/>
      </c>
      <c r="AL101" s="581">
        <f>IF($W101&gt;=Ret_Yr_pre,pens_Pre*(GEPF_pre="Y"),0)*IF($W101=Ret_Yr_pre,1-$X101,1)*IF(Ret_Yr_pre&lt;Current,(_xlfn.IFNA(VLOOKUP($D101,CPI!$A:$E,2,FALSE),VLOOKUP(Current,CPI!$A:$E,2,FALSE))/VLOOKUP(Ret_Yr_pre,CPI!$A:$E,2,FALSE)),1)</f>
        <v/>
      </c>
      <c r="AM101" s="590">
        <f>$AC101*ee*IF($W101=Ret_Yr_pre,$X101,1)</f>
        <v/>
      </c>
      <c r="AN101" s="590">
        <f>$AC101*er*IF($W101=Ret_Yr_pre,$X101,1)</f>
        <v/>
      </c>
      <c r="AO101" s="590">
        <f>IF('LOE Sc1'!$W101=Ret_Yr_pre,Gratuity_Pre*(GEPF_pre="Y"),0)</f>
        <v/>
      </c>
      <c r="AP101" s="581">
        <f>AK101+AL101-$AM101-AN101*(GEPF_pre="Y")</f>
        <v/>
      </c>
      <c r="AQ101" s="26" t="n"/>
      <c r="AR101" s="101" t="n"/>
      <c r="AS101" s="106" t="n"/>
      <c r="AT101" s="25" t="n"/>
      <c r="AU101" s="31">
        <f>W101</f>
        <v/>
      </c>
      <c r="AV101" s="569" t="n"/>
      <c r="AW101" s="25" t="n"/>
      <c r="AX101" s="26" t="n"/>
      <c r="AY101" s="26" t="n"/>
      <c r="AZ101" s="26" t="n"/>
      <c r="BA101" s="26" t="n"/>
      <c r="BB101" s="26" t="n"/>
      <c r="BC101" s="26" t="n"/>
      <c r="BD101" s="26" t="n"/>
      <c r="BE101" s="26" t="n"/>
      <c r="BF101" s="26" t="n"/>
      <c r="BG101" s="581">
        <f>IF(YEAR($V101)&lt;=Ret_Yr_post,SUM(AY101:BF101),0)*IF($W101=Ret_Yr_post,AV101,1)</f>
        <v/>
      </c>
      <c r="BH101" s="581">
        <f>IF($W101&gt;=Ret_Yr_post,pens_Post*(GEPF_pre="Y"),0)*IF($W101=Ret_Yr_post,1-$AV101,1)*IF(Ret_Yr_post&lt;Current,(_xlfn.IFNA(VLOOKUP($D101,CPI!$A:$E,2,FALSE),VLOOKUP(Current,CPI!$A:$E,2,FALSE))/VLOOKUP(Ret_Yr_post,CPI!$A:$E,2,FALSE)),1)</f>
        <v/>
      </c>
      <c r="BI101" s="590">
        <f>$AY101*ee_post*IF($W101=Ret_Yr_post,$AV101,1)</f>
        <v/>
      </c>
      <c r="BJ101" s="590">
        <f>$AY101*er_post*IF($W101=Ret_Yr_post,$AV101,1)</f>
        <v/>
      </c>
      <c r="BK101" s="590">
        <f>IF('LOE Sc1'!$W101=Ret_Yr_post,Gratuity_Post*(GEPF_post="Y"),0)</f>
        <v/>
      </c>
      <c r="BL101" s="581">
        <f>BG101+BH101-BI101-BJ101*(GEPF_post="Y")</f>
        <v/>
      </c>
      <c r="BM101" s="26" t="n"/>
      <c r="BN101" s="101" t="n"/>
      <c r="BO101" s="591" t="n"/>
      <c r="BP101" s="26" t="n"/>
      <c r="BQ101" s="26" t="n"/>
      <c r="BR101" s="26" t="n"/>
      <c r="BS101" s="26" t="n"/>
      <c r="BT101" s="614" t="n"/>
      <c r="BU101" s="614" t="n"/>
      <c r="BV101" s="593" t="n"/>
      <c r="BW101" s="614" t="n"/>
      <c r="BX101" s="614" t="n"/>
      <c r="BY101" s="615" t="n"/>
      <c r="BZ101" s="614" t="n"/>
      <c r="CA101" s="592">
        <f>IF($E101="FL",$AR101*$BQ101*$BR101*$BU101,$AR101)</f>
        <v/>
      </c>
      <c r="CB101" s="592">
        <f>IF($E101="FL",$BN101*$BQ101*$BR101*$BX101,$BN101)</f>
        <v/>
      </c>
      <c r="CC101" s="592" t="n"/>
      <c r="CD101" s="592" t="n"/>
      <c r="CE101" s="592" t="n"/>
      <c r="CF101" s="592" t="n"/>
      <c r="CG101" s="37" t="n"/>
      <c r="CH101" s="37" t="n"/>
      <c r="CI101" s="128" t="n"/>
      <c r="CJ101" s="37" t="n"/>
      <c r="CK101" s="37" t="n"/>
      <c r="CL101" s="37" t="n"/>
      <c r="CM101" s="37" t="n"/>
      <c r="CN101" s="37" t="n"/>
      <c r="CO101" s="37" t="n"/>
      <c r="CP101" s="37" t="n"/>
      <c r="CQ101" s="37" t="n"/>
      <c r="CR101" s="37" t="n"/>
      <c r="CS101" s="37" t="n"/>
      <c r="CT101" s="37" t="n"/>
      <c r="CU101" s="37" t="n"/>
      <c r="CV101" s="37" t="n"/>
      <c r="CW101" s="37" t="n"/>
      <c r="CX101" s="37" t="n"/>
      <c r="CY101" s="484">
        <f>Y101</f>
        <v/>
      </c>
      <c r="CZ101" s="37" t="n"/>
      <c r="DA101" s="37" t="n"/>
      <c r="DB101" s="37">
        <f t="array" ref="DB101">IFERROR(INDEX(Tax_Tables[Percentages],$CK101+MATCH($DA101,$CL101:$CR101,0)-1),"")</f>
        <v/>
      </c>
      <c r="DC101" s="37">
        <f t="array" ref="DC101">IFERROR(INDEX(Tax_Tables[Tax],$CK101+MATCH($DA101,$CL101:$CR101,0)-1),"")</f>
        <v/>
      </c>
      <c r="DD101" s="37">
        <f>IF(CY101&lt;65,CS101,IF(CY101&lt;75,CT101,CU101))</f>
        <v/>
      </c>
      <c r="DE101" s="37">
        <f>CV101*(Summary!$C$31="Y")+(Summary!$C$31="Y")*(CW101*(Pre_MDep&gt;=1)+CX101*MAX(Pre_MDep-1,0))</f>
        <v/>
      </c>
      <c r="DF101" s="599">
        <f>IFERROR(MAX(DB101*(CZ101-DA101)+DC101-DD101-DE101*12,0),"")</f>
        <v/>
      </c>
      <c r="DG101" s="602" t="n"/>
      <c r="DH101" s="37" t="n"/>
      <c r="DI101" s="37" t="n"/>
      <c r="DJ101" s="37">
        <f t="array" ref="DJ101">IFERROR(INDEX(Tax_Tables[Percentages],$CK101+MATCH($DI101,$CL101:$CR101,0)-1),"")</f>
        <v/>
      </c>
      <c r="DK101" s="37">
        <f t="array" ref="DK101">IFERROR(INDEX(Tax_Tables[Tax],$CK101+MATCH($DI101,$CL101:$CR101,0)-1),"")</f>
        <v/>
      </c>
      <c r="DL101" s="37">
        <f>CV101*(Summary!$C$81="Y")+(Summary!$C$81="Y")*(CW101*(Post_MDep&gt;=1)+CX101*MAX(Post_MDep-1,0))</f>
        <v/>
      </c>
      <c r="DM101" s="599">
        <f>IFERROR(MAX(DJ101*(DH101-DI101)+DK101-DD101-DL101*12,0),"")</f>
        <v/>
      </c>
      <c r="DN101" s="37" t="n"/>
      <c r="DO101" s="37" t="n"/>
      <c r="DP101" s="37" t="n"/>
      <c r="DQ101" s="37" t="n"/>
      <c r="DR101" s="37" t="n"/>
      <c r="DS101" s="37" t="n"/>
      <c r="DT101" s="37" t="n"/>
      <c r="DU101" s="37" t="n"/>
      <c r="DV101" s="37" t="n"/>
      <c r="DW101" s="37" t="n"/>
      <c r="DX101" s="37" t="n"/>
      <c r="DY101" s="131" t="n"/>
      <c r="DZ101" s="37" t="n"/>
      <c r="EA101" s="37" t="n"/>
      <c r="EB101" s="37" t="n"/>
      <c r="EC101" s="37" t="n"/>
      <c r="ED101" s="35" t="n"/>
      <c r="EE101" s="595" t="n"/>
      <c r="EF101" s="25" t="n"/>
    </row>
    <row r="102">
      <c r="V102" s="6" t="n"/>
      <c r="X102" s="569" t="n"/>
      <c r="Y102" s="25" t="n"/>
      <c r="Z102" s="590" t="n"/>
      <c r="AA102" s="25" t="n"/>
      <c r="AB102" s="26" t="n"/>
      <c r="AC102" s="26" t="n"/>
      <c r="AD102" s="26" t="n"/>
      <c r="AE102" s="26" t="n"/>
      <c r="AF102" s="26" t="n"/>
      <c r="AG102" s="26" t="n"/>
      <c r="AH102" s="26" t="n"/>
      <c r="AI102" s="590">
        <f>(AB102&lt;&gt;0)*12*allow_2</f>
        <v/>
      </c>
      <c r="AJ102" s="26" t="n"/>
      <c r="AK102" s="581">
        <f>IF(YEAR(W102)&lt;=Ret_Yr_pre,SUM(AC102:AJ102),0)*IF($W102=Ret_Yr_pre,X102,1)</f>
        <v/>
      </c>
      <c r="AL102" s="581">
        <f>IF($W102&gt;=Ret_Yr_pre,pens_Pre*(GEPF_pre="Y"),0)*IF($W102=Ret_Yr_pre,1-$X102,1)*IF(Ret_Yr_pre&lt;Current,(_xlfn.IFNA(VLOOKUP($D102,CPI!$A:$E,2,FALSE),VLOOKUP(Current,CPI!$A:$E,2,FALSE))/VLOOKUP(Ret_Yr_pre,CPI!$A:$E,2,FALSE)),1)</f>
        <v/>
      </c>
      <c r="AM102" s="590">
        <f>$AC102*ee*IF($W102=Ret_Yr_pre,$X102,1)</f>
        <v/>
      </c>
      <c r="AN102" s="590">
        <f>$AC102*er*IF($W102=Ret_Yr_pre,$X102,1)</f>
        <v/>
      </c>
      <c r="AO102" s="590">
        <f>IF('LOE Sc1'!$W102=Ret_Yr_pre,Gratuity_Pre*(GEPF_pre="Y"),0)</f>
        <v/>
      </c>
      <c r="AP102" s="581">
        <f>AK102+AL102-$AM102-AN102*(GEPF_pre="Y")</f>
        <v/>
      </c>
      <c r="AQ102" s="26" t="n"/>
      <c r="AR102" s="101" t="n"/>
      <c r="AS102" s="106" t="n"/>
      <c r="AT102" s="25" t="n"/>
      <c r="AU102" s="31">
        <f>W102</f>
        <v/>
      </c>
      <c r="AV102" s="569" t="n"/>
      <c r="AW102" s="25" t="n"/>
      <c r="AX102" s="26" t="n"/>
      <c r="AY102" s="26" t="n"/>
      <c r="AZ102" s="26" t="n"/>
      <c r="BA102" s="26" t="n"/>
      <c r="BB102" s="26" t="n"/>
      <c r="BC102" s="26" t="n"/>
      <c r="BD102" s="26" t="n"/>
      <c r="BE102" s="26" t="n"/>
      <c r="BF102" s="26" t="n"/>
      <c r="BG102" s="581">
        <f>IF(YEAR($V102)&lt;=Ret_Yr_post,SUM(AY102:BF102),0)*IF($W102=Ret_Yr_post,AV102,1)</f>
        <v/>
      </c>
      <c r="BH102" s="581">
        <f>IF($W102&gt;=Ret_Yr_post,pens_Post*(GEPF_pre="Y"),0)*IF($W102=Ret_Yr_post,1-$AV102,1)*IF(Ret_Yr_post&lt;Current,(_xlfn.IFNA(VLOOKUP($D102,CPI!$A:$E,2,FALSE),VLOOKUP(Current,CPI!$A:$E,2,FALSE))/VLOOKUP(Ret_Yr_post,CPI!$A:$E,2,FALSE)),1)</f>
        <v/>
      </c>
      <c r="BI102" s="590">
        <f>$AY102*ee_post*IF($W102=Ret_Yr_post,$AV102,1)</f>
        <v/>
      </c>
      <c r="BJ102" s="590">
        <f>$AY102*er_post*IF($W102=Ret_Yr_post,$AV102,1)</f>
        <v/>
      </c>
      <c r="BK102" s="590">
        <f>IF('LOE Sc1'!$W102=Ret_Yr_post,Gratuity_Post*(GEPF_post="Y"),0)</f>
        <v/>
      </c>
      <c r="BL102" s="581">
        <f>BG102+BH102-BI102-BJ102*(GEPF_post="Y")</f>
        <v/>
      </c>
      <c r="BM102" s="26" t="n"/>
      <c r="BN102" s="101" t="n"/>
      <c r="BO102" s="591" t="n"/>
      <c r="BP102" s="26" t="n"/>
      <c r="BQ102" s="26" t="n"/>
      <c r="BR102" s="26" t="n"/>
      <c r="BS102" s="26" t="n"/>
      <c r="BT102" s="614" t="n"/>
      <c r="BU102" s="614" t="n"/>
      <c r="BV102" s="593" t="n"/>
      <c r="BW102" s="614" t="n"/>
      <c r="BX102" s="614" t="n"/>
      <c r="BY102" s="615" t="n"/>
      <c r="BZ102" s="614" t="n"/>
      <c r="CA102" s="592">
        <f>IF($E102="FL",$AR102*$BQ102*$BR102*$BU102,$AR102)</f>
        <v/>
      </c>
      <c r="CB102" s="592">
        <f>IF($E102="FL",$BN102*$BQ102*$BR102*$BX102,$BN102)</f>
        <v/>
      </c>
      <c r="CC102" s="592" t="n"/>
      <c r="CD102" s="592" t="n"/>
      <c r="CE102" s="592" t="n"/>
      <c r="CF102" s="592" t="n"/>
      <c r="CG102" s="37" t="n"/>
      <c r="CH102" s="37" t="n"/>
      <c r="CI102" s="128" t="n"/>
      <c r="CJ102" s="37" t="n"/>
      <c r="CK102" s="37" t="n"/>
      <c r="CL102" s="37" t="n"/>
      <c r="CM102" s="37" t="n"/>
      <c r="CN102" s="37" t="n"/>
      <c r="CO102" s="37" t="n"/>
      <c r="CP102" s="37" t="n"/>
      <c r="CQ102" s="37" t="n"/>
      <c r="CR102" s="37" t="n"/>
      <c r="CS102" s="37" t="n"/>
      <c r="CT102" s="37" t="n"/>
      <c r="CU102" s="37" t="n"/>
      <c r="CV102" s="37" t="n"/>
      <c r="CW102" s="37" t="n"/>
      <c r="CX102" s="37" t="n"/>
      <c r="CY102" s="484">
        <f>Y102</f>
        <v/>
      </c>
      <c r="CZ102" s="37" t="n"/>
      <c r="DA102" s="37" t="n"/>
      <c r="DB102" s="37">
        <f t="array" ref="DB102">IFERROR(INDEX(Tax_Tables[Percentages],$CK102+MATCH($DA102,$CL102:$CR102,0)-1),"")</f>
        <v/>
      </c>
      <c r="DC102" s="37">
        <f t="array" ref="DC102">IFERROR(INDEX(Tax_Tables[Tax],$CK102+MATCH($DA102,$CL102:$CR102,0)-1),"")</f>
        <v/>
      </c>
      <c r="DD102" s="37">
        <f>IF(CY102&lt;65,CS102,IF(CY102&lt;75,CT102,CU102))</f>
        <v/>
      </c>
      <c r="DE102" s="37">
        <f>CV102*(Summary!$C$31="Y")+(Summary!$C$31="Y")*(CW102*(Pre_MDep&gt;=1)+CX102*MAX(Pre_MDep-1,0))</f>
        <v/>
      </c>
      <c r="DF102" s="599">
        <f>IFERROR(MAX(DB102*(CZ102-DA102)+DC102-DD102-DE102*12,0),"")</f>
        <v/>
      </c>
      <c r="DG102" s="602" t="n"/>
      <c r="DH102" s="37" t="n"/>
      <c r="DI102" s="37" t="n"/>
      <c r="DJ102" s="37">
        <f t="array" ref="DJ102">IFERROR(INDEX(Tax_Tables[Percentages],$CK102+MATCH($DI102,$CL102:$CR102,0)-1),"")</f>
        <v/>
      </c>
      <c r="DK102" s="37">
        <f t="array" ref="DK102">IFERROR(INDEX(Tax_Tables[Tax],$CK102+MATCH($DI102,$CL102:$CR102,0)-1),"")</f>
        <v/>
      </c>
      <c r="DL102" s="37">
        <f>CV102*(Summary!$C$81="Y")+(Summary!$C$81="Y")*(CW102*(Post_MDep&gt;=1)+CX102*MAX(Post_MDep-1,0))</f>
        <v/>
      </c>
      <c r="DM102" s="599">
        <f>IFERROR(MAX(DJ102*(DH102-DI102)+DK102-DD102-DL102*12,0),"")</f>
        <v/>
      </c>
      <c r="DN102" s="37" t="n"/>
      <c r="DO102" s="37" t="n"/>
      <c r="DP102" s="37" t="n"/>
      <c r="DQ102" s="37" t="n"/>
      <c r="DR102" s="37" t="n"/>
      <c r="DS102" s="37" t="n"/>
      <c r="DT102" s="37" t="n"/>
      <c r="DU102" s="37" t="n"/>
      <c r="DV102" s="37" t="n"/>
      <c r="DW102" s="37" t="n"/>
      <c r="DX102" s="37" t="n"/>
      <c r="DY102" s="131" t="n"/>
      <c r="DZ102" s="37" t="n"/>
      <c r="EA102" s="37" t="n"/>
      <c r="EB102" s="37" t="n"/>
      <c r="EC102" s="37" t="n"/>
      <c r="ED102" s="35" t="n"/>
      <c r="EE102" s="595" t="n"/>
      <c r="EF102" s="25" t="n"/>
    </row>
    <row r="103">
      <c r="V103" s="6" t="n"/>
      <c r="X103" s="569" t="n"/>
      <c r="Y103" s="25" t="n"/>
      <c r="Z103" s="590" t="n"/>
      <c r="AA103" s="25" t="n"/>
      <c r="AB103" s="26" t="n"/>
      <c r="AC103" s="26" t="n"/>
      <c r="AD103" s="26" t="n"/>
      <c r="AE103" s="26" t="n"/>
      <c r="AF103" s="26" t="n"/>
      <c r="AG103" s="26" t="n"/>
      <c r="AH103" s="26" t="n"/>
      <c r="AI103" s="590">
        <f>(AB103&lt;&gt;0)*12*allow_2</f>
        <v/>
      </c>
      <c r="AJ103" s="26" t="n"/>
      <c r="AK103" s="581">
        <f>IF(YEAR(W103)&lt;=Ret_Yr_pre,SUM(AC103:AJ103),0)*IF($W103=Ret_Yr_pre,X103,1)</f>
        <v/>
      </c>
      <c r="AL103" s="581">
        <f>IF($W103&gt;=Ret_Yr_pre,pens_Pre*(GEPF_pre="Y"),0)*IF($W103=Ret_Yr_pre,1-$X103,1)*IF(Ret_Yr_pre&lt;Current,(_xlfn.IFNA(VLOOKUP($D103,CPI!$A:$E,2,FALSE),VLOOKUP(Current,CPI!$A:$E,2,FALSE))/VLOOKUP(Ret_Yr_pre,CPI!$A:$E,2,FALSE)),1)</f>
        <v/>
      </c>
      <c r="AM103" s="590">
        <f>$AC103*ee*IF($W103=Ret_Yr_pre,$X103,1)</f>
        <v/>
      </c>
      <c r="AN103" s="590">
        <f>$AC103*er*IF($W103=Ret_Yr_pre,$X103,1)</f>
        <v/>
      </c>
      <c r="AO103" s="590">
        <f>IF('LOE Sc1'!$W103=Ret_Yr_pre,Gratuity_Pre*(GEPF_pre="Y"),0)</f>
        <v/>
      </c>
      <c r="AP103" s="581">
        <f>AK103+AL103-$AM103-AN103*(GEPF_pre="Y")</f>
        <v/>
      </c>
      <c r="AQ103" s="26" t="n"/>
      <c r="AR103" s="101" t="n"/>
      <c r="AS103" s="106" t="n"/>
      <c r="AT103" s="25" t="n"/>
      <c r="AU103" s="31">
        <f>W103</f>
        <v/>
      </c>
      <c r="AV103" s="569" t="n"/>
      <c r="AW103" s="25" t="n"/>
      <c r="AX103" s="26" t="n"/>
      <c r="AY103" s="26" t="n"/>
      <c r="AZ103" s="26" t="n"/>
      <c r="BA103" s="26" t="n"/>
      <c r="BB103" s="26" t="n"/>
      <c r="BC103" s="26" t="n"/>
      <c r="BD103" s="26" t="n"/>
      <c r="BE103" s="26" t="n"/>
      <c r="BF103" s="26" t="n"/>
      <c r="BG103" s="581">
        <f>IF(YEAR($V103)&lt;=Ret_Yr_post,SUM(AY103:BF103),0)*IF($W103=Ret_Yr_post,AV103,1)</f>
        <v/>
      </c>
      <c r="BH103" s="581">
        <f>IF($W103&gt;=Ret_Yr_post,pens_Post*(GEPF_pre="Y"),0)*IF($W103=Ret_Yr_post,1-$AV103,1)*IF(Ret_Yr_post&lt;Current,(_xlfn.IFNA(VLOOKUP($D103,CPI!$A:$E,2,FALSE),VLOOKUP(Current,CPI!$A:$E,2,FALSE))/VLOOKUP(Ret_Yr_post,CPI!$A:$E,2,FALSE)),1)</f>
        <v/>
      </c>
      <c r="BI103" s="590">
        <f>$AY103*ee_post*IF($W103=Ret_Yr_post,$AV103,1)</f>
        <v/>
      </c>
      <c r="BJ103" s="590">
        <f>$AY103*er_post*IF($W103=Ret_Yr_post,$AV103,1)</f>
        <v/>
      </c>
      <c r="BK103" s="590">
        <f>IF('LOE Sc1'!$W103=Ret_Yr_post,Gratuity_Post*(GEPF_post="Y"),0)</f>
        <v/>
      </c>
      <c r="BL103" s="581">
        <f>BG103+BH103-BI103-BJ103*(GEPF_post="Y")</f>
        <v/>
      </c>
      <c r="BM103" s="26" t="n"/>
      <c r="BN103" s="101" t="n"/>
      <c r="BO103" s="591" t="n"/>
      <c r="BP103" s="26" t="n"/>
      <c r="BQ103" s="26" t="n"/>
      <c r="BR103" s="26" t="n"/>
      <c r="BS103" s="26" t="n"/>
      <c r="BT103" s="614" t="n"/>
      <c r="BU103" s="614" t="n"/>
      <c r="BV103" s="593" t="n"/>
      <c r="BW103" s="614" t="n"/>
      <c r="BX103" s="614" t="n"/>
      <c r="BY103" s="615" t="n"/>
      <c r="BZ103" s="614" t="n"/>
      <c r="CA103" s="592">
        <f>IF($E103="FL",$AR103*$BQ103*$BR103*$BU103,$AR103)</f>
        <v/>
      </c>
      <c r="CB103" s="592">
        <f>IF($E103="FL",$BN103*$BQ103*$BR103*$BX103,$BN103)</f>
        <v/>
      </c>
      <c r="CC103" s="592" t="n"/>
      <c r="CD103" s="592" t="n"/>
      <c r="CE103" s="592" t="n"/>
      <c r="CF103" s="592" t="n"/>
      <c r="CG103" s="37" t="n"/>
      <c r="CH103" s="37" t="n"/>
      <c r="CI103" s="128" t="n"/>
      <c r="CJ103" s="37" t="n"/>
      <c r="CK103" s="37" t="n"/>
      <c r="CL103" s="37" t="n"/>
      <c r="CM103" s="37" t="n"/>
      <c r="CN103" s="37" t="n"/>
      <c r="CO103" s="37" t="n"/>
      <c r="CP103" s="37" t="n"/>
      <c r="CQ103" s="37" t="n"/>
      <c r="CR103" s="37" t="n"/>
      <c r="CS103" s="37" t="n"/>
      <c r="CT103" s="37" t="n"/>
      <c r="CU103" s="37" t="n"/>
      <c r="CV103" s="37" t="n"/>
      <c r="CW103" s="37" t="n"/>
      <c r="CX103" s="37" t="n"/>
      <c r="CY103" s="484">
        <f>Y103</f>
        <v/>
      </c>
      <c r="CZ103" s="37" t="n"/>
      <c r="DA103" s="37" t="n"/>
      <c r="DB103" s="37">
        <f t="array" ref="DB103">IFERROR(INDEX(Tax_Tables[Percentages],$CK103+MATCH($DA103,$CL103:$CR103,0)-1),"")</f>
        <v/>
      </c>
      <c r="DC103" s="37">
        <f t="array" ref="DC103">IFERROR(INDEX(Tax_Tables[Tax],$CK103+MATCH($DA103,$CL103:$CR103,0)-1),"")</f>
        <v/>
      </c>
      <c r="DD103" s="37">
        <f>IF(CY103&lt;65,CS103,IF(CY103&lt;75,CT103,CU103))</f>
        <v/>
      </c>
      <c r="DE103" s="37">
        <f>CV103*(Summary!$C$31="Y")+(Summary!$C$31="Y")*(CW103*(Pre_MDep&gt;=1)+CX103*MAX(Pre_MDep-1,0))</f>
        <v/>
      </c>
      <c r="DF103" s="599">
        <f>IFERROR(MAX(DB103*(CZ103-DA103)+DC103-DD103-DE103*12,0),"")</f>
        <v/>
      </c>
      <c r="DG103" s="602" t="n"/>
      <c r="DH103" s="37" t="n"/>
      <c r="DI103" s="37" t="n"/>
      <c r="DJ103" s="37">
        <f t="array" ref="DJ103">IFERROR(INDEX(Tax_Tables[Percentages],$CK103+MATCH($DI103,$CL103:$CR103,0)-1),"")</f>
        <v/>
      </c>
      <c r="DK103" s="37">
        <f t="array" ref="DK103">IFERROR(INDEX(Tax_Tables[Tax],$CK103+MATCH($DI103,$CL103:$CR103,0)-1),"")</f>
        <v/>
      </c>
      <c r="DL103" s="37">
        <f>CV103*(Summary!$C$81="Y")+(Summary!$C$81="Y")*(CW103*(Post_MDep&gt;=1)+CX103*MAX(Post_MDep-1,0))</f>
        <v/>
      </c>
      <c r="DM103" s="599">
        <f>IFERROR(MAX(DJ103*(DH103-DI103)+DK103-DD103-DL103*12,0),"")</f>
        <v/>
      </c>
      <c r="DN103" s="37" t="n"/>
      <c r="DO103" s="37" t="n"/>
      <c r="DP103" s="37" t="n"/>
      <c r="DQ103" s="37" t="n"/>
      <c r="DR103" s="37" t="n"/>
      <c r="DS103" s="37" t="n"/>
      <c r="DT103" s="37" t="n"/>
      <c r="DU103" s="37" t="n"/>
      <c r="DV103" s="37" t="n"/>
      <c r="DW103" s="37" t="n"/>
      <c r="DX103" s="37" t="n"/>
      <c r="DY103" s="131" t="n"/>
      <c r="DZ103" s="37" t="n"/>
      <c r="EA103" s="37" t="n"/>
      <c r="EB103" s="37" t="n"/>
      <c r="EC103" s="37" t="n"/>
      <c r="ED103" s="35" t="n"/>
      <c r="EE103" s="595" t="n"/>
      <c r="EF103" s="25" t="n"/>
    </row>
    <row r="104">
      <c r="V104" s="6" t="n"/>
      <c r="X104" s="569" t="n"/>
      <c r="Y104" s="25" t="n"/>
      <c r="Z104" s="590" t="n"/>
      <c r="AA104" s="25" t="n"/>
      <c r="AB104" s="26" t="n"/>
      <c r="AC104" s="26" t="n"/>
      <c r="AD104" s="26" t="n"/>
      <c r="AE104" s="26" t="n"/>
      <c r="AF104" s="26" t="n"/>
      <c r="AG104" s="26" t="n"/>
      <c r="AH104" s="26" t="n"/>
      <c r="AI104" s="590">
        <f>(AB104&lt;&gt;0)*12*allow_2</f>
        <v/>
      </c>
      <c r="AJ104" s="26" t="n"/>
      <c r="AK104" s="581">
        <f>IF(YEAR(W104)&lt;=Ret_Yr_pre,SUM(AC104:AJ104),0)*IF($W104=Ret_Yr_pre,X104,1)</f>
        <v/>
      </c>
      <c r="AL104" s="581">
        <f>IF($W104&gt;=Ret_Yr_pre,pens_Pre*(GEPF_pre="Y"),0)*IF($W104=Ret_Yr_pre,1-$X104,1)*IF(Ret_Yr_pre&lt;Current,(_xlfn.IFNA(VLOOKUP($D104,CPI!$A:$E,2,FALSE),VLOOKUP(Current,CPI!$A:$E,2,FALSE))/VLOOKUP(Ret_Yr_pre,CPI!$A:$E,2,FALSE)),1)</f>
        <v/>
      </c>
      <c r="AM104" s="590">
        <f>$AC104*ee*IF($W104=Ret_Yr_pre,$X104,1)</f>
        <v/>
      </c>
      <c r="AN104" s="590">
        <f>$AC104*er*IF($W104=Ret_Yr_pre,$X104,1)</f>
        <v/>
      </c>
      <c r="AO104" s="590">
        <f>IF('LOE Sc1'!$W104=Ret_Yr_pre,Gratuity_Pre*(GEPF_pre="Y"),0)</f>
        <v/>
      </c>
      <c r="AP104" s="581">
        <f>AK104+AL104-$AM104-AN104*(GEPF_pre="Y")</f>
        <v/>
      </c>
      <c r="AQ104" s="26" t="n"/>
      <c r="AR104" s="101" t="n"/>
      <c r="AS104" s="106" t="n"/>
      <c r="AT104" s="25" t="n"/>
      <c r="AU104" s="31">
        <f>W104</f>
        <v/>
      </c>
      <c r="AV104" s="569" t="n"/>
      <c r="AW104" s="25" t="n"/>
      <c r="AX104" s="26" t="n"/>
      <c r="AY104" s="26" t="n"/>
      <c r="AZ104" s="26" t="n"/>
      <c r="BA104" s="26" t="n"/>
      <c r="BB104" s="26" t="n"/>
      <c r="BC104" s="26" t="n"/>
      <c r="BD104" s="26" t="n"/>
      <c r="BE104" s="26" t="n"/>
      <c r="BF104" s="26" t="n"/>
      <c r="BG104" s="581">
        <f>IF(YEAR($V104)&lt;=Ret_Yr_post,SUM(AY104:BF104),0)*IF($W104=Ret_Yr_post,AV104,1)</f>
        <v/>
      </c>
      <c r="BH104" s="581">
        <f>IF($W104&gt;=Ret_Yr_post,pens_Post*(GEPF_pre="Y"),0)*IF($W104=Ret_Yr_post,1-$AV104,1)*IF(Ret_Yr_post&lt;Current,(_xlfn.IFNA(VLOOKUP($D104,CPI!$A:$E,2,FALSE),VLOOKUP(Current,CPI!$A:$E,2,FALSE))/VLOOKUP(Ret_Yr_post,CPI!$A:$E,2,FALSE)),1)</f>
        <v/>
      </c>
      <c r="BI104" s="590">
        <f>$AY104*ee_post*IF($W104=Ret_Yr_post,$AV104,1)</f>
        <v/>
      </c>
      <c r="BJ104" s="590">
        <f>$AY104*er_post*IF($W104=Ret_Yr_post,$AV104,1)</f>
        <v/>
      </c>
      <c r="BK104" s="590">
        <f>IF('LOE Sc1'!$W104=Ret_Yr_post,Gratuity_Post*(GEPF_post="Y"),0)</f>
        <v/>
      </c>
      <c r="BL104" s="581">
        <f>BG104+BH104-BI104-BJ104*(GEPF_post="Y")</f>
        <v/>
      </c>
      <c r="BM104" s="26" t="n"/>
      <c r="BN104" s="101" t="n"/>
      <c r="BO104" s="591" t="n"/>
      <c r="BP104" s="26" t="n"/>
      <c r="BQ104" s="26" t="n"/>
      <c r="BR104" s="26" t="n"/>
      <c r="BS104" s="26" t="n"/>
      <c r="BT104" s="614" t="n"/>
      <c r="BU104" s="614" t="n"/>
      <c r="BV104" s="593" t="n"/>
      <c r="BW104" s="614" t="n"/>
      <c r="BX104" s="614" t="n"/>
      <c r="BY104" s="615" t="n"/>
      <c r="BZ104" s="614" t="n"/>
      <c r="CA104" s="592">
        <f>IF($E104="FL",$AR104*$BQ104*$BR104*$BU104,$AR104)</f>
        <v/>
      </c>
      <c r="CB104" s="592">
        <f>IF($E104="FL",$BN104*$BQ104*$BR104*$BX104,$BN104)</f>
        <v/>
      </c>
      <c r="CC104" s="592" t="n"/>
      <c r="CD104" s="592" t="n"/>
      <c r="CE104" s="592" t="n"/>
      <c r="CF104" s="592" t="n"/>
      <c r="CG104" s="37" t="n"/>
      <c r="CH104" s="37" t="n"/>
      <c r="CI104" s="128" t="n"/>
      <c r="CJ104" s="37" t="n"/>
      <c r="CK104" s="37" t="n"/>
      <c r="CL104" s="37" t="n"/>
      <c r="CM104" s="37" t="n"/>
      <c r="CN104" s="37" t="n"/>
      <c r="CO104" s="37" t="n"/>
      <c r="CP104" s="37" t="n"/>
      <c r="CQ104" s="37" t="n"/>
      <c r="CR104" s="37" t="n"/>
      <c r="CS104" s="37" t="n"/>
      <c r="CT104" s="37" t="n"/>
      <c r="CU104" s="37" t="n"/>
      <c r="CV104" s="37" t="n"/>
      <c r="CW104" s="37" t="n"/>
      <c r="CX104" s="37" t="n"/>
      <c r="CY104" s="484">
        <f>Y104</f>
        <v/>
      </c>
      <c r="CZ104" s="37" t="n"/>
      <c r="DA104" s="37" t="n"/>
      <c r="DB104" s="37">
        <f t="array" ref="DB104">IFERROR(INDEX(Tax_Tables[Percentages],$CK104+MATCH($DA104,$CL104:$CR104,0)-1),"")</f>
        <v/>
      </c>
      <c r="DC104" s="37">
        <f t="array" ref="DC104">IFERROR(INDEX(Tax_Tables[Tax],$CK104+MATCH($DA104,$CL104:$CR104,0)-1),"")</f>
        <v/>
      </c>
      <c r="DD104" s="37">
        <f>IF(CY104&lt;65,CS104,IF(CY104&lt;75,CT104,CU104))</f>
        <v/>
      </c>
      <c r="DE104" s="37">
        <f>CV104*(Summary!$C$31="Y")+(Summary!$C$31="Y")*(CW104*(Pre_MDep&gt;=1)+CX104*MAX(Pre_MDep-1,0))</f>
        <v/>
      </c>
      <c r="DF104" s="599">
        <f>IFERROR(MAX(DB104*(CZ104-DA104)+DC104-DD104-DE104*12,0),"")</f>
        <v/>
      </c>
      <c r="DG104" s="602" t="n"/>
      <c r="DH104" s="37" t="n"/>
      <c r="DI104" s="37" t="n"/>
      <c r="DJ104" s="37">
        <f t="array" ref="DJ104">IFERROR(INDEX(Tax_Tables[Percentages],$CK104+MATCH($DI104,$CL104:$CR104,0)-1),"")</f>
        <v/>
      </c>
      <c r="DK104" s="37">
        <f t="array" ref="DK104">IFERROR(INDEX(Tax_Tables[Tax],$CK104+MATCH($DI104,$CL104:$CR104,0)-1),"")</f>
        <v/>
      </c>
      <c r="DL104" s="37">
        <f>CV104*(Summary!$C$81="Y")+(Summary!$C$81="Y")*(CW104*(Post_MDep&gt;=1)+CX104*MAX(Post_MDep-1,0))</f>
        <v/>
      </c>
      <c r="DM104" s="599">
        <f>IFERROR(MAX(DJ104*(DH104-DI104)+DK104-DD104-DL104*12,0),"")</f>
        <v/>
      </c>
      <c r="DN104" s="37" t="n"/>
      <c r="DO104" s="37" t="n"/>
      <c r="DP104" s="37" t="n"/>
      <c r="DQ104" s="37" t="n"/>
      <c r="DR104" s="37" t="n"/>
      <c r="DS104" s="37" t="n"/>
      <c r="DT104" s="37" t="n"/>
      <c r="DU104" s="37" t="n"/>
      <c r="DV104" s="37" t="n"/>
      <c r="DW104" s="37" t="n"/>
      <c r="DX104" s="37" t="n"/>
      <c r="DY104" s="131" t="n"/>
      <c r="DZ104" s="37" t="n"/>
      <c r="EA104" s="37" t="n"/>
      <c r="EB104" s="37" t="n"/>
      <c r="EC104" s="37" t="n"/>
      <c r="ED104" s="35" t="n"/>
      <c r="EE104" s="595" t="n"/>
      <c r="EF104" s="25" t="n"/>
    </row>
    <row r="105">
      <c r="V105" s="6" t="n"/>
      <c r="X105" s="569" t="n"/>
      <c r="Y105" s="25" t="n"/>
      <c r="Z105" s="590" t="n"/>
      <c r="AA105" s="25" t="n"/>
      <c r="AB105" s="26" t="n"/>
      <c r="AC105" s="26" t="n"/>
      <c r="AD105" s="26" t="n"/>
      <c r="AE105" s="26" t="n"/>
      <c r="AF105" s="26" t="n"/>
      <c r="AG105" s="26" t="n"/>
      <c r="AH105" s="26" t="n"/>
      <c r="AI105" s="590">
        <f>(AB105&lt;&gt;0)*12*allow_2</f>
        <v/>
      </c>
      <c r="AJ105" s="26" t="n"/>
      <c r="AK105" s="581">
        <f>IF(YEAR(W105)&lt;=Ret_Yr_pre,SUM(AC105:AJ105),0)*IF($W105=Ret_Yr_pre,X105,1)</f>
        <v/>
      </c>
      <c r="AL105" s="581">
        <f>IF($W105&gt;=Ret_Yr_pre,pens_Pre*(GEPF_pre="Y"),0)*IF($W105=Ret_Yr_pre,1-$X105,1)*IF(Ret_Yr_pre&lt;Current,(_xlfn.IFNA(VLOOKUP($D105,CPI!$A:$E,2,FALSE),VLOOKUP(Current,CPI!$A:$E,2,FALSE))/VLOOKUP(Ret_Yr_pre,CPI!$A:$E,2,FALSE)),1)</f>
        <v/>
      </c>
      <c r="AM105" s="590">
        <f>$AC105*ee*IF($W105=Ret_Yr_pre,$X105,1)</f>
        <v/>
      </c>
      <c r="AN105" s="590">
        <f>$AC105*er*IF($W105=Ret_Yr_pre,$X105,1)</f>
        <v/>
      </c>
      <c r="AO105" s="590">
        <f>IF('LOE Sc1'!$W105=Ret_Yr_pre,Gratuity_Pre*(GEPF_pre="Y"),0)</f>
        <v/>
      </c>
      <c r="AP105" s="581">
        <f>AK105+AL105-$AM105-AN105*(GEPF_pre="Y")</f>
        <v/>
      </c>
      <c r="AQ105" s="26" t="n"/>
      <c r="AR105" s="101" t="n"/>
      <c r="AS105" s="106" t="n"/>
      <c r="AT105" s="25" t="n"/>
      <c r="AU105" s="31">
        <f>W105</f>
        <v/>
      </c>
      <c r="AV105" s="569" t="n"/>
      <c r="AW105" s="25" t="n"/>
      <c r="AX105" s="26" t="n"/>
      <c r="AY105" s="26" t="n"/>
      <c r="AZ105" s="26" t="n"/>
      <c r="BA105" s="26" t="n"/>
      <c r="BB105" s="26" t="n"/>
      <c r="BC105" s="26" t="n"/>
      <c r="BD105" s="26" t="n"/>
      <c r="BE105" s="26" t="n"/>
      <c r="BF105" s="26" t="n"/>
      <c r="BG105" s="581">
        <f>IF(YEAR($V105)&lt;=Ret_Yr_post,SUM(AY105:BF105),0)*IF($W105=Ret_Yr_post,AV105,1)</f>
        <v/>
      </c>
      <c r="BH105" s="581">
        <f>IF($W105&gt;=Ret_Yr_post,pens_Post*(GEPF_pre="Y"),0)*IF($W105=Ret_Yr_post,1-$AV105,1)*IF(Ret_Yr_post&lt;Current,(_xlfn.IFNA(VLOOKUP($D105,CPI!$A:$E,2,FALSE),VLOOKUP(Current,CPI!$A:$E,2,FALSE))/VLOOKUP(Ret_Yr_post,CPI!$A:$E,2,FALSE)),1)</f>
        <v/>
      </c>
      <c r="BI105" s="590">
        <f>$AY105*ee_post*IF($W105=Ret_Yr_post,$AV105,1)</f>
        <v/>
      </c>
      <c r="BJ105" s="590">
        <f>$AY105*er_post*IF($W105=Ret_Yr_post,$AV105,1)</f>
        <v/>
      </c>
      <c r="BK105" s="590">
        <f>IF('LOE Sc1'!$W105=Ret_Yr_post,Gratuity_Post*(GEPF_post="Y"),0)</f>
        <v/>
      </c>
      <c r="BL105" s="581">
        <f>BG105+BH105-BI105-BJ105*(GEPF_post="Y")</f>
        <v/>
      </c>
      <c r="BM105" s="26" t="n"/>
      <c r="BN105" s="101" t="n"/>
      <c r="BO105" s="591" t="n"/>
      <c r="BP105" s="26" t="n"/>
      <c r="BQ105" s="26" t="n"/>
      <c r="BR105" s="26" t="n"/>
      <c r="BS105" s="26" t="n"/>
      <c r="BT105" s="614" t="n"/>
      <c r="BU105" s="614" t="n"/>
      <c r="BV105" s="593" t="n"/>
      <c r="BW105" s="614" t="n"/>
      <c r="BX105" s="614" t="n"/>
      <c r="BY105" s="615" t="n"/>
      <c r="BZ105" s="614" t="n"/>
      <c r="CA105" s="592">
        <f>IF($E105="FL",$AR105*$BQ105*$BR105*$BU105,$AR105)</f>
        <v/>
      </c>
      <c r="CB105" s="592">
        <f>IF($E105="FL",$BN105*$BQ105*$BR105*$BX105,$BN105)</f>
        <v/>
      </c>
      <c r="CC105" s="592" t="n"/>
      <c r="CD105" s="592" t="n"/>
      <c r="CE105" s="592" t="n"/>
      <c r="CF105" s="592" t="n"/>
      <c r="CG105" s="37" t="n"/>
      <c r="CH105" s="37" t="n"/>
      <c r="CI105" s="128" t="n"/>
      <c r="CJ105" s="37" t="n"/>
      <c r="CK105" s="37" t="n"/>
      <c r="CL105" s="37" t="n"/>
      <c r="CM105" s="37" t="n"/>
      <c r="CN105" s="37" t="n"/>
      <c r="CO105" s="37" t="n"/>
      <c r="CP105" s="37" t="n"/>
      <c r="CQ105" s="37" t="n"/>
      <c r="CR105" s="37" t="n"/>
      <c r="CS105" s="37" t="n"/>
      <c r="CT105" s="37" t="n"/>
      <c r="CU105" s="37" t="n"/>
      <c r="CV105" s="37" t="n"/>
      <c r="CW105" s="37" t="n"/>
      <c r="CX105" s="37" t="n"/>
      <c r="CY105" s="484">
        <f>Y105</f>
        <v/>
      </c>
      <c r="CZ105" s="37" t="n"/>
      <c r="DA105" s="37" t="n"/>
      <c r="DB105" s="37">
        <f t="array" ref="DB105">IFERROR(INDEX(Tax_Tables[Percentages],$CK105+MATCH($DA105,$CL105:$CR105,0)-1),"")</f>
        <v/>
      </c>
      <c r="DC105" s="37">
        <f t="array" ref="DC105">IFERROR(INDEX(Tax_Tables[Tax],$CK105+MATCH($DA105,$CL105:$CR105,0)-1),"")</f>
        <v/>
      </c>
      <c r="DD105" s="37">
        <f>IF(CY105&lt;65,CS105,IF(CY105&lt;75,CT105,CU105))</f>
        <v/>
      </c>
      <c r="DE105" s="37">
        <f>CV105*(Summary!$C$31="Y")+(Summary!$C$31="Y")*(CW105*(Pre_MDep&gt;=1)+CX105*MAX(Pre_MDep-1,0))</f>
        <v/>
      </c>
      <c r="DF105" s="599">
        <f>IFERROR(MAX(DB105*(CZ105-DA105)+DC105-DD105-DE105*12,0),"")</f>
        <v/>
      </c>
      <c r="DG105" s="602" t="n"/>
      <c r="DH105" s="37" t="n"/>
      <c r="DI105" s="37" t="n"/>
      <c r="DJ105" s="37">
        <f t="array" ref="DJ105">IFERROR(INDEX(Tax_Tables[Percentages],$CK105+MATCH($DI105,$CL105:$CR105,0)-1),"")</f>
        <v/>
      </c>
      <c r="DK105" s="37">
        <f t="array" ref="DK105">IFERROR(INDEX(Tax_Tables[Tax],$CK105+MATCH($DI105,$CL105:$CR105,0)-1),"")</f>
        <v/>
      </c>
      <c r="DL105" s="37">
        <f>CV105*(Summary!$C$81="Y")+(Summary!$C$81="Y")*(CW105*(Post_MDep&gt;=1)+CX105*MAX(Post_MDep-1,0))</f>
        <v/>
      </c>
      <c r="DM105" s="599">
        <f>IFERROR(MAX(DJ105*(DH105-DI105)+DK105-DD105-DL105*12,0),"")</f>
        <v/>
      </c>
      <c r="DN105" s="37" t="n"/>
      <c r="DO105" s="37" t="n"/>
      <c r="DP105" s="37" t="n"/>
      <c r="DQ105" s="37" t="n"/>
      <c r="DR105" s="37" t="n"/>
      <c r="DS105" s="37" t="n"/>
      <c r="DT105" s="37" t="n"/>
      <c r="DU105" s="37" t="n"/>
      <c r="DV105" s="37" t="n"/>
      <c r="DW105" s="37" t="n"/>
      <c r="DX105" s="37" t="n"/>
      <c r="DY105" s="131" t="n"/>
      <c r="DZ105" s="37" t="n"/>
      <c r="EA105" s="37" t="n"/>
      <c r="EB105" s="37" t="n"/>
      <c r="EC105" s="37" t="n"/>
      <c r="ED105" s="35" t="n"/>
      <c r="EE105" s="595" t="n"/>
      <c r="EF105" s="25" t="n"/>
    </row>
    <row r="106">
      <c r="V106" s="6" t="n"/>
      <c r="X106" s="569" t="n"/>
      <c r="Y106" s="25" t="n"/>
      <c r="Z106" s="590" t="n"/>
      <c r="AA106" s="25" t="n"/>
      <c r="AB106" s="26" t="n"/>
      <c r="AC106" s="26" t="n"/>
      <c r="AD106" s="26" t="n"/>
      <c r="AE106" s="26" t="n"/>
      <c r="AF106" s="26" t="n"/>
      <c r="AG106" s="26" t="n"/>
      <c r="AH106" s="26" t="n"/>
      <c r="AI106" s="590">
        <f>(AB106&lt;&gt;0)*12*allow_2</f>
        <v/>
      </c>
      <c r="AJ106" s="26" t="n"/>
      <c r="AK106" s="581">
        <f>IF(YEAR(W106)&lt;=Ret_Yr_pre,SUM(AC106:AJ106),0)*IF($W106=Ret_Yr_pre,X106,1)</f>
        <v/>
      </c>
      <c r="AL106" s="581">
        <f>IF($W106&gt;=Ret_Yr_pre,pens_Pre*(GEPF_pre="Y"),0)*IF($W106=Ret_Yr_pre,1-$X106,1)*IF(Ret_Yr_pre&lt;Current,(_xlfn.IFNA(VLOOKUP($D106,CPI!$A:$E,2,FALSE),VLOOKUP(Current,CPI!$A:$E,2,FALSE))/VLOOKUP(Ret_Yr_pre,CPI!$A:$E,2,FALSE)),1)</f>
        <v/>
      </c>
      <c r="AM106" s="590">
        <f>$AC106*ee*IF($W106=Ret_Yr_pre,$X106,1)</f>
        <v/>
      </c>
      <c r="AN106" s="590">
        <f>$AC106*er*IF($W106=Ret_Yr_pre,$X106,1)</f>
        <v/>
      </c>
      <c r="AO106" s="590">
        <f>IF('LOE Sc1'!$W106=Ret_Yr_pre,Gratuity_Pre*(GEPF_pre="Y"),0)</f>
        <v/>
      </c>
      <c r="AP106" s="581">
        <f>AK106+AL106-$AM106-AN106*(GEPF_pre="Y")</f>
        <v/>
      </c>
      <c r="AQ106" s="26" t="n"/>
      <c r="AR106" s="101" t="n"/>
      <c r="AS106" s="106" t="n"/>
      <c r="AT106" s="25" t="n"/>
      <c r="AU106" s="31">
        <f>W106</f>
        <v/>
      </c>
      <c r="AV106" s="569" t="n"/>
      <c r="AW106" s="25" t="n"/>
      <c r="AX106" s="26" t="n"/>
      <c r="AY106" s="26" t="n"/>
      <c r="AZ106" s="26" t="n"/>
      <c r="BA106" s="26" t="n"/>
      <c r="BB106" s="26" t="n"/>
      <c r="BC106" s="26" t="n"/>
      <c r="BD106" s="26" t="n"/>
      <c r="BE106" s="26" t="n"/>
      <c r="BF106" s="26" t="n"/>
      <c r="BG106" s="581">
        <f>IF(YEAR($V106)&lt;=Ret_Yr_post,SUM(AY106:BF106),0)*IF($W106=Ret_Yr_post,AV106,1)</f>
        <v/>
      </c>
      <c r="BH106" s="581">
        <f>IF($W106&gt;=Ret_Yr_post,pens_Post*(GEPF_pre="Y"),0)*IF($W106=Ret_Yr_post,1-$AV106,1)*IF(Ret_Yr_post&lt;Current,(_xlfn.IFNA(VLOOKUP($D106,CPI!$A:$E,2,FALSE),VLOOKUP(Current,CPI!$A:$E,2,FALSE))/VLOOKUP(Ret_Yr_post,CPI!$A:$E,2,FALSE)),1)</f>
        <v/>
      </c>
      <c r="BI106" s="590">
        <f>$AY106*ee_post*IF($W106=Ret_Yr_post,$AV106,1)</f>
        <v/>
      </c>
      <c r="BJ106" s="590">
        <f>$AY106*er_post*IF($W106=Ret_Yr_post,$AV106,1)</f>
        <v/>
      </c>
      <c r="BK106" s="590">
        <f>IF('LOE Sc1'!$W106=Ret_Yr_post,Gratuity_Post*(GEPF_post="Y"),0)</f>
        <v/>
      </c>
      <c r="BL106" s="581">
        <f>BG106+BH106-BI106-BJ106*(GEPF_post="Y")</f>
        <v/>
      </c>
      <c r="BM106" s="26" t="n"/>
      <c r="BN106" s="101" t="n"/>
      <c r="BO106" s="591" t="n"/>
      <c r="BP106" s="26" t="n"/>
      <c r="BQ106" s="26" t="n"/>
      <c r="BR106" s="26" t="n"/>
      <c r="BS106" s="26" t="n"/>
      <c r="BT106" s="614" t="n"/>
      <c r="BU106" s="614" t="n"/>
      <c r="BV106" s="593" t="n"/>
      <c r="BW106" s="614" t="n"/>
      <c r="BX106" s="614" t="n"/>
      <c r="BY106" s="615" t="n"/>
      <c r="BZ106" s="614" t="n"/>
      <c r="CA106" s="592">
        <f>IF($E106="FL",$AR106*$BQ106*$BR106*$BU106,$AR106)</f>
        <v/>
      </c>
      <c r="CB106" s="592">
        <f>IF($E106="FL",$BN106*$BQ106*$BR106*$BX106,$BN106)</f>
        <v/>
      </c>
      <c r="CC106" s="592" t="n"/>
      <c r="CD106" s="592" t="n"/>
      <c r="CE106" s="592" t="n"/>
      <c r="CF106" s="592" t="n"/>
      <c r="CG106" s="37" t="n"/>
      <c r="CH106" s="37" t="n"/>
      <c r="CI106" s="128" t="n"/>
      <c r="CJ106" s="37" t="n"/>
      <c r="CK106" s="37" t="n"/>
      <c r="CL106" s="37" t="n"/>
      <c r="CM106" s="37" t="n"/>
      <c r="CN106" s="37" t="n"/>
      <c r="CO106" s="37" t="n"/>
      <c r="CP106" s="37" t="n"/>
      <c r="CQ106" s="37" t="n"/>
      <c r="CR106" s="37" t="n"/>
      <c r="CS106" s="37" t="n"/>
      <c r="CT106" s="37" t="n"/>
      <c r="CU106" s="37" t="n"/>
      <c r="CV106" s="37" t="n"/>
      <c r="CW106" s="37" t="n"/>
      <c r="CX106" s="37" t="n"/>
      <c r="CY106" s="484">
        <f>Y106</f>
        <v/>
      </c>
      <c r="CZ106" s="37" t="n"/>
      <c r="DA106" s="37" t="n"/>
      <c r="DB106" s="37">
        <f t="array" ref="DB106">IFERROR(INDEX(Tax_Tables[Percentages],$CK106+MATCH($DA106,$CL106:$CR106,0)-1),"")</f>
        <v/>
      </c>
      <c r="DC106" s="37">
        <f t="array" ref="DC106">IFERROR(INDEX(Tax_Tables[Tax],$CK106+MATCH($DA106,$CL106:$CR106,0)-1),"")</f>
        <v/>
      </c>
      <c r="DD106" s="37">
        <f>IF(CY106&lt;65,CS106,IF(CY106&lt;75,CT106,CU106))</f>
        <v/>
      </c>
      <c r="DE106" s="37">
        <f>CV106*(Summary!$C$31="Y")+(Summary!$C$31="Y")*(CW106*(Pre_MDep&gt;=1)+CX106*MAX(Pre_MDep-1,0))</f>
        <v/>
      </c>
      <c r="DF106" s="599">
        <f>IFERROR(MAX(DB106*(CZ106-DA106)+DC106-DD106-DE106*12,0),"")</f>
        <v/>
      </c>
      <c r="DG106" s="602" t="n"/>
      <c r="DH106" s="37" t="n"/>
      <c r="DI106" s="37" t="n"/>
      <c r="DJ106" s="37">
        <f t="array" ref="DJ106">IFERROR(INDEX(Tax_Tables[Percentages],$CK106+MATCH($DI106,$CL106:$CR106,0)-1),"")</f>
        <v/>
      </c>
      <c r="DK106" s="37">
        <f t="array" ref="DK106">IFERROR(INDEX(Tax_Tables[Tax],$CK106+MATCH($DI106,$CL106:$CR106,0)-1),"")</f>
        <v/>
      </c>
      <c r="DL106" s="37">
        <f>CV106*(Summary!$C$81="Y")+(Summary!$C$81="Y")*(CW106*(Post_MDep&gt;=1)+CX106*MAX(Post_MDep-1,0))</f>
        <v/>
      </c>
      <c r="DM106" s="599">
        <f>IFERROR(MAX(DJ106*(DH106-DI106)+DK106-DD106-DL106*12,0),"")</f>
        <v/>
      </c>
      <c r="DN106" s="37" t="n"/>
      <c r="DO106" s="37" t="n"/>
      <c r="DP106" s="37" t="n"/>
      <c r="DQ106" s="37" t="n"/>
      <c r="DR106" s="37" t="n"/>
      <c r="DS106" s="37" t="n"/>
      <c r="DT106" s="37" t="n"/>
      <c r="DU106" s="37" t="n"/>
      <c r="DV106" s="37" t="n"/>
      <c r="DW106" s="37" t="n"/>
      <c r="DX106" s="37" t="n"/>
      <c r="DY106" s="131" t="n"/>
      <c r="DZ106" s="37" t="n"/>
      <c r="EA106" s="37" t="n"/>
      <c r="EB106" s="37" t="n"/>
      <c r="EC106" s="37" t="n"/>
      <c r="ED106" s="35" t="n"/>
      <c r="EE106" s="595" t="n"/>
      <c r="EF106" s="25" t="n"/>
    </row>
    <row r="107">
      <c r="V107" s="6" t="n"/>
      <c r="X107" s="569" t="n"/>
      <c r="Y107" s="25" t="n"/>
      <c r="Z107" s="590" t="n"/>
      <c r="AA107" s="25" t="n"/>
      <c r="AB107" s="26" t="n"/>
      <c r="AC107" s="26" t="n"/>
      <c r="AD107" s="26" t="n"/>
      <c r="AE107" s="26" t="n"/>
      <c r="AF107" s="26" t="n"/>
      <c r="AG107" s="26" t="n"/>
      <c r="AH107" s="26" t="n"/>
      <c r="AI107" s="590">
        <f>(AB107&lt;&gt;0)*12*allow_2</f>
        <v/>
      </c>
      <c r="AJ107" s="26" t="n"/>
      <c r="AK107" s="581">
        <f>IF(YEAR(W107)&lt;=Ret_Yr_pre,SUM(AC107:AJ107),0)*IF($W107=Ret_Yr_pre,X107,1)</f>
        <v/>
      </c>
      <c r="AL107" s="581">
        <f>IF($W107&gt;=Ret_Yr_pre,pens_Pre*(GEPF_pre="Y"),0)*IF($W107=Ret_Yr_pre,1-$X107,1)*IF(Ret_Yr_pre&lt;Current,(_xlfn.IFNA(VLOOKUP($D107,CPI!$A:$E,2,FALSE),VLOOKUP(Current,CPI!$A:$E,2,FALSE))/VLOOKUP(Ret_Yr_pre,CPI!$A:$E,2,FALSE)),1)</f>
        <v/>
      </c>
      <c r="AM107" s="590">
        <f>$AC107*ee*IF($W107=Ret_Yr_pre,$X107,1)</f>
        <v/>
      </c>
      <c r="AN107" s="590">
        <f>$AC107*er*IF($W107=Ret_Yr_pre,$X107,1)</f>
        <v/>
      </c>
      <c r="AO107" s="590">
        <f>IF('LOE Sc1'!$W107=Ret_Yr_pre,Gratuity_Pre*(GEPF_pre="Y"),0)</f>
        <v/>
      </c>
      <c r="AP107" s="581">
        <f>AK107+AL107-$AM107-AN107*(GEPF_pre="Y")</f>
        <v/>
      </c>
      <c r="AQ107" s="26" t="n"/>
      <c r="AR107" s="101" t="n"/>
      <c r="AS107" s="106" t="n"/>
      <c r="AT107" s="25" t="n"/>
      <c r="AU107" s="31">
        <f>W107</f>
        <v/>
      </c>
      <c r="AV107" s="569" t="n"/>
      <c r="AW107" s="25" t="n"/>
      <c r="AX107" s="26" t="n"/>
      <c r="AY107" s="26" t="n"/>
      <c r="AZ107" s="26" t="n"/>
      <c r="BA107" s="26" t="n"/>
      <c r="BB107" s="26" t="n"/>
      <c r="BC107" s="26" t="n"/>
      <c r="BD107" s="26" t="n"/>
      <c r="BE107" s="26" t="n"/>
      <c r="BF107" s="26" t="n"/>
      <c r="BG107" s="581">
        <f>IF(YEAR($V107)&lt;=Ret_Yr_post,SUM(AY107:BF107),0)*IF($W107=Ret_Yr_post,AV107,1)</f>
        <v/>
      </c>
      <c r="BH107" s="581">
        <f>IF($W107&gt;=Ret_Yr_post,pens_Post*(GEPF_pre="Y"),0)*IF($W107=Ret_Yr_post,1-$AV107,1)*IF(Ret_Yr_post&lt;Current,(_xlfn.IFNA(VLOOKUP($D107,CPI!$A:$E,2,FALSE),VLOOKUP(Current,CPI!$A:$E,2,FALSE))/VLOOKUP(Ret_Yr_post,CPI!$A:$E,2,FALSE)),1)</f>
        <v/>
      </c>
      <c r="BI107" s="590">
        <f>$AY107*ee_post*IF($W107=Ret_Yr_post,$AV107,1)</f>
        <v/>
      </c>
      <c r="BJ107" s="590">
        <f>$AY107*er_post*IF($W107=Ret_Yr_post,$AV107,1)</f>
        <v/>
      </c>
      <c r="BK107" s="590">
        <f>IF('LOE Sc1'!$W107=Ret_Yr_post,Gratuity_Post*(GEPF_post="Y"),0)</f>
        <v/>
      </c>
      <c r="BL107" s="581">
        <f>BG107+BH107-BI107-BJ107*(GEPF_post="Y")</f>
        <v/>
      </c>
      <c r="BM107" s="26" t="n"/>
      <c r="BN107" s="101" t="n"/>
      <c r="BO107" s="591" t="n"/>
      <c r="BP107" s="26" t="n"/>
      <c r="BQ107" s="26" t="n"/>
      <c r="BR107" s="26" t="n"/>
      <c r="BS107" s="26" t="n"/>
      <c r="BT107" s="614" t="n"/>
      <c r="BU107" s="614" t="n"/>
      <c r="BV107" s="593" t="n"/>
      <c r="BW107" s="614" t="n"/>
      <c r="BX107" s="614" t="n"/>
      <c r="BY107" s="615" t="n"/>
      <c r="BZ107" s="614" t="n"/>
      <c r="CA107" s="592">
        <f>IF($E107="FL",$AR107*$BQ107*$BR107*$BU107,$AR107)</f>
        <v/>
      </c>
      <c r="CB107" s="592">
        <f>IF($E107="FL",$BN107*$BQ107*$BR107*$BX107,$BN107)</f>
        <v/>
      </c>
      <c r="CC107" s="592" t="n"/>
      <c r="CD107" s="592" t="n"/>
      <c r="CE107" s="592" t="n"/>
      <c r="CF107" s="592" t="n"/>
      <c r="CG107" s="37" t="n"/>
      <c r="CH107" s="37" t="n"/>
      <c r="CI107" s="128" t="n"/>
      <c r="CJ107" s="37" t="n"/>
      <c r="CK107" s="37" t="n"/>
      <c r="CL107" s="37" t="n"/>
      <c r="CM107" s="37" t="n"/>
      <c r="CN107" s="37" t="n"/>
      <c r="CO107" s="37" t="n"/>
      <c r="CP107" s="37" t="n"/>
      <c r="CQ107" s="37" t="n"/>
      <c r="CR107" s="37" t="n"/>
      <c r="CS107" s="37" t="n"/>
      <c r="CT107" s="37" t="n"/>
      <c r="CU107" s="37" t="n"/>
      <c r="CV107" s="37" t="n"/>
      <c r="CW107" s="37" t="n"/>
      <c r="CX107" s="37" t="n"/>
      <c r="CY107" s="484">
        <f>Y107</f>
        <v/>
      </c>
      <c r="CZ107" s="37" t="n"/>
      <c r="DA107" s="37" t="n"/>
      <c r="DB107" s="37">
        <f t="array" ref="DB107">IFERROR(INDEX(Tax_Tables[Percentages],$CK107+MATCH($DA107,$CL107:$CR107,0)-1),"")</f>
        <v/>
      </c>
      <c r="DC107" s="37">
        <f t="array" ref="DC107">IFERROR(INDEX(Tax_Tables[Tax],$CK107+MATCH($DA107,$CL107:$CR107,0)-1),"")</f>
        <v/>
      </c>
      <c r="DD107" s="37">
        <f>IF(CY107&lt;65,CS107,IF(CY107&lt;75,CT107,CU107))</f>
        <v/>
      </c>
      <c r="DE107" s="37">
        <f>CV107*(Summary!$C$31="Y")+(Summary!$C$31="Y")*(CW107*(Pre_MDep&gt;=1)+CX107*MAX(Pre_MDep-1,0))</f>
        <v/>
      </c>
      <c r="DF107" s="599">
        <f>IFERROR(MAX(DB107*(CZ107-DA107)+DC107-DD107-DE107*12,0),"")</f>
        <v/>
      </c>
      <c r="DG107" s="602" t="n"/>
      <c r="DH107" s="37" t="n"/>
      <c r="DI107" s="37" t="n"/>
      <c r="DJ107" s="37">
        <f t="array" ref="DJ107">IFERROR(INDEX(Tax_Tables[Percentages],$CK107+MATCH($DI107,$CL107:$CR107,0)-1),"")</f>
        <v/>
      </c>
      <c r="DK107" s="37">
        <f t="array" ref="DK107">IFERROR(INDEX(Tax_Tables[Tax],$CK107+MATCH($DI107,$CL107:$CR107,0)-1),"")</f>
        <v/>
      </c>
      <c r="DL107" s="37">
        <f>CV107*(Summary!$C$81="Y")+(Summary!$C$81="Y")*(CW107*(Post_MDep&gt;=1)+CX107*MAX(Post_MDep-1,0))</f>
        <v/>
      </c>
      <c r="DM107" s="599">
        <f>IFERROR(MAX(DJ107*(DH107-DI107)+DK107-DD107-DL107*12,0),"")</f>
        <v/>
      </c>
      <c r="DN107" s="37" t="n"/>
      <c r="DO107" s="37" t="n"/>
      <c r="DP107" s="37" t="n"/>
      <c r="DQ107" s="37" t="n"/>
      <c r="DR107" s="37" t="n"/>
      <c r="DS107" s="37" t="n"/>
      <c r="DT107" s="37" t="n"/>
      <c r="DU107" s="37" t="n"/>
      <c r="DV107" s="37" t="n"/>
      <c r="DW107" s="37" t="n"/>
      <c r="DX107" s="37" t="n"/>
      <c r="DY107" s="131" t="n"/>
      <c r="DZ107" s="37" t="n"/>
      <c r="EA107" s="37" t="n"/>
      <c r="EB107" s="37" t="n"/>
      <c r="EC107" s="37" t="n"/>
      <c r="ED107" s="35" t="n"/>
      <c r="EE107" s="595" t="n"/>
      <c r="EF107" s="25" t="n"/>
    </row>
    <row r="108">
      <c r="V108" s="6" t="n"/>
      <c r="X108" s="569" t="n"/>
      <c r="Y108" s="25" t="n"/>
      <c r="Z108" s="590" t="n"/>
      <c r="AA108" s="25" t="n"/>
      <c r="AB108" s="26" t="n"/>
      <c r="AC108" s="26" t="n"/>
      <c r="AD108" s="26" t="n"/>
      <c r="AE108" s="26" t="n"/>
      <c r="AF108" s="26" t="n"/>
      <c r="AG108" s="26" t="n"/>
      <c r="AH108" s="26" t="n"/>
      <c r="AI108" s="590">
        <f>(AB108&lt;&gt;0)*12*allow_2</f>
        <v/>
      </c>
      <c r="AJ108" s="26" t="n"/>
      <c r="AK108" s="581">
        <f>IF(YEAR(W108)&lt;=Ret_Yr_pre,SUM(AC108:AJ108),0)*IF($W108=Ret_Yr_pre,X108,1)</f>
        <v/>
      </c>
      <c r="AL108" s="581">
        <f>IF($W108&gt;=Ret_Yr_pre,pens_Pre*(GEPF_pre="Y"),0)*IF($W108=Ret_Yr_pre,1-$X108,1)*IF(Ret_Yr_pre&lt;Current,(_xlfn.IFNA(VLOOKUP($D108,CPI!$A:$E,2,FALSE),VLOOKUP(Current,CPI!$A:$E,2,FALSE))/VLOOKUP(Ret_Yr_pre,CPI!$A:$E,2,FALSE)),1)</f>
        <v/>
      </c>
      <c r="AM108" s="590">
        <f>$AC108*ee*IF($W108=Ret_Yr_pre,$X108,1)</f>
        <v/>
      </c>
      <c r="AN108" s="590">
        <f>$AC108*er*IF($W108=Ret_Yr_pre,$X108,1)</f>
        <v/>
      </c>
      <c r="AO108" s="590">
        <f>IF('LOE Sc1'!$W108=Ret_Yr_pre,Gratuity_Pre*(GEPF_pre="Y"),0)</f>
        <v/>
      </c>
      <c r="AP108" s="581">
        <f>AK108+AL108-$AM108-AN108*(GEPF_pre="Y")</f>
        <v/>
      </c>
      <c r="AQ108" s="26" t="n"/>
      <c r="AR108" s="101" t="n"/>
      <c r="AS108" s="106" t="n"/>
      <c r="AT108" s="25" t="n"/>
      <c r="AU108" s="31">
        <f>W108</f>
        <v/>
      </c>
      <c r="AV108" s="569" t="n"/>
      <c r="AW108" s="25" t="n"/>
      <c r="AX108" s="26" t="n"/>
      <c r="AY108" s="26" t="n"/>
      <c r="AZ108" s="26" t="n"/>
      <c r="BA108" s="26" t="n"/>
      <c r="BB108" s="26" t="n"/>
      <c r="BC108" s="26" t="n"/>
      <c r="BD108" s="26" t="n"/>
      <c r="BE108" s="26" t="n"/>
      <c r="BF108" s="26" t="n"/>
      <c r="BG108" s="581">
        <f>IF(YEAR($V108)&lt;=Ret_Yr_post,SUM(AY108:BF108),0)*IF($W108=Ret_Yr_post,AV108,1)</f>
        <v/>
      </c>
      <c r="BH108" s="581">
        <f>IF($W108&gt;=Ret_Yr_post,pens_Post*(GEPF_pre="Y"),0)*IF($W108=Ret_Yr_post,1-$AV108,1)*IF(Ret_Yr_post&lt;Current,(_xlfn.IFNA(VLOOKUP($D108,CPI!$A:$E,2,FALSE),VLOOKUP(Current,CPI!$A:$E,2,FALSE))/VLOOKUP(Ret_Yr_post,CPI!$A:$E,2,FALSE)),1)</f>
        <v/>
      </c>
      <c r="BI108" s="590">
        <f>$AY108*ee_post*IF($W108=Ret_Yr_post,$AV108,1)</f>
        <v/>
      </c>
      <c r="BJ108" s="590">
        <f>$AY108*er_post*IF($W108=Ret_Yr_post,$AV108,1)</f>
        <v/>
      </c>
      <c r="BK108" s="590">
        <f>IF('LOE Sc1'!$W108=Ret_Yr_post,Gratuity_Post*(GEPF_post="Y"),0)</f>
        <v/>
      </c>
      <c r="BL108" s="581">
        <f>BG108+BH108-BI108-BJ108*(GEPF_post="Y")</f>
        <v/>
      </c>
      <c r="BM108" s="26" t="n"/>
      <c r="BN108" s="101" t="n"/>
      <c r="BO108" s="591" t="n"/>
      <c r="BP108" s="26" t="n"/>
      <c r="BQ108" s="26" t="n"/>
      <c r="BR108" s="26" t="n"/>
      <c r="BS108" s="26" t="n"/>
      <c r="BT108" s="614" t="n"/>
      <c r="BU108" s="614" t="n"/>
      <c r="BV108" s="593" t="n"/>
      <c r="BW108" s="614" t="n"/>
      <c r="BX108" s="614" t="n"/>
      <c r="BY108" s="615" t="n"/>
      <c r="BZ108" s="614" t="n"/>
      <c r="CA108" s="592">
        <f>IF($E108="FL",$AR108*$BQ108*$BR108*$BU108,$AR108)</f>
        <v/>
      </c>
      <c r="CB108" s="592">
        <f>IF($E108="FL",$BN108*$BQ108*$BR108*$BX108,$BN108)</f>
        <v/>
      </c>
      <c r="CC108" s="592" t="n"/>
      <c r="CD108" s="592" t="n"/>
      <c r="CE108" s="592" t="n"/>
      <c r="CF108" s="592" t="n"/>
      <c r="CG108" s="37" t="n"/>
      <c r="CH108" s="37" t="n"/>
      <c r="CI108" s="128" t="n"/>
      <c r="CJ108" s="37" t="n"/>
      <c r="CK108" s="37" t="n"/>
      <c r="CL108" s="37" t="n"/>
      <c r="CM108" s="37" t="n"/>
      <c r="CN108" s="37" t="n"/>
      <c r="CO108" s="37" t="n"/>
      <c r="CP108" s="37" t="n"/>
      <c r="CQ108" s="37" t="n"/>
      <c r="CR108" s="37" t="n"/>
      <c r="CS108" s="37" t="n"/>
      <c r="CT108" s="37" t="n"/>
      <c r="CU108" s="37" t="n"/>
      <c r="CV108" s="37" t="n"/>
      <c r="CW108" s="37" t="n"/>
      <c r="CX108" s="37" t="n"/>
      <c r="CY108" s="484">
        <f>Y108</f>
        <v/>
      </c>
      <c r="CZ108" s="37" t="n"/>
      <c r="DA108" s="37" t="n"/>
      <c r="DB108" s="37">
        <f t="array" ref="DB108">IFERROR(INDEX(Tax_Tables[Percentages],$CK108+MATCH($DA108,$CL108:$CR108,0)-1),"")</f>
        <v/>
      </c>
      <c r="DC108" s="37">
        <f t="array" ref="DC108">IFERROR(INDEX(Tax_Tables[Tax],$CK108+MATCH($DA108,$CL108:$CR108,0)-1),"")</f>
        <v/>
      </c>
      <c r="DD108" s="37">
        <f>IF(CY108&lt;65,CS108,IF(CY108&lt;75,CT108,CU108))</f>
        <v/>
      </c>
      <c r="DE108" s="37">
        <f>CV108*(Summary!$C$31="Y")+(Summary!$C$31="Y")*(CW108*(Pre_MDep&gt;=1)+CX108*MAX(Pre_MDep-1,0))</f>
        <v/>
      </c>
      <c r="DF108" s="599">
        <f>IFERROR(MAX(DB108*(CZ108-DA108)+DC108-DD108-DE108*12,0),"")</f>
        <v/>
      </c>
      <c r="DG108" s="602" t="n"/>
      <c r="DH108" s="37" t="n"/>
      <c r="DI108" s="37" t="n"/>
      <c r="DJ108" s="37">
        <f t="array" ref="DJ108">IFERROR(INDEX(Tax_Tables[Percentages],$CK108+MATCH($DI108,$CL108:$CR108,0)-1),"")</f>
        <v/>
      </c>
      <c r="DK108" s="37">
        <f t="array" ref="DK108">IFERROR(INDEX(Tax_Tables[Tax],$CK108+MATCH($DI108,$CL108:$CR108,0)-1),"")</f>
        <v/>
      </c>
      <c r="DL108" s="37">
        <f>CV108*(Summary!$C$81="Y")+(Summary!$C$81="Y")*(CW108*(Post_MDep&gt;=1)+CX108*MAX(Post_MDep-1,0))</f>
        <v/>
      </c>
      <c r="DM108" s="599">
        <f>IFERROR(MAX(DJ108*(DH108-DI108)+DK108-DD108-DL108*12,0),"")</f>
        <v/>
      </c>
      <c r="DN108" s="37" t="n"/>
      <c r="DO108" s="37" t="n"/>
      <c r="DP108" s="37" t="n"/>
      <c r="DQ108" s="37" t="n"/>
      <c r="DR108" s="37" t="n"/>
      <c r="DS108" s="37" t="n"/>
      <c r="DT108" s="37" t="n"/>
      <c r="DU108" s="37" t="n"/>
      <c r="DV108" s="37" t="n"/>
      <c r="DW108" s="37" t="n"/>
      <c r="DX108" s="37" t="n"/>
      <c r="DY108" s="131" t="n"/>
      <c r="DZ108" s="37" t="n"/>
      <c r="EA108" s="37" t="n"/>
      <c r="EB108" s="37" t="n"/>
      <c r="EC108" s="37" t="n"/>
      <c r="ED108" s="35" t="n"/>
      <c r="EE108" s="595" t="n"/>
      <c r="EF108" s="25" t="n"/>
    </row>
    <row r="109">
      <c r="V109" s="6" t="n"/>
      <c r="X109" s="569" t="n"/>
      <c r="Y109" s="25" t="n"/>
      <c r="Z109" s="590" t="n"/>
      <c r="AA109" s="25" t="n"/>
      <c r="AB109" s="26" t="n"/>
      <c r="AC109" s="26" t="n"/>
      <c r="AD109" s="26" t="n"/>
      <c r="AE109" s="26" t="n"/>
      <c r="AF109" s="26" t="n"/>
      <c r="AG109" s="26" t="n"/>
      <c r="AH109" s="26" t="n"/>
      <c r="AI109" s="590">
        <f>(AB109&lt;&gt;0)*12*allow_2</f>
        <v/>
      </c>
      <c r="AJ109" s="26" t="n"/>
      <c r="AK109" s="581">
        <f>IF(YEAR(W109)&lt;=Ret_Yr_pre,SUM(AC109:AJ109),0)*IF($W109=Ret_Yr_pre,X109,1)</f>
        <v/>
      </c>
      <c r="AL109" s="581">
        <f>IF($W109&gt;=Ret_Yr_pre,pens_Pre*(GEPF_pre="Y"),0)*IF($W109=Ret_Yr_pre,1-$X109,1)*IF(Ret_Yr_pre&lt;Current,(_xlfn.IFNA(VLOOKUP($D109,CPI!$A:$E,2,FALSE),VLOOKUP(Current,CPI!$A:$E,2,FALSE))/VLOOKUP(Ret_Yr_pre,CPI!$A:$E,2,FALSE)),1)</f>
        <v/>
      </c>
      <c r="AM109" s="590">
        <f>$AC109*ee*IF($W109=Ret_Yr_pre,$X109,1)</f>
        <v/>
      </c>
      <c r="AN109" s="590">
        <f>$AC109*er*IF($W109=Ret_Yr_pre,$X109,1)</f>
        <v/>
      </c>
      <c r="AO109" s="590">
        <f>IF('LOE Sc1'!$W109=Ret_Yr_pre,Gratuity_Pre*(GEPF_pre="Y"),0)</f>
        <v/>
      </c>
      <c r="AP109" s="581">
        <f>AK109+AL109-$AM109-AN109*(GEPF_pre="Y")</f>
        <v/>
      </c>
      <c r="AQ109" s="26" t="n"/>
      <c r="AR109" s="101" t="n"/>
      <c r="AS109" s="106" t="n"/>
      <c r="AT109" s="25" t="n"/>
      <c r="AU109" s="31">
        <f>W109</f>
        <v/>
      </c>
      <c r="AV109" s="569" t="n"/>
      <c r="AW109" s="25" t="n"/>
      <c r="AX109" s="26" t="n"/>
      <c r="AY109" s="26" t="n"/>
      <c r="AZ109" s="26" t="n"/>
      <c r="BA109" s="26" t="n"/>
      <c r="BB109" s="26" t="n"/>
      <c r="BC109" s="26" t="n"/>
      <c r="BD109" s="26" t="n"/>
      <c r="BE109" s="26" t="n"/>
      <c r="BF109" s="26" t="n"/>
      <c r="BG109" s="581">
        <f>IF(YEAR($V109)&lt;=Ret_Yr_post,SUM(AY109:BF109),0)*IF($W109=Ret_Yr_post,AV109,1)</f>
        <v/>
      </c>
      <c r="BH109" s="581">
        <f>IF($W109&gt;=Ret_Yr_post,pens_Post*(GEPF_pre="Y"),0)*IF($W109=Ret_Yr_post,1-$AV109,1)*IF(Ret_Yr_post&lt;Current,(_xlfn.IFNA(VLOOKUP($D109,CPI!$A:$E,2,FALSE),VLOOKUP(Current,CPI!$A:$E,2,FALSE))/VLOOKUP(Ret_Yr_post,CPI!$A:$E,2,FALSE)),1)</f>
        <v/>
      </c>
      <c r="BI109" s="590">
        <f>$AY109*ee_post*IF($W109=Ret_Yr_post,$AV109,1)</f>
        <v/>
      </c>
      <c r="BJ109" s="590">
        <f>$AY109*er_post*IF($W109=Ret_Yr_post,$AV109,1)</f>
        <v/>
      </c>
      <c r="BK109" s="590">
        <f>IF('LOE Sc1'!$W109=Ret_Yr_post,Gratuity_Post*(GEPF_post="Y"),0)</f>
        <v/>
      </c>
      <c r="BL109" s="581">
        <f>BG109+BH109-BI109-BJ109*(GEPF_post="Y")</f>
        <v/>
      </c>
      <c r="BM109" s="26" t="n"/>
      <c r="BN109" s="101" t="n"/>
      <c r="BO109" s="591" t="n"/>
      <c r="BP109" s="26" t="n"/>
      <c r="BQ109" s="26" t="n"/>
      <c r="BR109" s="26" t="n"/>
      <c r="BS109" s="26" t="n"/>
      <c r="BT109" s="614" t="n"/>
      <c r="BU109" s="614" t="n"/>
      <c r="BV109" s="593" t="n"/>
      <c r="BW109" s="614" t="n"/>
      <c r="BX109" s="614" t="n"/>
      <c r="BY109" s="615" t="n"/>
      <c r="BZ109" s="614" t="n"/>
      <c r="CA109" s="592">
        <f>IF($E109="FL",$AR109*$BQ109*$BR109*$BU109,$AR109)</f>
        <v/>
      </c>
      <c r="CB109" s="592">
        <f>IF($E109="FL",$BN109*$BQ109*$BR109*$BX109,$BN109)</f>
        <v/>
      </c>
      <c r="CC109" s="592" t="n"/>
      <c r="CD109" s="592" t="n"/>
      <c r="CE109" s="592" t="n"/>
      <c r="CF109" s="592" t="n"/>
      <c r="CG109" s="37" t="n"/>
      <c r="CH109" s="37" t="n"/>
      <c r="CI109" s="128" t="n"/>
      <c r="CJ109" s="37" t="n"/>
      <c r="CK109" s="37" t="n"/>
      <c r="CL109" s="37" t="n"/>
      <c r="CM109" s="37" t="n"/>
      <c r="CN109" s="37" t="n"/>
      <c r="CO109" s="37" t="n"/>
      <c r="CP109" s="37" t="n"/>
      <c r="CQ109" s="37" t="n"/>
      <c r="CR109" s="37" t="n"/>
      <c r="CS109" s="37" t="n"/>
      <c r="CT109" s="37" t="n"/>
      <c r="CU109" s="37" t="n"/>
      <c r="CV109" s="37" t="n"/>
      <c r="CW109" s="37" t="n"/>
      <c r="CX109" s="37" t="n"/>
      <c r="CY109" s="484">
        <f>Y109</f>
        <v/>
      </c>
      <c r="CZ109" s="37" t="n"/>
      <c r="DA109" s="37" t="n"/>
      <c r="DB109" s="37">
        <f t="array" ref="DB109">IFERROR(INDEX(Tax_Tables[Percentages],$CK109+MATCH($DA109,$CL109:$CR109,0)-1),"")</f>
        <v/>
      </c>
      <c r="DC109" s="37">
        <f t="array" ref="DC109">IFERROR(INDEX(Tax_Tables[Tax],$CK109+MATCH($DA109,$CL109:$CR109,0)-1),"")</f>
        <v/>
      </c>
      <c r="DD109" s="37">
        <f>IF(CY109&lt;65,CS109,IF(CY109&lt;75,CT109,CU109))</f>
        <v/>
      </c>
      <c r="DE109" s="37">
        <f>CV109*(Summary!$C$31="Y")+(Summary!$C$31="Y")*(CW109*(Pre_MDep&gt;=1)+CX109*MAX(Pre_MDep-1,0))</f>
        <v/>
      </c>
      <c r="DF109" s="599">
        <f>IFERROR(MAX(DB109*(CZ109-DA109)+DC109-DD109-DE109*12,0),"")</f>
        <v/>
      </c>
      <c r="DG109" s="602" t="n"/>
      <c r="DH109" s="37" t="n"/>
      <c r="DI109" s="37" t="n"/>
      <c r="DJ109" s="37">
        <f t="array" ref="DJ109">IFERROR(INDEX(Tax_Tables[Percentages],$CK109+MATCH($DI109,$CL109:$CR109,0)-1),"")</f>
        <v/>
      </c>
      <c r="DK109" s="37">
        <f t="array" ref="DK109">IFERROR(INDEX(Tax_Tables[Tax],$CK109+MATCH($DI109,$CL109:$CR109,0)-1),"")</f>
        <v/>
      </c>
      <c r="DL109" s="37">
        <f>CV109*(Summary!$C$81="Y")+(Summary!$C$81="Y")*(CW109*(Post_MDep&gt;=1)+CX109*MAX(Post_MDep-1,0))</f>
        <v/>
      </c>
      <c r="DM109" s="599">
        <f>IFERROR(MAX(DJ109*(DH109-DI109)+DK109-DD109-DL109*12,0),"")</f>
        <v/>
      </c>
      <c r="DN109" s="37" t="n"/>
      <c r="DO109" s="37" t="n"/>
      <c r="DP109" s="37" t="n"/>
      <c r="DQ109" s="37" t="n"/>
      <c r="DR109" s="37" t="n"/>
      <c r="DS109" s="37" t="n"/>
      <c r="DT109" s="37" t="n"/>
      <c r="DU109" s="37" t="n"/>
      <c r="DV109" s="37" t="n"/>
      <c r="DW109" s="37" t="n"/>
      <c r="DX109" s="37" t="n"/>
      <c r="DY109" s="131" t="n"/>
      <c r="DZ109" s="37" t="n"/>
      <c r="EA109" s="37" t="n"/>
      <c r="EB109" s="37" t="n"/>
      <c r="EC109" s="37" t="n"/>
      <c r="ED109" s="35" t="n"/>
      <c r="EE109" s="595" t="n"/>
      <c r="EF109" s="25" t="n"/>
    </row>
    <row r="110">
      <c r="V110" s="6" t="n"/>
      <c r="X110" s="569" t="n"/>
      <c r="Y110" s="25" t="n"/>
      <c r="Z110" s="590" t="n"/>
      <c r="AA110" s="25" t="n"/>
      <c r="AB110" s="26" t="n"/>
      <c r="AC110" s="26" t="n"/>
      <c r="AD110" s="26" t="n"/>
      <c r="AE110" s="26" t="n"/>
      <c r="AF110" s="26" t="n"/>
      <c r="AG110" s="26" t="n"/>
      <c r="AH110" s="26" t="n"/>
      <c r="AI110" s="590">
        <f>(AB110&lt;&gt;0)*12*allow_2</f>
        <v/>
      </c>
      <c r="AJ110" s="26" t="n"/>
      <c r="AK110" s="581">
        <f>IF(YEAR(W110)&lt;=Ret_Yr_pre,SUM(AC110:AJ110),0)*IF($W110=Ret_Yr_pre,X110,1)</f>
        <v/>
      </c>
      <c r="AL110" s="581">
        <f>IF($W110&gt;=Ret_Yr_pre,pens_Pre*(GEPF_pre="Y"),0)*IF($W110=Ret_Yr_pre,1-$X110,1)*IF(Ret_Yr_pre&lt;Current,(_xlfn.IFNA(VLOOKUP($D110,CPI!$A:$E,2,FALSE),VLOOKUP(Current,CPI!$A:$E,2,FALSE))/VLOOKUP(Ret_Yr_pre,CPI!$A:$E,2,FALSE)),1)</f>
        <v/>
      </c>
      <c r="AM110" s="590">
        <f>$AC110*ee*IF($W110=Ret_Yr_pre,$X110,1)</f>
        <v/>
      </c>
      <c r="AN110" s="590">
        <f>$AC110*er*IF($W110=Ret_Yr_pre,$X110,1)</f>
        <v/>
      </c>
      <c r="AO110" s="590">
        <f>IF('LOE Sc1'!$W110=Ret_Yr_pre,Gratuity_Pre*(GEPF_pre="Y"),0)</f>
        <v/>
      </c>
      <c r="AP110" s="581">
        <f>AK110+AL110-$AM110-AN110*(GEPF_pre="Y")</f>
        <v/>
      </c>
      <c r="AQ110" s="26" t="n"/>
      <c r="AR110" s="101" t="n"/>
      <c r="AS110" s="106" t="n"/>
      <c r="AT110" s="25" t="n"/>
      <c r="AU110" s="31">
        <f>W110</f>
        <v/>
      </c>
      <c r="AV110" s="569" t="n"/>
      <c r="AW110" s="25" t="n"/>
      <c r="AX110" s="26" t="n"/>
      <c r="AY110" s="26" t="n"/>
      <c r="AZ110" s="26" t="n"/>
      <c r="BA110" s="26" t="n"/>
      <c r="BB110" s="26" t="n"/>
      <c r="BC110" s="26" t="n"/>
      <c r="BD110" s="26" t="n"/>
      <c r="BE110" s="26" t="n"/>
      <c r="BF110" s="26" t="n"/>
      <c r="BG110" s="581">
        <f>IF(YEAR($V110)&lt;=Ret_Yr_post,SUM(AY110:BF110),0)*IF($W110=Ret_Yr_post,AV110,1)</f>
        <v/>
      </c>
      <c r="BH110" s="581">
        <f>IF($W110&gt;=Ret_Yr_post,pens_Post*(GEPF_pre="Y"),0)*IF($W110=Ret_Yr_post,1-$AV110,1)*IF(Ret_Yr_post&lt;Current,(_xlfn.IFNA(VLOOKUP($D110,CPI!$A:$E,2,FALSE),VLOOKUP(Current,CPI!$A:$E,2,FALSE))/VLOOKUP(Ret_Yr_post,CPI!$A:$E,2,FALSE)),1)</f>
        <v/>
      </c>
      <c r="BI110" s="590">
        <f>$AY110*ee_post*IF($W110=Ret_Yr_post,$AV110,1)</f>
        <v/>
      </c>
      <c r="BJ110" s="590">
        <f>$AY110*er_post*IF($W110=Ret_Yr_post,$AV110,1)</f>
        <v/>
      </c>
      <c r="BK110" s="590">
        <f>IF('LOE Sc1'!$W110=Ret_Yr_post,Gratuity_Post*(GEPF_post="Y"),0)</f>
        <v/>
      </c>
      <c r="BL110" s="581">
        <f>BG110+BH110-BI110-BJ110*(GEPF_post="Y")</f>
        <v/>
      </c>
      <c r="BM110" s="26" t="n"/>
      <c r="BN110" s="101" t="n"/>
      <c r="BO110" s="591" t="n"/>
      <c r="BP110" s="26" t="n"/>
      <c r="BQ110" s="26" t="n"/>
      <c r="BR110" s="26" t="n"/>
      <c r="BS110" s="26" t="n"/>
      <c r="BT110" s="614" t="n"/>
      <c r="BU110" s="614" t="n"/>
      <c r="BV110" s="593" t="n"/>
      <c r="BW110" s="614" t="n"/>
      <c r="BX110" s="614" t="n"/>
      <c r="BY110" s="615" t="n"/>
      <c r="BZ110" s="614" t="n"/>
      <c r="CA110" s="592">
        <f>IF($E110="FL",$AR110*$BQ110*$BR110*$BU110,$AR110)</f>
        <v/>
      </c>
      <c r="CB110" s="592">
        <f>IF($E110="FL",$BN110*$BQ110*$BR110*$BX110,$BN110)</f>
        <v/>
      </c>
      <c r="CC110" s="592" t="n"/>
      <c r="CD110" s="592" t="n"/>
      <c r="CE110" s="592" t="n"/>
      <c r="CF110" s="592" t="n"/>
      <c r="CG110" s="37" t="n"/>
      <c r="CH110" s="37" t="n"/>
      <c r="CI110" s="128" t="n"/>
      <c r="CJ110" s="37" t="n"/>
      <c r="CK110" s="37" t="n"/>
      <c r="CL110" s="37" t="n"/>
      <c r="CM110" s="37" t="n"/>
      <c r="CN110" s="37" t="n"/>
      <c r="CO110" s="37" t="n"/>
      <c r="CP110" s="37" t="n"/>
      <c r="CQ110" s="37" t="n"/>
      <c r="CR110" s="37" t="n"/>
      <c r="CS110" s="37" t="n"/>
      <c r="CT110" s="37" t="n"/>
      <c r="CU110" s="37" t="n"/>
      <c r="CV110" s="37" t="n"/>
      <c r="CW110" s="37" t="n"/>
      <c r="CX110" s="37" t="n"/>
      <c r="CY110" s="484">
        <f>Y110</f>
        <v/>
      </c>
      <c r="CZ110" s="37" t="n"/>
      <c r="DA110" s="37" t="n"/>
      <c r="DB110" s="37">
        <f t="array" ref="DB110">IFERROR(INDEX(Tax_Tables[Percentages],$CK110+MATCH($DA110,$CL110:$CR110,0)-1),"")</f>
        <v/>
      </c>
      <c r="DC110" s="37">
        <f t="array" ref="DC110">IFERROR(INDEX(Tax_Tables[Tax],$CK110+MATCH($DA110,$CL110:$CR110,0)-1),"")</f>
        <v/>
      </c>
      <c r="DD110" s="37">
        <f>IF(CY110&lt;65,CS110,IF(CY110&lt;75,CT110,CU110))</f>
        <v/>
      </c>
      <c r="DE110" s="37">
        <f>CV110*(Summary!$C$31="Y")+(Summary!$C$31="Y")*(CW110*(Pre_MDep&gt;=1)+CX110*MAX(Pre_MDep-1,0))</f>
        <v/>
      </c>
      <c r="DF110" s="599">
        <f>IFERROR(MAX(DB110*(CZ110-DA110)+DC110-DD110-DE110*12,0),"")</f>
        <v/>
      </c>
      <c r="DG110" s="602" t="n"/>
      <c r="DH110" s="37" t="n"/>
      <c r="DI110" s="37" t="n"/>
      <c r="DJ110" s="37">
        <f t="array" ref="DJ110">IFERROR(INDEX(Tax_Tables[Percentages],$CK110+MATCH($DI110,$CL110:$CR110,0)-1),"")</f>
        <v/>
      </c>
      <c r="DK110" s="37">
        <f t="array" ref="DK110">IFERROR(INDEX(Tax_Tables[Tax],$CK110+MATCH($DI110,$CL110:$CR110,0)-1),"")</f>
        <v/>
      </c>
      <c r="DL110" s="37">
        <f>CV110*(Summary!$C$81="Y")+(Summary!$C$81="Y")*(CW110*(Post_MDep&gt;=1)+CX110*MAX(Post_MDep-1,0))</f>
        <v/>
      </c>
      <c r="DM110" s="599">
        <f>IFERROR(MAX(DJ110*(DH110-DI110)+DK110-DD110-DL110*12,0),"")</f>
        <v/>
      </c>
      <c r="DN110" s="37" t="n"/>
      <c r="DO110" s="37" t="n"/>
      <c r="DP110" s="37" t="n"/>
      <c r="DQ110" s="37" t="n"/>
      <c r="DR110" s="37" t="n"/>
      <c r="DS110" s="37" t="n"/>
      <c r="DT110" s="37" t="n"/>
      <c r="DU110" s="37" t="n"/>
      <c r="DV110" s="37" t="n"/>
      <c r="DW110" s="37" t="n"/>
      <c r="DX110" s="37" t="n"/>
      <c r="DY110" s="131" t="n"/>
      <c r="DZ110" s="37" t="n"/>
      <c r="EA110" s="37" t="n"/>
      <c r="EB110" s="37" t="n"/>
      <c r="EC110" s="37" t="n"/>
      <c r="ED110" s="35" t="n"/>
      <c r="EE110" s="595" t="n"/>
      <c r="EF110" s="25" t="n"/>
    </row>
    <row r="111">
      <c r="V111" s="6" t="n"/>
      <c r="X111" s="569" t="n"/>
      <c r="Y111" s="25" t="n"/>
      <c r="Z111" s="590" t="n"/>
      <c r="AA111" s="25" t="n"/>
      <c r="AB111" s="26" t="n"/>
      <c r="AC111" s="26" t="n"/>
      <c r="AD111" s="26" t="n"/>
      <c r="AE111" s="26" t="n"/>
      <c r="AF111" s="26" t="n"/>
      <c r="AG111" s="26" t="n"/>
      <c r="AH111" s="26" t="n"/>
      <c r="AI111" s="590">
        <f>(AB111&lt;&gt;0)*12*allow_2</f>
        <v/>
      </c>
      <c r="AJ111" s="26" t="n"/>
      <c r="AK111" s="581">
        <f>IF(YEAR(W111)&lt;=Ret_Yr_pre,SUM(AC111:AJ111),0)*IF($W111=Ret_Yr_pre,X111,1)</f>
        <v/>
      </c>
      <c r="AL111" s="581">
        <f>IF($W111&gt;=Ret_Yr_pre,pens_Pre*(GEPF_pre="Y"),0)*IF($W111=Ret_Yr_pre,1-$X111,1)*IF(Ret_Yr_pre&lt;Current,(_xlfn.IFNA(VLOOKUP($D111,CPI!$A:$E,2,FALSE),VLOOKUP(Current,CPI!$A:$E,2,FALSE))/VLOOKUP(Ret_Yr_pre,CPI!$A:$E,2,FALSE)),1)</f>
        <v/>
      </c>
      <c r="AM111" s="590">
        <f>$AC111*ee*IF($W111=Ret_Yr_pre,$X111,1)</f>
        <v/>
      </c>
      <c r="AN111" s="590">
        <f>$AC111*er*IF($W111=Ret_Yr_pre,$X111,1)</f>
        <v/>
      </c>
      <c r="AO111" s="590">
        <f>IF('LOE Sc1'!$W111=Ret_Yr_pre,Gratuity_Pre*(GEPF_pre="Y"),0)</f>
        <v/>
      </c>
      <c r="AP111" s="581">
        <f>AK111+AL111-$AM111-AN111*(GEPF_pre="Y")</f>
        <v/>
      </c>
      <c r="AQ111" s="26" t="n"/>
      <c r="AR111" s="101" t="n"/>
      <c r="AS111" s="106" t="n"/>
      <c r="AT111" s="25" t="n"/>
      <c r="AU111" s="31">
        <f>W111</f>
        <v/>
      </c>
      <c r="AV111" s="569" t="n"/>
      <c r="AW111" s="25" t="n"/>
      <c r="AX111" s="26" t="n"/>
      <c r="AY111" s="26" t="n"/>
      <c r="AZ111" s="26" t="n"/>
      <c r="BA111" s="26" t="n"/>
      <c r="BB111" s="26" t="n"/>
      <c r="BC111" s="26" t="n"/>
      <c r="BD111" s="26" t="n"/>
      <c r="BE111" s="26" t="n"/>
      <c r="BF111" s="26" t="n"/>
      <c r="BG111" s="581">
        <f>IF(YEAR($V111)&lt;=Ret_Yr_post,SUM(AY111:BF111),0)*IF($W111=Ret_Yr_post,AV111,1)</f>
        <v/>
      </c>
      <c r="BH111" s="581">
        <f>IF($W111&gt;=Ret_Yr_post,pens_Post*(GEPF_pre="Y"),0)*IF($W111=Ret_Yr_post,1-$AV111,1)*IF(Ret_Yr_post&lt;Current,(_xlfn.IFNA(VLOOKUP($D111,CPI!$A:$E,2,FALSE),VLOOKUP(Current,CPI!$A:$E,2,FALSE))/VLOOKUP(Ret_Yr_post,CPI!$A:$E,2,FALSE)),1)</f>
        <v/>
      </c>
      <c r="BI111" s="590">
        <f>$AY111*ee_post*IF($W111=Ret_Yr_post,$AV111,1)</f>
        <v/>
      </c>
      <c r="BJ111" s="590">
        <f>$AY111*er_post*IF($W111=Ret_Yr_post,$AV111,1)</f>
        <v/>
      </c>
      <c r="BK111" s="590">
        <f>IF('LOE Sc1'!$W111=Ret_Yr_post,Gratuity_Post*(GEPF_post="Y"),0)</f>
        <v/>
      </c>
      <c r="BL111" s="581">
        <f>BG111+BH111-BI111-BJ111*(GEPF_post="Y")</f>
        <v/>
      </c>
      <c r="BM111" s="26" t="n"/>
      <c r="BN111" s="101" t="n"/>
      <c r="BO111" s="591" t="n"/>
      <c r="BP111" s="26" t="n"/>
      <c r="BQ111" s="26" t="n"/>
      <c r="BR111" s="26" t="n"/>
      <c r="BS111" s="26" t="n"/>
      <c r="BT111" s="614" t="n"/>
      <c r="BU111" s="614" t="n"/>
      <c r="BV111" s="593" t="n"/>
      <c r="BW111" s="614" t="n"/>
      <c r="BX111" s="614" t="n"/>
      <c r="BY111" s="615" t="n"/>
      <c r="BZ111" s="614" t="n"/>
      <c r="CA111" s="592">
        <f>IF($E111="FL",$AR111*$BQ111*$BR111*$BU111,$AR111)</f>
        <v/>
      </c>
      <c r="CB111" s="592">
        <f>IF($E111="FL",$BN111*$BQ111*$BR111*$BX111,$BN111)</f>
        <v/>
      </c>
      <c r="CC111" s="592" t="n"/>
      <c r="CD111" s="592" t="n"/>
      <c r="CE111" s="592" t="n"/>
      <c r="CF111" s="592" t="n"/>
      <c r="CG111" s="37" t="n"/>
      <c r="CH111" s="37" t="n"/>
      <c r="CI111" s="128" t="n"/>
      <c r="CJ111" s="37" t="n"/>
      <c r="CK111" s="37" t="n"/>
      <c r="CL111" s="37" t="n"/>
      <c r="CM111" s="37" t="n"/>
      <c r="CN111" s="37" t="n"/>
      <c r="CO111" s="37" t="n"/>
      <c r="CP111" s="37" t="n"/>
      <c r="CQ111" s="37" t="n"/>
      <c r="CR111" s="37" t="n"/>
      <c r="CS111" s="37" t="n"/>
      <c r="CT111" s="37" t="n"/>
      <c r="CU111" s="37" t="n"/>
      <c r="CV111" s="37" t="n"/>
      <c r="CW111" s="37" t="n"/>
      <c r="CX111" s="37" t="n"/>
      <c r="CY111" s="484">
        <f>Y111</f>
        <v/>
      </c>
      <c r="CZ111" s="37" t="n"/>
      <c r="DA111" s="37" t="n"/>
      <c r="DB111" s="37">
        <f t="array" ref="DB111">IFERROR(INDEX(Tax_Tables[Percentages],$CK111+MATCH($DA111,$CL111:$CR111,0)-1),"")</f>
        <v/>
      </c>
      <c r="DC111" s="37">
        <f t="array" ref="DC111">IFERROR(INDEX(Tax_Tables[Tax],$CK111+MATCH($DA111,$CL111:$CR111,0)-1),"")</f>
        <v/>
      </c>
      <c r="DD111" s="37">
        <f>IF(CY111&lt;65,CS111,IF(CY111&lt;75,CT111,CU111))</f>
        <v/>
      </c>
      <c r="DE111" s="37">
        <f>CV111*(Summary!$C$31="Y")+(Summary!$C$31="Y")*(CW111*(Pre_MDep&gt;=1)+CX111*MAX(Pre_MDep-1,0))</f>
        <v/>
      </c>
      <c r="DF111" s="599">
        <f>IFERROR(MAX(DB111*(CZ111-DA111)+DC111-DD111-DE111*12,0),"")</f>
        <v/>
      </c>
      <c r="DG111" s="602" t="n"/>
      <c r="DH111" s="37" t="n"/>
      <c r="DI111" s="37" t="n"/>
      <c r="DJ111" s="37">
        <f t="array" ref="DJ111">IFERROR(INDEX(Tax_Tables[Percentages],$CK111+MATCH($DI111,$CL111:$CR111,0)-1),"")</f>
        <v/>
      </c>
      <c r="DK111" s="37">
        <f t="array" ref="DK111">IFERROR(INDEX(Tax_Tables[Tax],$CK111+MATCH($DI111,$CL111:$CR111,0)-1),"")</f>
        <v/>
      </c>
      <c r="DL111" s="37">
        <f>CV111*(Summary!$C$81="Y")+(Summary!$C$81="Y")*(CW111*(Post_MDep&gt;=1)+CX111*MAX(Post_MDep-1,0))</f>
        <v/>
      </c>
      <c r="DM111" s="599">
        <f>IFERROR(MAX(DJ111*(DH111-DI111)+DK111-DD111-DL111*12,0),"")</f>
        <v/>
      </c>
      <c r="DN111" s="37" t="n"/>
      <c r="DO111" s="37" t="n"/>
      <c r="DP111" s="37" t="n"/>
      <c r="DQ111" s="37" t="n"/>
      <c r="DR111" s="37" t="n"/>
      <c r="DS111" s="37" t="n"/>
      <c r="DT111" s="37" t="n"/>
      <c r="DU111" s="37" t="n"/>
      <c r="DV111" s="37" t="n"/>
      <c r="DW111" s="37" t="n"/>
      <c r="DX111" s="37" t="n"/>
      <c r="DY111" s="131" t="n"/>
      <c r="DZ111" s="37" t="n"/>
      <c r="EA111" s="37" t="n"/>
      <c r="EB111" s="37" t="n"/>
      <c r="EC111" s="37" t="n"/>
      <c r="ED111" s="35" t="n"/>
      <c r="EE111" s="595" t="n"/>
      <c r="EF111" s="25" t="n"/>
    </row>
    <row r="112">
      <c r="V112" s="6" t="n"/>
      <c r="X112" s="569" t="n"/>
      <c r="Y112" s="25" t="n"/>
      <c r="Z112" s="590" t="n"/>
      <c r="AA112" s="25" t="n"/>
      <c r="AB112" s="26" t="n"/>
      <c r="AC112" s="26" t="n"/>
      <c r="AD112" s="26" t="n"/>
      <c r="AE112" s="26" t="n"/>
      <c r="AF112" s="26" t="n"/>
      <c r="AG112" s="26" t="n"/>
      <c r="AH112" s="26" t="n"/>
      <c r="AI112" s="590">
        <f>(AB112&lt;&gt;0)*12*allow_2</f>
        <v/>
      </c>
      <c r="AJ112" s="26" t="n"/>
      <c r="AK112" s="581">
        <f>IF(YEAR(W112)&lt;=Ret_Yr_pre,SUM(AC112:AJ112),0)*IF($W112=Ret_Yr_pre,X112,1)</f>
        <v/>
      </c>
      <c r="AL112" s="581">
        <f>IF($W112&gt;=Ret_Yr_pre,pens_Pre*(GEPF_pre="Y"),0)*IF($W112=Ret_Yr_pre,1-$X112,1)*IF(Ret_Yr_pre&lt;Current,(_xlfn.IFNA(VLOOKUP($D112,CPI!$A:$E,2,FALSE),VLOOKUP(Current,CPI!$A:$E,2,FALSE))/VLOOKUP(Ret_Yr_pre,CPI!$A:$E,2,FALSE)),1)</f>
        <v/>
      </c>
      <c r="AM112" s="590">
        <f>$AC112*ee*IF($W112=Ret_Yr_pre,$X112,1)</f>
        <v/>
      </c>
      <c r="AN112" s="590">
        <f>$AC112*er*IF($W112=Ret_Yr_pre,$X112,1)</f>
        <v/>
      </c>
      <c r="AO112" s="590">
        <f>IF('LOE Sc1'!$W112=Ret_Yr_pre,Gratuity_Pre*(GEPF_pre="Y"),0)</f>
        <v/>
      </c>
      <c r="AP112" s="581">
        <f>AK112+AL112-$AM112-AN112*(GEPF_pre="Y")</f>
        <v/>
      </c>
      <c r="AQ112" s="26" t="n"/>
      <c r="AR112" s="101" t="n"/>
      <c r="AS112" s="106" t="n"/>
      <c r="AT112" s="25" t="n"/>
      <c r="AU112" s="31">
        <f>W112</f>
        <v/>
      </c>
      <c r="AV112" s="569" t="n"/>
      <c r="AW112" s="25" t="n"/>
      <c r="AX112" s="26" t="n"/>
      <c r="AY112" s="26" t="n"/>
      <c r="AZ112" s="26" t="n"/>
      <c r="BA112" s="26" t="n"/>
      <c r="BB112" s="26" t="n"/>
      <c r="BC112" s="26" t="n"/>
      <c r="BD112" s="26" t="n"/>
      <c r="BE112" s="26" t="n"/>
      <c r="BF112" s="26" t="n"/>
      <c r="BG112" s="581">
        <f>IF(YEAR($V112)&lt;=Ret_Yr_post,SUM(AY112:BF112),0)*IF($W112=Ret_Yr_post,AV112,1)</f>
        <v/>
      </c>
      <c r="BH112" s="581">
        <f>IF($W112&gt;=Ret_Yr_post,pens_Post*(GEPF_pre="Y"),0)*IF($W112=Ret_Yr_post,1-$AV112,1)*IF(Ret_Yr_post&lt;Current,(_xlfn.IFNA(VLOOKUP($D112,CPI!$A:$E,2,FALSE),VLOOKUP(Current,CPI!$A:$E,2,FALSE))/VLOOKUP(Ret_Yr_post,CPI!$A:$E,2,FALSE)),1)</f>
        <v/>
      </c>
      <c r="BI112" s="590">
        <f>$AY112*ee_post*IF($W112=Ret_Yr_post,$AV112,1)</f>
        <v/>
      </c>
      <c r="BJ112" s="590">
        <f>$AY112*er_post*IF($W112=Ret_Yr_post,$AV112,1)</f>
        <v/>
      </c>
      <c r="BK112" s="590">
        <f>IF('LOE Sc1'!$W112=Ret_Yr_post,Gratuity_Post*(GEPF_post="Y"),0)</f>
        <v/>
      </c>
      <c r="BL112" s="581">
        <f>BG112+BH112-BI112-BJ112*(GEPF_post="Y")</f>
        <v/>
      </c>
      <c r="BM112" s="26" t="n"/>
      <c r="BN112" s="101" t="n"/>
      <c r="BO112" s="591" t="n"/>
      <c r="BP112" s="26" t="n"/>
      <c r="BQ112" s="26" t="n"/>
      <c r="BR112" s="26" t="n"/>
      <c r="BS112" s="26" t="n"/>
      <c r="BT112" s="614" t="n"/>
      <c r="BU112" s="614" t="n"/>
      <c r="BV112" s="593" t="n"/>
      <c r="BW112" s="614" t="n"/>
      <c r="BX112" s="614" t="n"/>
      <c r="BY112" s="615" t="n"/>
      <c r="BZ112" s="614" t="n"/>
      <c r="CA112" s="592">
        <f>IF($E112="FL",$AR112*$BQ112*$BR112*$BU112,$AR112)</f>
        <v/>
      </c>
      <c r="CB112" s="592">
        <f>IF($E112="FL",$BN112*$BQ112*$BR112*$BX112,$BN112)</f>
        <v/>
      </c>
      <c r="CC112" s="592" t="n"/>
      <c r="CD112" s="592" t="n"/>
      <c r="CE112" s="592" t="n"/>
      <c r="CF112" s="592" t="n"/>
      <c r="CG112" s="37" t="n"/>
      <c r="CH112" s="37" t="n"/>
      <c r="CI112" s="128" t="n"/>
      <c r="CJ112" s="37" t="n"/>
      <c r="CK112" s="37" t="n"/>
      <c r="CL112" s="37" t="n"/>
      <c r="CM112" s="37" t="n"/>
      <c r="CN112" s="37" t="n"/>
      <c r="CO112" s="37" t="n"/>
      <c r="CP112" s="37" t="n"/>
      <c r="CQ112" s="37" t="n"/>
      <c r="CR112" s="37" t="n"/>
      <c r="CS112" s="37" t="n"/>
      <c r="CT112" s="37" t="n"/>
      <c r="CU112" s="37" t="n"/>
      <c r="CV112" s="37" t="n"/>
      <c r="CW112" s="37" t="n"/>
      <c r="CX112" s="37" t="n"/>
      <c r="CY112" s="484">
        <f>Y112</f>
        <v/>
      </c>
      <c r="CZ112" s="37" t="n"/>
      <c r="DA112" s="37" t="n"/>
      <c r="DB112" s="37">
        <f t="array" ref="DB112">IFERROR(INDEX(Tax_Tables[Percentages],$CK112+MATCH($DA112,$CL112:$CR112,0)-1),"")</f>
        <v/>
      </c>
      <c r="DC112" s="37">
        <f t="array" ref="DC112">IFERROR(INDEX(Tax_Tables[Tax],$CK112+MATCH($DA112,$CL112:$CR112,0)-1),"")</f>
        <v/>
      </c>
      <c r="DD112" s="37">
        <f>IF(CY112&lt;65,CS112,IF(CY112&lt;75,CT112,CU112))</f>
        <v/>
      </c>
      <c r="DE112" s="37">
        <f>CV112*(Summary!$C$31="Y")+(Summary!$C$31="Y")*(CW112*(Pre_MDep&gt;=1)+CX112*MAX(Pre_MDep-1,0))</f>
        <v/>
      </c>
      <c r="DF112" s="599">
        <f>IFERROR(MAX(DB112*(CZ112-DA112)+DC112-DD112-DE112*12,0),"")</f>
        <v/>
      </c>
      <c r="DG112" s="602" t="n"/>
      <c r="DH112" s="37" t="n"/>
      <c r="DI112" s="37" t="n"/>
      <c r="DJ112" s="37">
        <f t="array" ref="DJ112">IFERROR(INDEX(Tax_Tables[Percentages],$CK112+MATCH($DI112,$CL112:$CR112,0)-1),"")</f>
        <v/>
      </c>
      <c r="DK112" s="37">
        <f t="array" ref="DK112">IFERROR(INDEX(Tax_Tables[Tax],$CK112+MATCH($DI112,$CL112:$CR112,0)-1),"")</f>
        <v/>
      </c>
      <c r="DL112" s="37">
        <f>CV112*(Summary!$C$81="Y")+(Summary!$C$81="Y")*(CW112*(Post_MDep&gt;=1)+CX112*MAX(Post_MDep-1,0))</f>
        <v/>
      </c>
      <c r="DM112" s="599">
        <f>IFERROR(MAX(DJ112*(DH112-DI112)+DK112-DD112-DL112*12,0),"")</f>
        <v/>
      </c>
      <c r="DN112" s="37" t="n"/>
      <c r="DO112" s="37" t="n"/>
      <c r="DP112" s="37" t="n"/>
      <c r="DQ112" s="37" t="n"/>
      <c r="DR112" s="37" t="n"/>
      <c r="DS112" s="37" t="n"/>
      <c r="DT112" s="37" t="n"/>
      <c r="DU112" s="37" t="n"/>
      <c r="DV112" s="37" t="n"/>
      <c r="DW112" s="37" t="n"/>
      <c r="DX112" s="37" t="n"/>
      <c r="DY112" s="131" t="n"/>
      <c r="DZ112" s="37" t="n"/>
      <c r="EA112" s="37" t="n"/>
      <c r="EB112" s="37" t="n"/>
      <c r="EC112" s="37" t="n"/>
      <c r="ED112" s="35" t="n"/>
      <c r="EE112" s="595" t="n"/>
      <c r="EF112" s="25" t="n"/>
    </row>
    <row r="113">
      <c r="V113" s="6" t="n"/>
      <c r="X113" s="569" t="n"/>
      <c r="Y113" s="25" t="n"/>
      <c r="Z113" s="590" t="n"/>
      <c r="AA113" s="25" t="n"/>
      <c r="AB113" s="26" t="n"/>
      <c r="AC113" s="26" t="n"/>
      <c r="AD113" s="26" t="n"/>
      <c r="AE113" s="26" t="n"/>
      <c r="AF113" s="26" t="n"/>
      <c r="AG113" s="26" t="n"/>
      <c r="AH113" s="26" t="n"/>
      <c r="AI113" s="26" t="n"/>
      <c r="AJ113" s="26" t="n"/>
      <c r="AK113" s="101" t="n"/>
      <c r="AL113" s="101" t="n"/>
      <c r="AM113" s="26" t="n"/>
      <c r="AN113" s="26" t="n"/>
      <c r="AO113" s="26" t="n"/>
      <c r="AP113" s="101" t="n"/>
      <c r="AQ113" s="26" t="n"/>
      <c r="AR113" s="101" t="n"/>
      <c r="AS113" s="106" t="n"/>
      <c r="AT113" s="25" t="n"/>
      <c r="AU113" s="25" t="n"/>
      <c r="AV113" s="569" t="n"/>
      <c r="AW113" s="25" t="n"/>
      <c r="AX113" s="26" t="n"/>
      <c r="AY113" s="26" t="n"/>
      <c r="AZ113" s="26" t="n"/>
      <c r="BA113" s="26" t="n"/>
      <c r="BB113" s="26" t="n"/>
      <c r="BC113" s="26" t="n"/>
      <c r="BD113" s="26" t="n"/>
      <c r="BE113" s="26" t="n"/>
      <c r="BF113" s="26" t="n"/>
      <c r="BG113" s="101" t="n"/>
      <c r="BH113" s="101" t="n"/>
      <c r="BI113" s="26" t="n"/>
      <c r="BJ113" s="26" t="n"/>
      <c r="BK113" s="26" t="n"/>
      <c r="BL113" s="101" t="n"/>
      <c r="BM113" s="26" t="n"/>
      <c r="BN113" s="101" t="n"/>
      <c r="BO113" s="591" t="n"/>
      <c r="BP113" s="26" t="n"/>
      <c r="BQ113" s="26" t="n"/>
      <c r="BR113" s="26" t="n"/>
      <c r="BS113" s="26" t="n"/>
      <c r="BT113" s="614" t="n"/>
      <c r="BU113" s="614" t="n"/>
      <c r="BV113" s="593" t="n"/>
      <c r="BW113" s="614" t="n"/>
      <c r="BX113" s="614" t="n"/>
      <c r="BY113" s="615" t="n"/>
      <c r="BZ113" s="614" t="n"/>
      <c r="CA113" s="592">
        <f>IF($E113="FL",$AR113*$BQ113*$BR113*$BU113,$AR113)</f>
        <v/>
      </c>
      <c r="CB113" s="592">
        <f>IF($E113="FL",$BN113*$BQ113*$BR113*$BX113,$BN113)</f>
        <v/>
      </c>
      <c r="CC113" s="592" t="n"/>
      <c r="CD113" s="592" t="n"/>
      <c r="CE113" s="592" t="n"/>
      <c r="CF113" s="592" t="n"/>
      <c r="CG113" s="37" t="n"/>
      <c r="CH113" s="37" t="n"/>
      <c r="CI113" s="128" t="n"/>
      <c r="CJ113" s="37" t="n"/>
      <c r="CK113" s="37" t="n"/>
      <c r="CL113" s="37" t="n"/>
      <c r="CM113" s="37" t="n"/>
      <c r="CN113" s="37" t="n"/>
      <c r="CO113" s="37" t="n"/>
      <c r="CP113" s="37" t="n"/>
      <c r="CQ113" s="37" t="n"/>
      <c r="CR113" s="37" t="n"/>
      <c r="CS113" s="37" t="n"/>
      <c r="CT113" s="37" t="n"/>
      <c r="CU113" s="37" t="n"/>
      <c r="CV113" s="37" t="n"/>
      <c r="CW113" s="37" t="n"/>
      <c r="CX113" s="37" t="n"/>
      <c r="CY113" s="484">
        <f>Y113</f>
        <v/>
      </c>
      <c r="CZ113" s="37" t="n"/>
      <c r="DA113" s="37" t="n"/>
      <c r="DB113" s="37">
        <f t="array" ref="DB113">IFERROR(INDEX(Tax_Tables[Percentages],$CK113+MATCH($DA113,$CL113:$CR113,0)-1),"")</f>
        <v/>
      </c>
      <c r="DC113" s="37">
        <f t="array" ref="DC113">IFERROR(INDEX(Tax_Tables[Tax],$CK113+MATCH($DA113,$CL113:$CR113,0)-1),"")</f>
        <v/>
      </c>
      <c r="DD113" s="37">
        <f>IF(CY113&lt;65,CS113,IF(CY113&lt;75,CT113,CU113))</f>
        <v/>
      </c>
      <c r="DE113" s="37">
        <f>CV113*(Summary!$C$31="Y")+(Summary!$C$31="Y")*(CW113*(Pre_MDep&gt;=1)+CX113*MAX(Pre_MDep-1,0))</f>
        <v/>
      </c>
      <c r="DF113" s="599">
        <f>IFERROR(MAX(DB113*(CZ113-DA113)+DC113-DD113-DE113*12,0),"")</f>
        <v/>
      </c>
      <c r="DG113" s="602" t="n"/>
      <c r="DH113" s="37" t="n"/>
      <c r="DI113" s="37" t="n"/>
      <c r="DJ113" s="37">
        <f t="array" ref="DJ113">IFERROR(INDEX(Tax_Tables[Percentages],$CK113+MATCH($DI113,$CL113:$CR113,0)-1),"")</f>
        <v/>
      </c>
      <c r="DK113" s="37">
        <f t="array" ref="DK113">IFERROR(INDEX(Tax_Tables[Tax],$CK113+MATCH($DI113,$CL113:$CR113,0)-1),"")</f>
        <v/>
      </c>
      <c r="DL113" s="37">
        <f>CV113*(Summary!$C$81="Y")+(Summary!$C$81="Y")*(CW113*(Post_MDep&gt;=1)+CX113*MAX(Post_MDep-1,0))</f>
        <v/>
      </c>
      <c r="DM113" s="599">
        <f>IFERROR(MAX(DJ113*(DH113-DI113)+DK113-DD113-DL113*12,0),"")</f>
        <v/>
      </c>
      <c r="DN113" s="37" t="n"/>
      <c r="DO113" s="37" t="n"/>
      <c r="DP113" s="37" t="n"/>
      <c r="DQ113" s="37" t="n"/>
      <c r="DR113" s="37" t="n"/>
      <c r="DS113" s="37" t="n"/>
      <c r="DT113" s="37" t="n"/>
      <c r="DU113" s="37" t="n"/>
      <c r="DV113" s="37" t="n"/>
      <c r="DW113" s="37" t="n"/>
      <c r="DX113" s="37" t="n"/>
      <c r="DY113" s="131" t="n"/>
      <c r="DZ113" s="37" t="n"/>
      <c r="EA113" s="37" t="n"/>
      <c r="EB113" s="37" t="n"/>
      <c r="EC113" s="37" t="n"/>
      <c r="ED113" s="35" t="n"/>
      <c r="EE113" s="595" t="n"/>
      <c r="EF113" s="25" t="n"/>
    </row>
    <row r="114">
      <c r="V114" s="6" t="n"/>
      <c r="X114" s="569" t="n"/>
      <c r="Y114" s="25" t="n"/>
      <c r="Z114" s="590" t="n"/>
      <c r="AA114" s="25" t="n"/>
      <c r="AB114" s="26" t="n"/>
      <c r="AC114" s="26" t="n"/>
      <c r="AD114" s="26" t="n"/>
      <c r="AE114" s="26" t="n"/>
      <c r="AF114" s="26" t="n"/>
      <c r="AG114" s="26" t="n"/>
      <c r="AH114" s="26" t="n"/>
      <c r="AI114" s="26" t="n"/>
      <c r="AJ114" s="26" t="n"/>
      <c r="AK114" s="101" t="n"/>
      <c r="AL114" s="101" t="n"/>
      <c r="AM114" s="26" t="n"/>
      <c r="AN114" s="26" t="n"/>
      <c r="AO114" s="26" t="n"/>
      <c r="AP114" s="101" t="n"/>
      <c r="AQ114" s="26" t="n"/>
      <c r="AR114" s="101" t="n"/>
      <c r="AS114" s="106" t="n"/>
      <c r="AT114" s="25" t="n"/>
      <c r="AU114" s="25" t="n"/>
      <c r="AV114" s="569" t="n"/>
      <c r="AW114" s="25" t="n"/>
      <c r="AX114" s="26" t="n"/>
      <c r="AY114" s="26" t="n"/>
      <c r="AZ114" s="26" t="n"/>
      <c r="BA114" s="26" t="n"/>
      <c r="BB114" s="26" t="n"/>
      <c r="BC114" s="26" t="n"/>
      <c r="BD114" s="26" t="n"/>
      <c r="BE114" s="26" t="n"/>
      <c r="BF114" s="26" t="n"/>
      <c r="BG114" s="101" t="n"/>
      <c r="BH114" s="101" t="n"/>
      <c r="BI114" s="26" t="n"/>
      <c r="BJ114" s="26" t="n"/>
      <c r="BK114" s="26" t="n"/>
      <c r="BL114" s="101" t="n"/>
      <c r="BM114" s="26" t="n"/>
      <c r="BN114" s="101" t="n"/>
      <c r="BO114" s="591" t="n"/>
      <c r="BP114" s="26" t="n"/>
      <c r="BQ114" s="26" t="n"/>
      <c r="BR114" s="26" t="n"/>
      <c r="BS114" s="26" t="n"/>
      <c r="BT114" s="614" t="n"/>
      <c r="BU114" s="614" t="n"/>
      <c r="BV114" s="593" t="n"/>
      <c r="BW114" s="614" t="n"/>
      <c r="BX114" s="614" t="n"/>
      <c r="BY114" s="615" t="n"/>
      <c r="BZ114" s="614" t="n"/>
      <c r="CA114" s="592">
        <f>IF($E114="FL",$AR114*$BQ114*$BR114*$BU114,$AR114)</f>
        <v/>
      </c>
      <c r="CB114" s="592">
        <f>IF($E114="FL",$BN114*$BQ114*$BR114*$BX114,$BN114)</f>
        <v/>
      </c>
      <c r="CC114" s="592" t="n"/>
      <c r="CD114" s="592" t="n"/>
      <c r="CE114" s="592" t="n"/>
      <c r="CF114" s="592" t="n"/>
      <c r="CG114" s="37" t="n"/>
      <c r="CH114" s="37" t="n"/>
      <c r="CI114" s="128" t="n"/>
      <c r="CJ114" s="37" t="n"/>
      <c r="CK114" s="37" t="n"/>
      <c r="CL114" s="37" t="n"/>
      <c r="CM114" s="37" t="n"/>
      <c r="CN114" s="37" t="n"/>
      <c r="CO114" s="37" t="n"/>
      <c r="CP114" s="37" t="n"/>
      <c r="CQ114" s="37" t="n"/>
      <c r="CR114" s="37" t="n"/>
      <c r="CS114" s="37" t="n"/>
      <c r="CT114" s="37" t="n"/>
      <c r="CU114" s="37" t="n"/>
      <c r="CV114" s="37" t="n"/>
      <c r="CW114" s="37" t="n"/>
      <c r="CX114" s="37" t="n"/>
      <c r="CY114" s="484">
        <f>Y114</f>
        <v/>
      </c>
      <c r="CZ114" s="37" t="n"/>
      <c r="DA114" s="37" t="n"/>
      <c r="DB114" s="37">
        <f t="array" ref="DB114">IFERROR(INDEX(Tax_Tables[Percentages],$CK114+MATCH($DA114,$CL114:$CR114,0)-1),"")</f>
        <v/>
      </c>
      <c r="DC114" s="37">
        <f t="array" ref="DC114">IFERROR(INDEX(Tax_Tables[Tax],$CK114+MATCH($DA114,$CL114:$CR114,0)-1),"")</f>
        <v/>
      </c>
      <c r="DD114" s="37">
        <f>IF(CY114&lt;65,CS114,IF(CY114&lt;75,CT114,CU114))</f>
        <v/>
      </c>
      <c r="DE114" s="37">
        <f>CV114*(Summary!$C$31="Y")+(Summary!$C$31="Y")*(CW114*(Pre_MDep&gt;=1)+CX114*MAX(Pre_MDep-1,0))</f>
        <v/>
      </c>
      <c r="DF114" s="599">
        <f>IFERROR(MAX(DB114*(CZ114-DA114)+DC114-DD114-DE114*12,0),"")</f>
        <v/>
      </c>
      <c r="DG114" s="602" t="n"/>
      <c r="DH114" s="37" t="n"/>
      <c r="DI114" s="37" t="n"/>
      <c r="DJ114" s="37">
        <f t="array" ref="DJ114">IFERROR(INDEX(Tax_Tables[Percentages],$CK114+MATCH($DI114,$CL114:$CR114,0)-1),"")</f>
        <v/>
      </c>
      <c r="DK114" s="37">
        <f t="array" ref="DK114">IFERROR(INDEX(Tax_Tables[Tax],$CK114+MATCH($DI114,$CL114:$CR114,0)-1),"")</f>
        <v/>
      </c>
      <c r="DL114" s="37">
        <f>CV114*(Summary!$C$81="Y")+(Summary!$C$81="Y")*(CW114*(Post_MDep&gt;=1)+CX114*MAX(Post_MDep-1,0))</f>
        <v/>
      </c>
      <c r="DM114" s="599">
        <f>IFERROR(MAX(DJ114*(DH114-DI114)+DK114-DD114-DL114*12,0),"")</f>
        <v/>
      </c>
      <c r="DN114" s="37" t="n"/>
      <c r="DO114" s="37" t="n"/>
      <c r="DP114" s="37" t="n"/>
      <c r="DQ114" s="37" t="n"/>
      <c r="DR114" s="37" t="n"/>
      <c r="DS114" s="37" t="n"/>
      <c r="DT114" s="37" t="n"/>
      <c r="DU114" s="37" t="n"/>
      <c r="DV114" s="37" t="n"/>
      <c r="DW114" s="37" t="n"/>
      <c r="DX114" s="37" t="n"/>
      <c r="DY114" s="131" t="n"/>
      <c r="DZ114" s="37" t="n"/>
      <c r="EA114" s="37" t="n"/>
      <c r="EB114" s="37" t="n"/>
      <c r="EC114" s="37" t="n"/>
      <c r="ED114" s="35" t="n"/>
      <c r="EE114" s="595" t="n"/>
      <c r="EF114" s="25" t="n"/>
    </row>
    <row r="115">
      <c r="V115" s="6" t="n"/>
      <c r="X115" s="569" t="n"/>
      <c r="Y115" s="25" t="n"/>
      <c r="Z115" s="590" t="n"/>
      <c r="AA115" s="25" t="n"/>
      <c r="AB115" s="26" t="n"/>
      <c r="AC115" s="26" t="n"/>
      <c r="AD115" s="26" t="n"/>
      <c r="AE115" s="26" t="n"/>
      <c r="AF115" s="26" t="n"/>
      <c r="AG115" s="26" t="n"/>
      <c r="AH115" s="26" t="n"/>
      <c r="AI115" s="26" t="n"/>
      <c r="AJ115" s="26" t="n"/>
      <c r="AK115" s="101" t="n"/>
      <c r="AL115" s="101" t="n"/>
      <c r="AM115" s="26" t="n"/>
      <c r="AN115" s="26" t="n"/>
      <c r="AO115" s="26" t="n"/>
      <c r="AP115" s="101" t="n"/>
      <c r="AQ115" s="26" t="n"/>
      <c r="AR115" s="101" t="n"/>
      <c r="AS115" s="106" t="n"/>
      <c r="AT115" s="25" t="n"/>
      <c r="AU115" s="25" t="n"/>
      <c r="AV115" s="569" t="n"/>
      <c r="AW115" s="25" t="n"/>
      <c r="AX115" s="26" t="n"/>
      <c r="AY115" s="26" t="n"/>
      <c r="AZ115" s="26" t="n"/>
      <c r="BA115" s="26" t="n"/>
      <c r="BB115" s="26" t="n"/>
      <c r="BC115" s="26" t="n"/>
      <c r="BD115" s="26" t="n"/>
      <c r="BE115" s="26" t="n"/>
      <c r="BF115" s="26" t="n"/>
      <c r="BG115" s="101" t="n"/>
      <c r="BH115" s="101" t="n"/>
      <c r="BI115" s="26" t="n"/>
      <c r="BJ115" s="26" t="n"/>
      <c r="BK115" s="26" t="n"/>
      <c r="BL115" s="101" t="n"/>
      <c r="BM115" s="26" t="n"/>
      <c r="BN115" s="101" t="n"/>
      <c r="BO115" s="591" t="n"/>
      <c r="BP115" s="26" t="n"/>
      <c r="BQ115" s="26" t="n"/>
      <c r="BR115" s="26" t="n"/>
      <c r="BS115" s="26" t="n"/>
      <c r="BT115" s="614" t="n"/>
      <c r="BU115" s="614" t="n"/>
      <c r="BV115" s="593" t="n"/>
      <c r="BW115" s="614" t="n"/>
      <c r="BX115" s="614" t="n"/>
      <c r="BY115" s="615" t="n"/>
      <c r="BZ115" s="614" t="n"/>
      <c r="CA115" s="592">
        <f>IF($E115="FL",$AR115*$BQ115*$BR115*$BU115,$AR115)</f>
        <v/>
      </c>
      <c r="CB115" s="592">
        <f>IF($E115="FL",$BN115*$BQ115*$BR115*$BX115,$BN115)</f>
        <v/>
      </c>
      <c r="CC115" s="592" t="n"/>
      <c r="CD115" s="592" t="n"/>
      <c r="CE115" s="592" t="n"/>
      <c r="CF115" s="592" t="n"/>
      <c r="CG115" s="37" t="n"/>
      <c r="CH115" s="37" t="n"/>
      <c r="CI115" s="128" t="n"/>
      <c r="CJ115" s="37" t="n"/>
      <c r="CK115" s="37" t="n"/>
      <c r="CL115" s="37" t="n"/>
      <c r="CM115" s="37" t="n"/>
      <c r="CN115" s="37" t="n"/>
      <c r="CO115" s="37" t="n"/>
      <c r="CP115" s="37" t="n"/>
      <c r="CQ115" s="37" t="n"/>
      <c r="CR115" s="37" t="n"/>
      <c r="CS115" s="37" t="n"/>
      <c r="CT115" s="37" t="n"/>
      <c r="CU115" s="37" t="n"/>
      <c r="CV115" s="37" t="n"/>
      <c r="CW115" s="37" t="n"/>
      <c r="CX115" s="37" t="n"/>
      <c r="CY115" s="484">
        <f>Y115</f>
        <v/>
      </c>
      <c r="CZ115" s="37" t="n"/>
      <c r="DA115" s="37" t="n"/>
      <c r="DB115" s="37">
        <f t="array" ref="DB115">IFERROR(INDEX(Tax_Tables[Percentages],$CK115+MATCH($DA115,$CL115:$CR115,0)-1),"")</f>
        <v/>
      </c>
      <c r="DC115" s="37">
        <f t="array" ref="DC115">IFERROR(INDEX(Tax_Tables[Tax],$CK115+MATCH($DA115,$CL115:$CR115,0)-1),"")</f>
        <v/>
      </c>
      <c r="DD115" s="37">
        <f>IF(CY115&lt;65,CS115,IF(CY115&lt;75,CT115,CU115))</f>
        <v/>
      </c>
      <c r="DE115" s="37">
        <f>CV115*(Summary!$C$31="Y")+(Summary!$C$31="Y")*(CW115*(Pre_MDep&gt;=1)+CX115*MAX(Pre_MDep-1,0))</f>
        <v/>
      </c>
      <c r="DF115" s="599">
        <f>IFERROR(MAX(DB115*(CZ115-DA115)+DC115-DD115-DE115*12,0),"")</f>
        <v/>
      </c>
      <c r="DG115" s="602" t="n"/>
      <c r="DH115" s="37" t="n"/>
      <c r="DI115" s="37" t="n"/>
      <c r="DJ115" s="37">
        <f t="array" ref="DJ115">IFERROR(INDEX(Tax_Tables[Percentages],$CK115+MATCH($DI115,$CL115:$CR115,0)-1),"")</f>
        <v/>
      </c>
      <c r="DK115" s="37">
        <f t="array" ref="DK115">IFERROR(INDEX(Tax_Tables[Tax],$CK115+MATCH($DI115,$CL115:$CR115,0)-1),"")</f>
        <v/>
      </c>
      <c r="DL115" s="37">
        <f>CV115*(Summary!$C$81="Y")+(Summary!$C$81="Y")*(CW115*(Post_MDep&gt;=1)+CX115*MAX(Post_MDep-1,0))</f>
        <v/>
      </c>
      <c r="DM115" s="599">
        <f>IFERROR(MAX(DJ115*(DH115-DI115)+DK115-DD115-DL115*12,0),"")</f>
        <v/>
      </c>
      <c r="DN115" s="37" t="n"/>
      <c r="DO115" s="37" t="n"/>
      <c r="DP115" s="37" t="n"/>
      <c r="DQ115" s="37" t="n"/>
      <c r="DR115" s="37" t="n"/>
      <c r="DS115" s="37" t="n"/>
      <c r="DT115" s="37" t="n"/>
      <c r="DU115" s="37" t="n"/>
      <c r="DV115" s="37" t="n"/>
      <c r="DW115" s="37" t="n"/>
      <c r="DX115" s="37" t="n"/>
      <c r="DY115" s="131" t="n"/>
      <c r="DZ115" s="37" t="n"/>
      <c r="EA115" s="37" t="n"/>
      <c r="EB115" s="37" t="n"/>
      <c r="EC115" s="37" t="n"/>
      <c r="ED115" s="35" t="n"/>
      <c r="EE115" s="595" t="n"/>
      <c r="EF115" s="25" t="n"/>
    </row>
    <row r="116">
      <c r="V116" s="6" t="n"/>
      <c r="X116" s="569" t="n"/>
      <c r="Y116" s="25" t="n"/>
      <c r="Z116" s="590" t="n"/>
      <c r="AA116" s="25" t="n"/>
      <c r="AB116" s="26" t="n"/>
      <c r="AC116" s="26" t="n"/>
      <c r="AD116" s="26" t="n"/>
      <c r="AE116" s="26" t="n"/>
      <c r="AF116" s="26" t="n"/>
      <c r="AG116" s="26" t="n"/>
      <c r="AH116" s="26" t="n"/>
      <c r="AI116" s="26" t="n"/>
      <c r="AJ116" s="26" t="n"/>
      <c r="AK116" s="101" t="n"/>
      <c r="AL116" s="101" t="n"/>
      <c r="AM116" s="26" t="n"/>
      <c r="AN116" s="26" t="n"/>
      <c r="AO116" s="26" t="n"/>
      <c r="AP116" s="101" t="n"/>
      <c r="AQ116" s="26" t="n"/>
      <c r="AR116" s="101" t="n"/>
      <c r="AS116" s="106" t="n"/>
      <c r="AT116" s="25" t="n"/>
      <c r="AU116" s="25" t="n"/>
      <c r="AV116" s="569" t="n"/>
      <c r="AW116" s="25" t="n"/>
      <c r="AX116" s="26" t="n"/>
      <c r="AY116" s="26" t="n"/>
      <c r="AZ116" s="26" t="n"/>
      <c r="BA116" s="26" t="n"/>
      <c r="BB116" s="26" t="n"/>
      <c r="BC116" s="26" t="n"/>
      <c r="BD116" s="26" t="n"/>
      <c r="BE116" s="26" t="n"/>
      <c r="BF116" s="26" t="n"/>
      <c r="BG116" s="101" t="n"/>
      <c r="BH116" s="101" t="n"/>
      <c r="BI116" s="26" t="n"/>
      <c r="BJ116" s="26" t="n"/>
      <c r="BK116" s="26" t="n"/>
      <c r="BL116" s="101" t="n"/>
      <c r="BM116" s="26" t="n"/>
      <c r="BN116" s="101" t="n"/>
      <c r="BO116" s="591" t="n"/>
      <c r="BP116" s="26" t="n"/>
      <c r="BQ116" s="26" t="n"/>
      <c r="BR116" s="26" t="n"/>
      <c r="BS116" s="26" t="n"/>
      <c r="BT116" s="614" t="n"/>
      <c r="BU116" s="614" t="n"/>
      <c r="BV116" s="593" t="n"/>
      <c r="BW116" s="614" t="n"/>
      <c r="BX116" s="614" t="n"/>
      <c r="BY116" s="615" t="n"/>
      <c r="BZ116" s="614" t="n"/>
      <c r="CA116" s="592">
        <f>IF($E116="FL",$AR116*$BQ116*$BR116*$BU116,$AR116)</f>
        <v/>
      </c>
      <c r="CB116" s="592">
        <f>IF($E116="FL",$BN116*$BQ116*$BR116*$BX116,$BN116)</f>
        <v/>
      </c>
      <c r="CC116" s="592" t="n"/>
      <c r="CD116" s="592" t="n"/>
      <c r="CE116" s="592" t="n"/>
      <c r="CF116" s="592" t="n"/>
      <c r="CG116" s="37" t="n"/>
      <c r="CH116" s="37" t="n"/>
      <c r="CI116" s="128" t="n"/>
      <c r="CJ116" s="37" t="n"/>
      <c r="CK116" s="37" t="n"/>
      <c r="CL116" s="37" t="n"/>
      <c r="CM116" s="37" t="n"/>
      <c r="CN116" s="37" t="n"/>
      <c r="CO116" s="37" t="n"/>
      <c r="CP116" s="37" t="n"/>
      <c r="CQ116" s="37" t="n"/>
      <c r="CR116" s="37" t="n"/>
      <c r="CS116" s="37" t="n"/>
      <c r="CT116" s="37" t="n"/>
      <c r="CU116" s="37" t="n"/>
      <c r="CV116" s="37" t="n"/>
      <c r="CW116" s="37" t="n"/>
      <c r="CX116" s="37" t="n"/>
      <c r="CY116" s="484">
        <f>Y116</f>
        <v/>
      </c>
      <c r="CZ116" s="37" t="n"/>
      <c r="DA116" s="37" t="n"/>
      <c r="DB116" s="37">
        <f t="array" ref="DB116">IFERROR(INDEX(Tax_Tables[Percentages],$CK116+MATCH($DA116,$CL116:$CR116,0)-1),"")</f>
        <v/>
      </c>
      <c r="DC116" s="37">
        <f t="array" ref="DC116">IFERROR(INDEX(Tax_Tables[Tax],$CK116+MATCH($DA116,$CL116:$CR116,0)-1),"")</f>
        <v/>
      </c>
      <c r="DD116" s="37">
        <f>IF(CY116&lt;65,CS116,IF(CY116&lt;75,CT116,CU116))</f>
        <v/>
      </c>
      <c r="DE116" s="37">
        <f>CV116*(Summary!$C$31="Y")+(Summary!$C$31="Y")*(CW116*(Pre_MDep&gt;=1)+CX116*MAX(Pre_MDep-1,0))</f>
        <v/>
      </c>
      <c r="DF116" s="599">
        <f>IFERROR(MAX(DB116*(CZ116-DA116)+DC116-DD116-DE116*12,0),"")</f>
        <v/>
      </c>
      <c r="DG116" s="602" t="n"/>
      <c r="DH116" s="37" t="n"/>
      <c r="DI116" s="37" t="n"/>
      <c r="DJ116" s="37">
        <f t="array" ref="DJ116">IFERROR(INDEX(Tax_Tables[Percentages],$CK116+MATCH($DI116,$CL116:$CR116,0)-1),"")</f>
        <v/>
      </c>
      <c r="DK116" s="37">
        <f t="array" ref="DK116">IFERROR(INDEX(Tax_Tables[Tax],$CK116+MATCH($DI116,$CL116:$CR116,0)-1),"")</f>
        <v/>
      </c>
      <c r="DL116" s="37">
        <f>CV116*(Summary!$C$81="Y")+(Summary!$C$81="Y")*(CW116*(Post_MDep&gt;=1)+CX116*MAX(Post_MDep-1,0))</f>
        <v/>
      </c>
      <c r="DM116" s="599">
        <f>IFERROR(MAX(DJ116*(DH116-DI116)+DK116-DD116-DL116*12,0),"")</f>
        <v/>
      </c>
      <c r="DN116" s="37" t="n"/>
      <c r="DO116" s="37" t="n"/>
      <c r="DP116" s="37" t="n"/>
      <c r="DQ116" s="37" t="n"/>
      <c r="DR116" s="37" t="n"/>
      <c r="DS116" s="37" t="n"/>
      <c r="DT116" s="37" t="n"/>
      <c r="DU116" s="37" t="n"/>
      <c r="DV116" s="37" t="n"/>
      <c r="DW116" s="37" t="n"/>
      <c r="DX116" s="37" t="n"/>
      <c r="DY116" s="131" t="n"/>
      <c r="DZ116" s="37" t="n"/>
      <c r="EA116" s="37" t="n"/>
      <c r="EB116" s="37" t="n"/>
      <c r="EC116" s="37" t="n"/>
      <c r="ED116" s="35" t="n"/>
      <c r="EE116" s="595" t="n"/>
      <c r="EF116" s="25" t="n"/>
    </row>
    <row r="117">
      <c r="V117" s="6" t="n"/>
      <c r="X117" s="569" t="n"/>
      <c r="Y117" s="25" t="n"/>
      <c r="Z117" s="590" t="n"/>
      <c r="AA117" s="25" t="n"/>
      <c r="AB117" s="26" t="n"/>
      <c r="AC117" s="26" t="n"/>
      <c r="AD117" s="26" t="n"/>
      <c r="AE117" s="26" t="n"/>
      <c r="AF117" s="26" t="n"/>
      <c r="AG117" s="26" t="n"/>
      <c r="AH117" s="26" t="n"/>
      <c r="AI117" s="26" t="n"/>
      <c r="AJ117" s="26" t="n"/>
      <c r="AK117" s="101" t="n"/>
      <c r="AL117" s="101" t="n"/>
      <c r="AM117" s="26" t="n"/>
      <c r="AN117" s="26" t="n"/>
      <c r="AO117" s="26" t="n"/>
      <c r="AP117" s="101" t="n"/>
      <c r="AQ117" s="26" t="n"/>
      <c r="AR117" s="101" t="n"/>
      <c r="AS117" s="106" t="n"/>
      <c r="AT117" s="25" t="n"/>
      <c r="AU117" s="25" t="n"/>
      <c r="AV117" s="569" t="n"/>
      <c r="AW117" s="25" t="n"/>
      <c r="AX117" s="26" t="n"/>
      <c r="AY117" s="26" t="n"/>
      <c r="AZ117" s="26" t="n"/>
      <c r="BA117" s="26" t="n"/>
      <c r="BB117" s="26" t="n"/>
      <c r="BC117" s="26" t="n"/>
      <c r="BD117" s="26" t="n"/>
      <c r="BE117" s="26" t="n"/>
      <c r="BF117" s="26" t="n"/>
      <c r="BG117" s="101" t="n"/>
      <c r="BH117" s="101" t="n"/>
      <c r="BI117" s="26" t="n"/>
      <c r="BJ117" s="26" t="n"/>
      <c r="BK117" s="26" t="n"/>
      <c r="BL117" s="101" t="n"/>
      <c r="BM117" s="26" t="n"/>
      <c r="BN117" s="101" t="n"/>
      <c r="BO117" s="591" t="n"/>
      <c r="BP117" s="26" t="n"/>
      <c r="BQ117" s="26" t="n"/>
      <c r="BR117" s="26" t="n"/>
      <c r="BS117" s="26" t="n"/>
      <c r="BT117" s="614" t="n"/>
      <c r="BU117" s="614" t="n"/>
      <c r="BV117" s="593" t="n"/>
      <c r="BW117" s="614" t="n"/>
      <c r="BX117" s="614" t="n"/>
      <c r="BY117" s="615" t="n"/>
      <c r="BZ117" s="614" t="n"/>
      <c r="CA117" s="592">
        <f>IF($E117="FL",$AR117*$BQ117*$BR117*$BU117,$AR117)</f>
        <v/>
      </c>
      <c r="CB117" s="592">
        <f>IF($E117="FL",$BN117*$BQ117*$BR117*$BX117,$BN117)</f>
        <v/>
      </c>
      <c r="CC117" s="592" t="n"/>
      <c r="CD117" s="592" t="n"/>
      <c r="CE117" s="592" t="n"/>
      <c r="CF117" s="592" t="n"/>
      <c r="CG117" s="37" t="n"/>
      <c r="CH117" s="37" t="n"/>
      <c r="CI117" s="128" t="n"/>
      <c r="CJ117" s="37" t="n"/>
      <c r="CK117" s="37" t="n"/>
      <c r="CL117" s="37" t="n"/>
      <c r="CM117" s="37" t="n"/>
      <c r="CN117" s="37" t="n"/>
      <c r="CO117" s="37" t="n"/>
      <c r="CP117" s="37" t="n"/>
      <c r="CQ117" s="37" t="n"/>
      <c r="CR117" s="37" t="n"/>
      <c r="CS117" s="37" t="n"/>
      <c r="CT117" s="37" t="n"/>
      <c r="CU117" s="37" t="n"/>
      <c r="CV117" s="37" t="n"/>
      <c r="CW117" s="37" t="n"/>
      <c r="CX117" s="37" t="n"/>
      <c r="CY117" s="484">
        <f>Y117</f>
        <v/>
      </c>
      <c r="CZ117" s="37" t="n"/>
      <c r="DA117" s="37" t="n"/>
      <c r="DB117" s="37">
        <f t="array" ref="DB117">IFERROR(INDEX(Tax_Tables[Percentages],$CK117+MATCH($DA117,$CL117:$CR117,0)-1),"")</f>
        <v/>
      </c>
      <c r="DC117" s="37">
        <f t="array" ref="DC117">IFERROR(INDEX(Tax_Tables[Tax],$CK117+MATCH($DA117,$CL117:$CR117,0)-1),"")</f>
        <v/>
      </c>
      <c r="DD117" s="37">
        <f>IF(CY117&lt;65,CS117,IF(CY117&lt;75,CT117,CU117))</f>
        <v/>
      </c>
      <c r="DE117" s="37">
        <f>CV117*(Summary!$C$31="Y")+(Summary!$C$31="Y")*(CW117*(Pre_MDep&gt;=1)+CX117*MAX(Pre_MDep-1,0))</f>
        <v/>
      </c>
      <c r="DF117" s="599">
        <f>IFERROR(MAX(DB117*(CZ117-DA117)+DC117-DD117-DE117*12,0),"")</f>
        <v/>
      </c>
      <c r="DG117" s="602" t="n"/>
      <c r="DH117" s="37" t="n"/>
      <c r="DI117" s="37" t="n"/>
      <c r="DJ117" s="37">
        <f t="array" ref="DJ117">IFERROR(INDEX(Tax_Tables[Percentages],$CK117+MATCH($DI117,$CL117:$CR117,0)-1),"")</f>
        <v/>
      </c>
      <c r="DK117" s="37">
        <f t="array" ref="DK117">IFERROR(INDEX(Tax_Tables[Tax],$CK117+MATCH($DI117,$CL117:$CR117,0)-1),"")</f>
        <v/>
      </c>
      <c r="DL117" s="37">
        <f>CV117*(Summary!$C$81="Y")+(Summary!$C$81="Y")*(CW117*(Post_MDep&gt;=1)+CX117*MAX(Post_MDep-1,0))</f>
        <v/>
      </c>
      <c r="DM117" s="599">
        <f>IFERROR(MAX(DJ117*(DH117-DI117)+DK117-DD117-DL117*12,0),"")</f>
        <v/>
      </c>
      <c r="DN117" s="37" t="n"/>
      <c r="DO117" s="37" t="n"/>
      <c r="DP117" s="37" t="n"/>
      <c r="DQ117" s="37" t="n"/>
      <c r="DR117" s="37" t="n"/>
      <c r="DS117" s="37" t="n"/>
      <c r="DT117" s="37" t="n"/>
      <c r="DU117" s="37" t="n"/>
      <c r="DV117" s="37" t="n"/>
      <c r="DW117" s="37" t="n"/>
      <c r="DX117" s="37" t="n"/>
      <c r="DY117" s="131" t="n"/>
      <c r="DZ117" s="37" t="n"/>
      <c r="EA117" s="37" t="n"/>
      <c r="EB117" s="37" t="n"/>
      <c r="EC117" s="37" t="n"/>
      <c r="ED117" s="35" t="n"/>
      <c r="EE117" s="595" t="n"/>
      <c r="EF117" s="25" t="n"/>
    </row>
    <row r="118">
      <c r="V118" s="6" t="n"/>
      <c r="X118" s="569" t="n"/>
      <c r="Y118" s="25" t="n"/>
      <c r="Z118" s="590" t="n"/>
      <c r="AA118" s="25" t="n"/>
      <c r="AB118" s="26" t="n"/>
      <c r="AC118" s="26" t="n"/>
      <c r="AD118" s="26" t="n"/>
      <c r="AE118" s="26" t="n"/>
      <c r="AF118" s="26" t="n"/>
      <c r="AG118" s="26" t="n"/>
      <c r="AH118" s="26" t="n"/>
      <c r="AI118" s="26" t="n"/>
      <c r="AJ118" s="26" t="n"/>
      <c r="AK118" s="101" t="n"/>
      <c r="AL118" s="101" t="n"/>
      <c r="AM118" s="26" t="n"/>
      <c r="AN118" s="26" t="n"/>
      <c r="AO118" s="26" t="n"/>
      <c r="AP118" s="101" t="n"/>
      <c r="AQ118" s="26" t="n"/>
      <c r="AR118" s="101" t="n"/>
      <c r="AS118" s="106" t="n"/>
      <c r="AT118" s="25" t="n"/>
      <c r="AU118" s="25" t="n"/>
      <c r="AV118" s="569" t="n"/>
      <c r="AW118" s="25" t="n"/>
      <c r="AX118" s="26" t="n"/>
      <c r="AY118" s="26" t="n"/>
      <c r="AZ118" s="26" t="n"/>
      <c r="BA118" s="26" t="n"/>
      <c r="BB118" s="26" t="n"/>
      <c r="BC118" s="26" t="n"/>
      <c r="BD118" s="26" t="n"/>
      <c r="BE118" s="26" t="n"/>
      <c r="BF118" s="26" t="n"/>
      <c r="BG118" s="101" t="n"/>
      <c r="BH118" s="101" t="n"/>
      <c r="BI118" s="26" t="n"/>
      <c r="BJ118" s="26" t="n"/>
      <c r="BK118" s="26" t="n"/>
      <c r="BL118" s="101" t="n"/>
      <c r="BM118" s="26" t="n"/>
      <c r="BN118" s="101" t="n"/>
      <c r="BO118" s="591" t="n"/>
      <c r="BP118" s="26" t="n"/>
      <c r="BQ118" s="26" t="n"/>
      <c r="BR118" s="26" t="n"/>
      <c r="BS118" s="26" t="n"/>
      <c r="BT118" s="614" t="n"/>
      <c r="BU118" s="614" t="n"/>
      <c r="BV118" s="593" t="n"/>
      <c r="BW118" s="614" t="n"/>
      <c r="BX118" s="614" t="n"/>
      <c r="BY118" s="615" t="n"/>
      <c r="BZ118" s="614" t="n"/>
      <c r="CA118" s="592">
        <f>IF($E118="FL",$AR118*$BQ118*$BR118*$BU118,$AR118)</f>
        <v/>
      </c>
      <c r="CB118" s="592">
        <f>IF($E118="FL",$BN118*$BQ118*$BR118*$BX118,$BN118)</f>
        <v/>
      </c>
      <c r="CC118" s="592" t="n"/>
      <c r="CD118" s="592" t="n"/>
      <c r="CE118" s="592" t="n"/>
      <c r="CF118" s="592" t="n"/>
      <c r="CG118" s="37" t="n"/>
      <c r="CH118" s="37" t="n"/>
      <c r="CI118" s="128" t="n"/>
      <c r="CJ118" s="37" t="n"/>
      <c r="CK118" s="37" t="n"/>
      <c r="CL118" s="37" t="n"/>
      <c r="CM118" s="37" t="n"/>
      <c r="CN118" s="37" t="n"/>
      <c r="CO118" s="37" t="n"/>
      <c r="CP118" s="37" t="n"/>
      <c r="CQ118" s="37" t="n"/>
      <c r="CR118" s="37" t="n"/>
      <c r="CS118" s="37" t="n"/>
      <c r="CT118" s="37" t="n"/>
      <c r="CU118" s="37" t="n"/>
      <c r="CV118" s="37" t="n"/>
      <c r="CW118" s="37" t="n"/>
      <c r="CX118" s="37" t="n"/>
      <c r="CY118" s="484">
        <f>Y118</f>
        <v/>
      </c>
      <c r="CZ118" s="37" t="n"/>
      <c r="DA118" s="37" t="n"/>
      <c r="DB118" s="37">
        <f t="array" ref="DB118">IFERROR(INDEX(Tax_Tables[Percentages],$CK118+MATCH($DA118,$CL118:$CR118,0)-1),"")</f>
        <v/>
      </c>
      <c r="DC118" s="37">
        <f t="array" ref="DC118">IFERROR(INDEX(Tax_Tables[Tax],$CK118+MATCH($DA118,$CL118:$CR118,0)-1),"")</f>
        <v/>
      </c>
      <c r="DD118" s="37">
        <f>IF(CY118&lt;65,CS118,IF(CY118&lt;75,CT118,CU118))</f>
        <v/>
      </c>
      <c r="DE118" s="37">
        <f>CV118*(Summary!$C$31="Y")+(Summary!$C$31="Y")*(CW118*(Pre_MDep&gt;=1)+CX118*MAX(Pre_MDep-1,0))</f>
        <v/>
      </c>
      <c r="DF118" s="599">
        <f>IFERROR(MAX(DB118*(CZ118-DA118)+DC118-DD118-DE118*12,0),"")</f>
        <v/>
      </c>
      <c r="DG118" s="602" t="n"/>
      <c r="DH118" s="37" t="n"/>
      <c r="DI118" s="37" t="n"/>
      <c r="DJ118" s="37">
        <f t="array" ref="DJ118">IFERROR(INDEX(Tax_Tables[Percentages],$CK118+MATCH($DI118,$CL118:$CR118,0)-1),"")</f>
        <v/>
      </c>
      <c r="DK118" s="37">
        <f t="array" ref="DK118">IFERROR(INDEX(Tax_Tables[Tax],$CK118+MATCH($DI118,$CL118:$CR118,0)-1),"")</f>
        <v/>
      </c>
      <c r="DL118" s="37">
        <f>CV118*(Summary!$C$81="Y")+(Summary!$C$81="Y")*(CW118*(Post_MDep&gt;=1)+CX118*MAX(Post_MDep-1,0))</f>
        <v/>
      </c>
      <c r="DM118" s="599">
        <f>IFERROR(MAX(DJ118*(DH118-DI118)+DK118-DD118-DL118*12,0),"")</f>
        <v/>
      </c>
      <c r="DN118" s="37" t="n"/>
      <c r="DO118" s="37" t="n"/>
      <c r="DP118" s="37" t="n"/>
      <c r="DQ118" s="37" t="n"/>
      <c r="DR118" s="37" t="n"/>
      <c r="DS118" s="37" t="n"/>
      <c r="DT118" s="37" t="n"/>
      <c r="DU118" s="37" t="n"/>
      <c r="DV118" s="37" t="n"/>
      <c r="DW118" s="37" t="n"/>
      <c r="DX118" s="37" t="n"/>
      <c r="DY118" s="131" t="n"/>
      <c r="DZ118" s="37" t="n"/>
      <c r="EA118" s="37" t="n"/>
      <c r="EB118" s="37" t="n"/>
      <c r="EC118" s="37" t="n"/>
      <c r="ED118" s="35" t="n"/>
      <c r="EE118" s="595" t="n"/>
      <c r="EF118" s="25" t="n"/>
    </row>
    <row r="119">
      <c r="V119" s="6" t="n"/>
      <c r="X119" s="569" t="n"/>
      <c r="Y119" s="25" t="n"/>
      <c r="Z119" s="590" t="n"/>
      <c r="AA119" s="25" t="n"/>
      <c r="AB119" s="26" t="n"/>
      <c r="AC119" s="26" t="n"/>
      <c r="AD119" s="26" t="n"/>
      <c r="AE119" s="26" t="n"/>
      <c r="AF119" s="26" t="n"/>
      <c r="AG119" s="26" t="n"/>
      <c r="AH119" s="26" t="n"/>
      <c r="AI119" s="26" t="n"/>
      <c r="AJ119" s="26" t="n"/>
      <c r="AK119" s="101" t="n"/>
      <c r="AL119" s="101" t="n"/>
      <c r="AM119" s="26" t="n"/>
      <c r="AN119" s="26" t="n"/>
      <c r="AO119" s="26" t="n"/>
      <c r="AP119" s="101" t="n"/>
      <c r="AQ119" s="26" t="n"/>
      <c r="AR119" s="101" t="n"/>
      <c r="AS119" s="106" t="n"/>
      <c r="AT119" s="25" t="n"/>
      <c r="AU119" s="25" t="n"/>
      <c r="AV119" s="569" t="n"/>
      <c r="AW119" s="25" t="n"/>
      <c r="AX119" s="26" t="n"/>
      <c r="AY119" s="26" t="n"/>
      <c r="AZ119" s="26" t="n"/>
      <c r="BA119" s="26" t="n"/>
      <c r="BB119" s="26" t="n"/>
      <c r="BC119" s="26" t="n"/>
      <c r="BD119" s="26" t="n"/>
      <c r="BE119" s="26" t="n"/>
      <c r="BF119" s="26" t="n"/>
      <c r="BG119" s="101" t="n"/>
      <c r="BH119" s="101" t="n"/>
      <c r="BI119" s="26" t="n"/>
      <c r="BJ119" s="26" t="n"/>
      <c r="BK119" s="26" t="n"/>
      <c r="BL119" s="101" t="n"/>
      <c r="BM119" s="26" t="n"/>
      <c r="BN119" s="101" t="n"/>
      <c r="BO119" s="591" t="n"/>
      <c r="BP119" s="26" t="n"/>
      <c r="BQ119" s="26" t="n"/>
      <c r="BR119" s="26" t="n"/>
      <c r="BS119" s="26" t="n"/>
      <c r="BT119" s="614" t="n"/>
      <c r="BU119" s="614" t="n"/>
      <c r="BV119" s="593" t="n"/>
      <c r="BW119" s="614" t="n"/>
      <c r="BX119" s="614" t="n"/>
      <c r="BY119" s="615" t="n"/>
      <c r="BZ119" s="614" t="n"/>
      <c r="CA119" s="592">
        <f>IF($E119="FL",$AR119*$BQ119*$BR119*$BU119,$AR119)</f>
        <v/>
      </c>
      <c r="CB119" s="592">
        <f>IF($E119="FL",$BN119*$BQ119*$BR119*$BX119,$BN119)</f>
        <v/>
      </c>
      <c r="CC119" s="592" t="n"/>
      <c r="CD119" s="592" t="n"/>
      <c r="CE119" s="592" t="n"/>
      <c r="CF119" s="592" t="n"/>
      <c r="CG119" s="37" t="n"/>
      <c r="CH119" s="37" t="n"/>
      <c r="CI119" s="128" t="n"/>
      <c r="CJ119" s="37" t="n"/>
      <c r="CK119" s="37" t="n"/>
      <c r="CL119" s="37" t="n"/>
      <c r="CM119" s="37" t="n"/>
      <c r="CN119" s="37" t="n"/>
      <c r="CO119" s="37" t="n"/>
      <c r="CP119" s="37" t="n"/>
      <c r="CQ119" s="37" t="n"/>
      <c r="CR119" s="37" t="n"/>
      <c r="CS119" s="37" t="n"/>
      <c r="CT119" s="37" t="n"/>
      <c r="CU119" s="37" t="n"/>
      <c r="CV119" s="37" t="n"/>
      <c r="CW119" s="37" t="n"/>
      <c r="CX119" s="37" t="n"/>
      <c r="CY119" s="484">
        <f>Y119</f>
        <v/>
      </c>
      <c r="CZ119" s="37" t="n"/>
      <c r="DA119" s="37" t="n"/>
      <c r="DB119" s="37">
        <f t="array" ref="DB119">IFERROR(INDEX(Tax_Tables[Percentages],$CK119+MATCH($DA119,$CL119:$CR119,0)-1),"")</f>
        <v/>
      </c>
      <c r="DC119" s="37">
        <f t="array" ref="DC119">IFERROR(INDEX(Tax_Tables[Tax],$CK119+MATCH($DA119,$CL119:$CR119,0)-1),"")</f>
        <v/>
      </c>
      <c r="DD119" s="37">
        <f>IF(CY119&lt;65,CS119,IF(CY119&lt;75,CT119,CU119))</f>
        <v/>
      </c>
      <c r="DE119" s="37">
        <f>CV119*(Summary!$C$31="Y")+(Summary!$C$31="Y")*(CW119*(Pre_MDep&gt;=1)+CX119*MAX(Pre_MDep-1,0))</f>
        <v/>
      </c>
      <c r="DF119" s="599">
        <f>IFERROR(MAX(DB119*(CZ119-DA119)+DC119-DD119-DE119*12,0),"")</f>
        <v/>
      </c>
      <c r="DG119" s="602" t="n"/>
      <c r="DH119" s="37" t="n"/>
      <c r="DI119" s="37" t="n"/>
      <c r="DJ119" s="37">
        <f t="array" ref="DJ119">IFERROR(INDEX(Tax_Tables[Percentages],$CK119+MATCH($DI119,$CL119:$CR119,0)-1),"")</f>
        <v/>
      </c>
      <c r="DK119" s="37">
        <f t="array" ref="DK119">IFERROR(INDEX(Tax_Tables[Tax],$CK119+MATCH($DI119,$CL119:$CR119,0)-1),"")</f>
        <v/>
      </c>
      <c r="DL119" s="37">
        <f>CV119*(Summary!$C$81="Y")+(Summary!$C$81="Y")*(CW119*(Post_MDep&gt;=1)+CX119*MAX(Post_MDep-1,0))</f>
        <v/>
      </c>
      <c r="DM119" s="599">
        <f>IFERROR(MAX(DJ119*(DH119-DI119)+DK119-DD119-DL119*12,0),"")</f>
        <v/>
      </c>
      <c r="DN119" s="37" t="n"/>
      <c r="DO119" s="37" t="n"/>
      <c r="DP119" s="37" t="n"/>
      <c r="DQ119" s="37" t="n"/>
      <c r="DR119" s="37" t="n"/>
      <c r="DS119" s="37" t="n"/>
      <c r="DT119" s="37" t="n"/>
      <c r="DU119" s="37" t="n"/>
      <c r="DV119" s="37" t="n"/>
      <c r="DW119" s="37" t="n"/>
      <c r="DX119" s="37" t="n"/>
      <c r="DY119" s="131" t="n"/>
      <c r="DZ119" s="37" t="n"/>
      <c r="EA119" s="37" t="n"/>
      <c r="EB119" s="37" t="n"/>
      <c r="EC119" s="37" t="n"/>
      <c r="ED119" s="35" t="n"/>
      <c r="EE119" s="595" t="n"/>
      <c r="EF119" s="25" t="n"/>
    </row>
    <row r="120">
      <c r="V120" s="6" t="n"/>
      <c r="X120" s="569" t="n"/>
      <c r="Y120" s="25" t="n"/>
      <c r="Z120" s="590" t="n"/>
      <c r="AA120" s="25" t="n"/>
      <c r="AB120" s="26" t="n"/>
      <c r="AC120" s="26" t="n"/>
      <c r="AD120" s="26" t="n"/>
      <c r="AE120" s="26" t="n"/>
      <c r="AF120" s="26" t="n"/>
      <c r="AG120" s="26" t="n"/>
      <c r="AH120" s="26" t="n"/>
      <c r="AI120" s="26" t="n"/>
      <c r="AJ120" s="26" t="n"/>
      <c r="AK120" s="101" t="n"/>
      <c r="AL120" s="101" t="n"/>
      <c r="AM120" s="26" t="n"/>
      <c r="AN120" s="26" t="n"/>
      <c r="AO120" s="26" t="n"/>
      <c r="AP120" s="101" t="n"/>
      <c r="AQ120" s="26" t="n"/>
      <c r="AR120" s="101" t="n"/>
      <c r="AS120" s="106" t="n"/>
      <c r="AT120" s="25" t="n"/>
      <c r="AU120" s="25" t="n"/>
      <c r="AV120" s="569" t="n"/>
      <c r="AW120" s="25" t="n"/>
      <c r="AX120" s="26" t="n"/>
      <c r="AY120" s="26" t="n"/>
      <c r="AZ120" s="26" t="n"/>
      <c r="BA120" s="26" t="n"/>
      <c r="BB120" s="26" t="n"/>
      <c r="BC120" s="26" t="n"/>
      <c r="BD120" s="26" t="n"/>
      <c r="BE120" s="26" t="n"/>
      <c r="BF120" s="26" t="n"/>
      <c r="BG120" s="101" t="n"/>
      <c r="BH120" s="101" t="n"/>
      <c r="BI120" s="26" t="n"/>
      <c r="BJ120" s="26" t="n"/>
      <c r="BK120" s="26" t="n"/>
      <c r="BL120" s="101" t="n"/>
      <c r="BM120" s="26" t="n"/>
      <c r="BN120" s="101" t="n"/>
      <c r="BO120" s="591" t="n"/>
      <c r="BP120" s="26" t="n"/>
      <c r="BQ120" s="26" t="n"/>
      <c r="BR120" s="26" t="n"/>
      <c r="BS120" s="26" t="n"/>
      <c r="BT120" s="614" t="n"/>
      <c r="BU120" s="614" t="n"/>
      <c r="BV120" s="593" t="n"/>
      <c r="BW120" s="614" t="n"/>
      <c r="BX120" s="614" t="n"/>
      <c r="BY120" s="615" t="n"/>
      <c r="BZ120" s="614" t="n"/>
      <c r="CA120" s="592">
        <f>IF($E120="FL",$AR120*$BQ120*$BR120*$BU120,$AR120)</f>
        <v/>
      </c>
      <c r="CB120" s="592">
        <f>IF($E120="FL",$BN120*$BQ120*$BR120*$BX120,$BN120)</f>
        <v/>
      </c>
      <c r="CC120" s="592" t="n"/>
      <c r="CD120" s="592" t="n"/>
      <c r="CE120" s="592" t="n"/>
      <c r="CF120" s="592" t="n"/>
      <c r="CG120" s="37" t="n"/>
      <c r="CH120" s="37" t="n"/>
      <c r="CI120" s="128" t="n"/>
      <c r="CJ120" s="37" t="n"/>
      <c r="CK120" s="37" t="n"/>
      <c r="CL120" s="37" t="n"/>
      <c r="CM120" s="37" t="n"/>
      <c r="CN120" s="37" t="n"/>
      <c r="CO120" s="37" t="n"/>
      <c r="CP120" s="37" t="n"/>
      <c r="CQ120" s="37" t="n"/>
      <c r="CR120" s="37" t="n"/>
      <c r="CS120" s="37" t="n"/>
      <c r="CT120" s="37" t="n"/>
      <c r="CU120" s="37" t="n"/>
      <c r="CV120" s="37" t="n"/>
      <c r="CW120" s="37" t="n"/>
      <c r="CX120" s="37" t="n"/>
      <c r="CY120" s="417" t="n"/>
      <c r="CZ120" s="37" t="n"/>
      <c r="DA120" s="37" t="n"/>
      <c r="DB120" s="37" t="n"/>
      <c r="DC120" s="37" t="n"/>
      <c r="DD120" s="37" t="n"/>
      <c r="DE120" s="37" t="n"/>
      <c r="DF120" s="37" t="n"/>
      <c r="DG120" s="489" t="n"/>
      <c r="DH120" s="37" t="n"/>
      <c r="DI120" s="37" t="n"/>
      <c r="DJ120" s="37" t="n"/>
      <c r="DK120" s="37" t="n"/>
      <c r="DL120" s="37" t="n"/>
      <c r="DM120" s="37" t="n"/>
      <c r="DN120" s="37" t="n"/>
      <c r="DO120" s="37" t="n"/>
      <c r="DP120" s="37" t="n"/>
      <c r="DQ120" s="37" t="n"/>
      <c r="DR120" s="37" t="n"/>
      <c r="DS120" s="37" t="n"/>
      <c r="DT120" s="37" t="n"/>
      <c r="DU120" s="37" t="n"/>
      <c r="DV120" s="37" t="n"/>
      <c r="DW120" s="37" t="n"/>
      <c r="DX120" s="37" t="n"/>
      <c r="DY120" s="131" t="n"/>
      <c r="DZ120" s="37" t="n"/>
      <c r="EA120" s="37" t="n"/>
      <c r="EB120" s="37" t="n"/>
      <c r="EC120" s="37" t="n"/>
      <c r="ED120" s="35" t="n"/>
      <c r="EE120" s="595" t="n"/>
      <c r="EF120" s="25" t="n"/>
    </row>
    <row r="121">
      <c r="V121" s="6" t="n"/>
      <c r="X121" s="569" t="n"/>
      <c r="Y121" s="25" t="n"/>
      <c r="Z121" s="590" t="n"/>
      <c r="AA121" s="25" t="n"/>
      <c r="AB121" s="26" t="n"/>
      <c r="AC121" s="26" t="n"/>
      <c r="AD121" s="26" t="n"/>
      <c r="AE121" s="26" t="n"/>
      <c r="AF121" s="26" t="n"/>
      <c r="AG121" s="26" t="n"/>
      <c r="AH121" s="26" t="n"/>
      <c r="AI121" s="26" t="n"/>
      <c r="AJ121" s="26" t="n"/>
      <c r="AK121" s="101" t="n"/>
      <c r="AL121" s="101" t="n"/>
      <c r="AM121" s="26" t="n"/>
      <c r="AN121" s="26" t="n"/>
      <c r="AO121" s="26" t="n"/>
      <c r="AP121" s="101" t="n"/>
      <c r="AQ121" s="26" t="n"/>
      <c r="AR121" s="101" t="n"/>
      <c r="AS121" s="106" t="n"/>
      <c r="AT121" s="25" t="n"/>
      <c r="AU121" s="25" t="n"/>
      <c r="AV121" s="569" t="n"/>
      <c r="AW121" s="25" t="n"/>
      <c r="AX121" s="26" t="n"/>
      <c r="AY121" s="26" t="n"/>
      <c r="AZ121" s="26" t="n"/>
      <c r="BA121" s="26" t="n"/>
      <c r="BB121" s="26" t="n"/>
      <c r="BC121" s="26" t="n"/>
      <c r="BD121" s="26" t="n"/>
      <c r="BE121" s="26" t="n"/>
      <c r="BF121" s="26" t="n"/>
      <c r="BG121" s="101" t="n"/>
      <c r="BH121" s="101" t="n"/>
      <c r="BI121" s="26" t="n"/>
      <c r="BJ121" s="26" t="n"/>
      <c r="BK121" s="26" t="n"/>
      <c r="BL121" s="101" t="n"/>
      <c r="BM121" s="26" t="n"/>
      <c r="BN121" s="101" t="n"/>
      <c r="BO121" s="591" t="n"/>
      <c r="BP121" s="26" t="n"/>
      <c r="BQ121" s="26" t="n"/>
      <c r="BR121" s="26" t="n"/>
      <c r="BS121" s="26" t="n"/>
      <c r="BT121" s="614" t="n"/>
      <c r="BU121" s="614" t="n"/>
      <c r="BV121" s="593" t="n"/>
      <c r="BW121" s="614" t="n"/>
      <c r="BX121" s="614" t="n"/>
      <c r="BY121" s="615" t="n"/>
      <c r="BZ121" s="614" t="n"/>
      <c r="CA121" s="592">
        <f>IF($E121="FL",$AR121*$BQ121*$BR121*$BU121,$AR121)</f>
        <v/>
      </c>
      <c r="CB121" s="592">
        <f>IF($E121="FL",$BN121*$BQ121*$BR121*$BX121,$BN121)</f>
        <v/>
      </c>
      <c r="CC121" s="592" t="n"/>
      <c r="CD121" s="592" t="n"/>
      <c r="CE121" s="592" t="n"/>
      <c r="CF121" s="592" t="n"/>
      <c r="CG121" s="37" t="n"/>
      <c r="CH121" s="37" t="n"/>
      <c r="CI121" s="128" t="n"/>
      <c r="CJ121" s="37" t="n"/>
      <c r="CK121" s="37" t="n"/>
      <c r="CL121" s="37" t="n"/>
      <c r="CM121" s="37" t="n"/>
      <c r="CN121" s="37" t="n"/>
      <c r="CO121" s="37" t="n"/>
      <c r="CP121" s="37" t="n"/>
      <c r="CQ121" s="37" t="n"/>
      <c r="CR121" s="37" t="n"/>
      <c r="CS121" s="37" t="n"/>
      <c r="CT121" s="37" t="n"/>
      <c r="CU121" s="37" t="n"/>
      <c r="CV121" s="37" t="n"/>
      <c r="CW121" s="37" t="n"/>
      <c r="CX121" s="37" t="n"/>
      <c r="CY121" s="417" t="n"/>
      <c r="CZ121" s="37" t="n"/>
      <c r="DA121" s="37" t="n"/>
      <c r="DB121" s="37" t="n"/>
      <c r="DC121" s="37" t="n"/>
      <c r="DD121" s="37" t="n"/>
      <c r="DE121" s="37" t="n"/>
      <c r="DF121" s="37" t="n"/>
      <c r="DG121" s="489" t="n"/>
      <c r="DH121" s="37" t="n"/>
      <c r="DI121" s="37" t="n"/>
      <c r="DJ121" s="37" t="n"/>
      <c r="DK121" s="37" t="n"/>
      <c r="DL121" s="37" t="n"/>
      <c r="DM121" s="37" t="n"/>
      <c r="DN121" s="37" t="n"/>
      <c r="DO121" s="37" t="n"/>
      <c r="DP121" s="37" t="n"/>
      <c r="DQ121" s="37" t="n"/>
      <c r="DR121" s="37" t="n"/>
      <c r="DS121" s="37" t="n"/>
      <c r="DT121" s="37" t="n"/>
      <c r="DU121" s="37" t="n"/>
      <c r="DV121" s="37" t="n"/>
      <c r="DW121" s="37" t="n"/>
      <c r="DX121" s="37" t="n"/>
      <c r="DY121" s="131" t="n"/>
      <c r="DZ121" s="37" t="n"/>
      <c r="EA121" s="37" t="n"/>
      <c r="EB121" s="37" t="n"/>
      <c r="EC121" s="37" t="n"/>
      <c r="ED121" s="35" t="n"/>
      <c r="EE121" s="595" t="n"/>
      <c r="EF121" s="25" t="n"/>
    </row>
    <row r="122">
      <c r="V122" s="6" t="n"/>
      <c r="X122" s="569" t="n"/>
      <c r="Y122" s="25" t="n"/>
      <c r="Z122" s="590" t="n"/>
      <c r="AA122" s="25" t="n"/>
      <c r="AB122" s="26" t="n"/>
      <c r="AC122" s="26" t="n"/>
      <c r="AD122" s="26" t="n"/>
      <c r="AE122" s="26" t="n"/>
      <c r="AF122" s="26" t="n"/>
      <c r="AG122" s="26" t="n"/>
      <c r="AH122" s="26" t="n"/>
      <c r="AI122" s="26" t="n"/>
      <c r="AJ122" s="26" t="n"/>
      <c r="AK122" s="101" t="n"/>
      <c r="AL122" s="101" t="n"/>
      <c r="AM122" s="26" t="n"/>
      <c r="AN122" s="26" t="n"/>
      <c r="AO122" s="26" t="n"/>
      <c r="AP122" s="101" t="n"/>
      <c r="AQ122" s="26" t="n"/>
      <c r="AR122" s="101" t="n"/>
      <c r="AS122" s="106" t="n"/>
      <c r="AT122" s="25" t="n"/>
      <c r="AU122" s="25" t="n"/>
      <c r="AV122" s="569" t="n"/>
      <c r="AW122" s="25" t="n"/>
      <c r="AX122" s="26" t="n"/>
      <c r="AY122" s="26" t="n"/>
      <c r="AZ122" s="26" t="n"/>
      <c r="BA122" s="26" t="n"/>
      <c r="BB122" s="26" t="n"/>
      <c r="BC122" s="26" t="n"/>
      <c r="BD122" s="26" t="n"/>
      <c r="BE122" s="26" t="n"/>
      <c r="BF122" s="26" t="n"/>
      <c r="BG122" s="101" t="n"/>
      <c r="BH122" s="101" t="n"/>
      <c r="BI122" s="26" t="n"/>
      <c r="BJ122" s="26" t="n"/>
      <c r="BK122" s="26" t="n"/>
      <c r="BL122" s="101" t="n"/>
      <c r="BM122" s="26" t="n"/>
      <c r="BN122" s="101" t="n"/>
      <c r="BO122" s="591" t="n"/>
      <c r="BP122" s="26" t="n"/>
      <c r="BQ122" s="26" t="n"/>
      <c r="BR122" s="26" t="n"/>
      <c r="BS122" s="26" t="n"/>
      <c r="BT122" s="614" t="n"/>
      <c r="BU122" s="614" t="n"/>
      <c r="BV122" s="593" t="n"/>
      <c r="BW122" s="614" t="n"/>
      <c r="BX122" s="614" t="n"/>
      <c r="BY122" s="615" t="n"/>
      <c r="BZ122" s="614" t="n"/>
      <c r="CA122" s="592">
        <f>IF($E122="FL",$AR122*$BQ122*$BR122*$BU122,$AR122)</f>
        <v/>
      </c>
      <c r="CB122" s="592">
        <f>IF($E122="FL",$BN122*$BQ122*$BR122*$BX122,$BN122)</f>
        <v/>
      </c>
      <c r="CC122" s="592" t="n"/>
      <c r="CD122" s="592" t="n"/>
      <c r="CE122" s="592" t="n"/>
      <c r="CF122" s="592" t="n"/>
      <c r="CG122" s="37" t="n"/>
      <c r="CH122" s="37" t="n"/>
      <c r="CI122" s="128" t="n"/>
      <c r="CJ122" s="37" t="n"/>
      <c r="CK122" s="37" t="n"/>
      <c r="CL122" s="37" t="n"/>
      <c r="CM122" s="37" t="n"/>
      <c r="CN122" s="37" t="n"/>
      <c r="CO122" s="37" t="n"/>
      <c r="CP122" s="37" t="n"/>
      <c r="CQ122" s="37" t="n"/>
      <c r="CR122" s="37" t="n"/>
      <c r="CS122" s="37" t="n"/>
      <c r="CT122" s="37" t="n"/>
      <c r="CU122" s="37" t="n"/>
      <c r="CV122" s="37" t="n"/>
      <c r="CW122" s="37" t="n"/>
      <c r="CX122" s="37" t="n"/>
      <c r="CY122" s="417" t="n"/>
      <c r="CZ122" s="37" t="n"/>
      <c r="DA122" s="37" t="n"/>
      <c r="DB122" s="37" t="n"/>
      <c r="DC122" s="37" t="n"/>
      <c r="DD122" s="37" t="n"/>
      <c r="DE122" s="37" t="n"/>
      <c r="DF122" s="37" t="n"/>
      <c r="DG122" s="489" t="n"/>
      <c r="DH122" s="37" t="n"/>
      <c r="DI122" s="37" t="n"/>
      <c r="DJ122" s="37" t="n"/>
      <c r="DK122" s="37" t="n"/>
      <c r="DL122" s="37" t="n"/>
      <c r="DM122" s="37" t="n"/>
      <c r="DN122" s="37" t="n"/>
      <c r="DO122" s="37" t="n"/>
      <c r="DP122" s="37" t="n"/>
      <c r="DQ122" s="37" t="n"/>
      <c r="DR122" s="37" t="n"/>
      <c r="DS122" s="37" t="n"/>
      <c r="DT122" s="37" t="n"/>
      <c r="DU122" s="37" t="n"/>
      <c r="DV122" s="37" t="n"/>
      <c r="DW122" s="37" t="n"/>
      <c r="DX122" s="37" t="n"/>
      <c r="DY122" s="131" t="n"/>
      <c r="DZ122" s="37" t="n"/>
      <c r="EA122" s="37" t="n"/>
      <c r="EB122" s="37" t="n"/>
      <c r="EC122" s="37" t="n"/>
      <c r="ED122" s="35" t="n"/>
      <c r="EE122" s="595" t="n"/>
      <c r="EF122" s="25" t="n"/>
    </row>
    <row r="123">
      <c r="V123" s="6" t="n"/>
      <c r="X123" s="569" t="n"/>
      <c r="Y123" s="25" t="n"/>
      <c r="Z123" s="590" t="n"/>
      <c r="AA123" s="25" t="n"/>
      <c r="AB123" s="26" t="n"/>
      <c r="AC123" s="26" t="n"/>
      <c r="AD123" s="26" t="n"/>
      <c r="AE123" s="26" t="n"/>
      <c r="AF123" s="26" t="n"/>
      <c r="AG123" s="26" t="n"/>
      <c r="AH123" s="26" t="n"/>
      <c r="AI123" s="26" t="n"/>
      <c r="AJ123" s="26" t="n"/>
      <c r="AK123" s="101" t="n"/>
      <c r="AL123" s="101" t="n"/>
      <c r="AM123" s="26" t="n"/>
      <c r="AN123" s="26" t="n"/>
      <c r="AO123" s="26" t="n"/>
      <c r="AP123" s="101" t="n"/>
      <c r="AQ123" s="26" t="n"/>
      <c r="AR123" s="101" t="n"/>
      <c r="AS123" s="106" t="n"/>
      <c r="AT123" s="25" t="n"/>
      <c r="AU123" s="25" t="n"/>
      <c r="AV123" s="569" t="n"/>
      <c r="AW123" s="25" t="n"/>
      <c r="AX123" s="26" t="n"/>
      <c r="AY123" s="26" t="n"/>
      <c r="AZ123" s="26" t="n"/>
      <c r="BA123" s="26" t="n"/>
      <c r="BB123" s="26" t="n"/>
      <c r="BC123" s="26" t="n"/>
      <c r="BD123" s="26" t="n"/>
      <c r="BE123" s="26" t="n"/>
      <c r="BF123" s="26" t="n"/>
      <c r="BG123" s="101" t="n"/>
      <c r="BH123" s="101" t="n"/>
      <c r="BI123" s="26" t="n"/>
      <c r="BJ123" s="26" t="n"/>
      <c r="BK123" s="26" t="n"/>
      <c r="BL123" s="101" t="n"/>
      <c r="BM123" s="26" t="n"/>
      <c r="BN123" s="101" t="n"/>
      <c r="BO123" s="591" t="n"/>
      <c r="BP123" s="26" t="n"/>
      <c r="BQ123" s="26" t="n"/>
      <c r="BR123" s="26" t="n"/>
      <c r="BS123" s="26" t="n"/>
      <c r="BT123" s="614" t="n"/>
      <c r="BU123" s="614" t="n"/>
      <c r="BV123" s="593" t="n"/>
      <c r="BW123" s="614" t="n"/>
      <c r="BX123" s="614" t="n"/>
      <c r="BY123" s="615" t="n"/>
      <c r="BZ123" s="614" t="n"/>
      <c r="CA123" s="592">
        <f>IF($E123="FL",$AR123*$BQ123*$BR123*$BU123,$AR123)</f>
        <v/>
      </c>
      <c r="CB123" s="592">
        <f>IF($E123="FL",$BN123*$BQ123*$BR123*$BX123,$BN123)</f>
        <v/>
      </c>
      <c r="CC123" s="592" t="n"/>
      <c r="CD123" s="592" t="n"/>
      <c r="CE123" s="592" t="n"/>
      <c r="CF123" s="592" t="n"/>
      <c r="CG123" s="37" t="n"/>
      <c r="CH123" s="37" t="n"/>
      <c r="CI123" s="128" t="n"/>
      <c r="CJ123" s="37" t="n"/>
      <c r="CK123" s="37" t="n"/>
      <c r="CL123" s="37" t="n"/>
      <c r="CM123" s="37" t="n"/>
      <c r="CN123" s="37" t="n"/>
      <c r="CO123" s="37" t="n"/>
      <c r="CP123" s="37" t="n"/>
      <c r="CQ123" s="37" t="n"/>
      <c r="CR123" s="37" t="n"/>
      <c r="CS123" s="37" t="n"/>
      <c r="CT123" s="37" t="n"/>
      <c r="CU123" s="37" t="n"/>
      <c r="CV123" s="37" t="n"/>
      <c r="CW123" s="37" t="n"/>
      <c r="CX123" s="37" t="n"/>
      <c r="CY123" s="417" t="n"/>
      <c r="CZ123" s="37" t="n"/>
      <c r="DA123" s="37" t="n"/>
      <c r="DB123" s="37" t="n"/>
      <c r="DC123" s="37" t="n"/>
      <c r="DD123" s="37" t="n"/>
      <c r="DE123" s="37" t="n"/>
      <c r="DF123" s="37" t="n"/>
      <c r="DG123" s="489" t="n"/>
      <c r="DH123" s="37" t="n"/>
      <c r="DI123" s="37" t="n"/>
      <c r="DJ123" s="37" t="n"/>
      <c r="DK123" s="37" t="n"/>
      <c r="DL123" s="37" t="n"/>
      <c r="DM123" s="37" t="n"/>
      <c r="DN123" s="37" t="n"/>
      <c r="DO123" s="37" t="n"/>
      <c r="DP123" s="37" t="n"/>
      <c r="DQ123" s="37" t="n"/>
      <c r="DR123" s="37" t="n"/>
      <c r="DS123" s="37" t="n"/>
      <c r="DT123" s="37" t="n"/>
      <c r="DU123" s="37" t="n"/>
      <c r="DV123" s="37" t="n"/>
      <c r="DW123" s="37" t="n"/>
      <c r="DX123" s="37" t="n"/>
      <c r="DY123" s="131" t="n"/>
      <c r="DZ123" s="37" t="n"/>
      <c r="EA123" s="37" t="n"/>
      <c r="EB123" s="37" t="n"/>
      <c r="EC123" s="37" t="n"/>
      <c r="ED123" s="35" t="n"/>
      <c r="EE123" s="595" t="n"/>
      <c r="EF123" s="25" t="n"/>
    </row>
    <row r="124">
      <c r="V124" s="6" t="n"/>
      <c r="X124" s="569" t="n"/>
      <c r="Y124" s="25" t="n"/>
      <c r="Z124" s="590" t="n"/>
      <c r="AA124" s="25" t="n"/>
      <c r="AB124" s="26" t="n"/>
      <c r="AC124" s="26" t="n"/>
      <c r="AD124" s="26" t="n"/>
      <c r="AE124" s="26" t="n"/>
      <c r="AF124" s="26" t="n"/>
      <c r="AG124" s="26" t="n"/>
      <c r="AH124" s="26" t="n"/>
      <c r="AI124" s="26" t="n"/>
      <c r="AJ124" s="26" t="n"/>
      <c r="AK124" s="101" t="n"/>
      <c r="AL124" s="101" t="n"/>
      <c r="AM124" s="26" t="n"/>
      <c r="AN124" s="26" t="n"/>
      <c r="AO124" s="26" t="n"/>
      <c r="AP124" s="101" t="n"/>
      <c r="AQ124" s="26" t="n"/>
      <c r="AR124" s="101" t="n"/>
      <c r="AS124" s="106" t="n"/>
      <c r="AT124" s="25" t="n"/>
      <c r="AU124" s="25" t="n"/>
      <c r="AV124" s="569" t="n"/>
      <c r="AW124" s="25" t="n"/>
      <c r="AX124" s="26" t="n"/>
      <c r="AY124" s="26" t="n"/>
      <c r="AZ124" s="26" t="n"/>
      <c r="BA124" s="26" t="n"/>
      <c r="BB124" s="26" t="n"/>
      <c r="BC124" s="26" t="n"/>
      <c r="BD124" s="26" t="n"/>
      <c r="BE124" s="26" t="n"/>
      <c r="BF124" s="26" t="n"/>
      <c r="BG124" s="101" t="n"/>
      <c r="BH124" s="101" t="n"/>
      <c r="BI124" s="26" t="n"/>
      <c r="BJ124" s="26" t="n"/>
      <c r="BK124" s="26" t="n"/>
      <c r="BL124" s="101" t="n"/>
      <c r="BM124" s="26" t="n"/>
      <c r="BN124" s="101" t="n"/>
      <c r="BO124" s="591" t="n"/>
      <c r="BP124" s="26" t="n"/>
      <c r="BQ124" s="26" t="n"/>
      <c r="BR124" s="26" t="n"/>
      <c r="BS124" s="26" t="n"/>
      <c r="BT124" s="614" t="n"/>
      <c r="BU124" s="614" t="n"/>
      <c r="BV124" s="593" t="n"/>
      <c r="BW124" s="614" t="n"/>
      <c r="BX124" s="614" t="n"/>
      <c r="BY124" s="615" t="n"/>
      <c r="BZ124" s="614" t="n"/>
      <c r="CA124" s="592">
        <f>IF($E124="FL",$AR124*$BQ124*$BR124*$BU124,$AR124)</f>
        <v/>
      </c>
      <c r="CB124" s="592">
        <f>IF($E124="FL",$BN124*$BQ124*$BR124*$BX124,$BN124)</f>
        <v/>
      </c>
      <c r="CC124" s="592" t="n"/>
      <c r="CD124" s="592" t="n"/>
      <c r="CE124" s="592" t="n"/>
      <c r="CF124" s="592" t="n"/>
      <c r="CG124" s="37" t="n"/>
      <c r="CH124" s="37" t="n"/>
      <c r="CI124" s="128" t="n"/>
      <c r="CJ124" s="37" t="n"/>
      <c r="CK124" s="37" t="n"/>
      <c r="CL124" s="37" t="n"/>
      <c r="CM124" s="37" t="n"/>
      <c r="CN124" s="37" t="n"/>
      <c r="CO124" s="37" t="n"/>
      <c r="CP124" s="37" t="n"/>
      <c r="CQ124" s="37" t="n"/>
      <c r="CR124" s="37" t="n"/>
      <c r="CS124" s="37" t="n"/>
      <c r="CT124" s="37" t="n"/>
      <c r="CU124" s="37" t="n"/>
      <c r="CV124" s="37" t="n"/>
      <c r="CW124" s="37" t="n"/>
      <c r="CX124" s="37" t="n"/>
      <c r="CY124" s="417" t="n"/>
      <c r="CZ124" s="37" t="n"/>
      <c r="DA124" s="37" t="n"/>
      <c r="DB124" s="37" t="n"/>
      <c r="DC124" s="37" t="n"/>
      <c r="DD124" s="37" t="n"/>
      <c r="DE124" s="37" t="n"/>
      <c r="DF124" s="37" t="n"/>
      <c r="DG124" s="489" t="n"/>
      <c r="DH124" s="37" t="n"/>
      <c r="DI124" s="37" t="n"/>
      <c r="DJ124" s="37" t="n"/>
      <c r="DK124" s="37" t="n"/>
      <c r="DL124" s="37" t="n"/>
      <c r="DM124" s="37" t="n"/>
      <c r="DN124" s="37" t="n"/>
      <c r="DO124" s="37" t="n"/>
      <c r="DP124" s="37" t="n"/>
      <c r="DQ124" s="37" t="n"/>
      <c r="DR124" s="37" t="n"/>
      <c r="DS124" s="37" t="n"/>
      <c r="DT124" s="37" t="n"/>
      <c r="DU124" s="37" t="n"/>
      <c r="DV124" s="37" t="n"/>
      <c r="DW124" s="37" t="n"/>
      <c r="DX124" s="37" t="n"/>
      <c r="DY124" s="131" t="n"/>
      <c r="DZ124" s="37" t="n"/>
      <c r="EA124" s="37" t="n"/>
      <c r="EB124" s="37" t="n"/>
      <c r="EC124" s="37" t="n"/>
      <c r="ED124" s="35" t="n"/>
      <c r="EE124" s="595" t="n"/>
      <c r="EF124" s="25" t="n"/>
    </row>
    <row r="125">
      <c r="V125" s="6" t="n"/>
      <c r="X125" s="569" t="n"/>
      <c r="Y125" s="25" t="n"/>
      <c r="Z125" s="590" t="n"/>
      <c r="AA125" s="25" t="n"/>
      <c r="AB125" s="26" t="n"/>
      <c r="AC125" s="26" t="n"/>
      <c r="AD125" s="26" t="n"/>
      <c r="AE125" s="26" t="n"/>
      <c r="AF125" s="26" t="n"/>
      <c r="AG125" s="26" t="n"/>
      <c r="AH125" s="26" t="n"/>
      <c r="AI125" s="26" t="n"/>
      <c r="AJ125" s="26" t="n"/>
      <c r="AK125" s="101" t="n"/>
      <c r="AL125" s="101" t="n"/>
      <c r="AM125" s="26" t="n"/>
      <c r="AN125" s="26" t="n"/>
      <c r="AO125" s="26" t="n"/>
      <c r="AP125" s="101" t="n"/>
      <c r="AQ125" s="26" t="n"/>
      <c r="AR125" s="101" t="n"/>
      <c r="AS125" s="106" t="n"/>
      <c r="AT125" s="25" t="n"/>
      <c r="AU125" s="25" t="n"/>
      <c r="AV125" s="569" t="n"/>
      <c r="AW125" s="25" t="n"/>
      <c r="AX125" s="26" t="n"/>
      <c r="AY125" s="26" t="n"/>
      <c r="AZ125" s="26" t="n"/>
      <c r="BA125" s="26" t="n"/>
      <c r="BB125" s="26" t="n"/>
      <c r="BC125" s="26" t="n"/>
      <c r="BD125" s="26" t="n"/>
      <c r="BE125" s="26" t="n"/>
      <c r="BF125" s="26" t="n"/>
      <c r="BG125" s="101" t="n"/>
      <c r="BH125" s="101" t="n"/>
      <c r="BI125" s="26" t="n"/>
      <c r="BJ125" s="26" t="n"/>
      <c r="BK125" s="26" t="n"/>
      <c r="BL125" s="101" t="n"/>
      <c r="BM125" s="26" t="n"/>
      <c r="BN125" s="101" t="n"/>
      <c r="BO125" s="591" t="n"/>
      <c r="BP125" s="26" t="n"/>
      <c r="BQ125" s="26" t="n"/>
      <c r="BR125" s="26" t="n"/>
      <c r="BS125" s="26" t="n"/>
      <c r="BT125" s="614" t="n"/>
      <c r="BU125" s="614" t="n"/>
      <c r="BV125" s="593" t="n"/>
      <c r="BW125" s="614" t="n"/>
      <c r="BX125" s="614" t="n"/>
      <c r="BY125" s="615" t="n"/>
      <c r="BZ125" s="614" t="n"/>
      <c r="CA125" s="592">
        <f>IF($E125="FL",$AR125*$BQ125*$BR125*$BU125,$AR125)</f>
        <v/>
      </c>
      <c r="CB125" s="592">
        <f>IF($E125="FL",$BN125*$BQ125*$BR125*$BX125,$BN125)</f>
        <v/>
      </c>
      <c r="CC125" s="592" t="n"/>
      <c r="CD125" s="592" t="n"/>
      <c r="CE125" s="592" t="n"/>
      <c r="CF125" s="592" t="n"/>
      <c r="CG125" s="37" t="n"/>
      <c r="CH125" s="37" t="n"/>
      <c r="CI125" s="128" t="n"/>
      <c r="CJ125" s="37" t="n"/>
      <c r="CK125" s="37" t="n"/>
      <c r="CL125" s="37" t="n"/>
      <c r="CM125" s="37" t="n"/>
      <c r="CN125" s="37" t="n"/>
      <c r="CO125" s="37" t="n"/>
      <c r="CP125" s="37" t="n"/>
      <c r="CQ125" s="37" t="n"/>
      <c r="CR125" s="37" t="n"/>
      <c r="CS125" s="37" t="n"/>
      <c r="CT125" s="37" t="n"/>
      <c r="CU125" s="37" t="n"/>
      <c r="CV125" s="37" t="n"/>
      <c r="CW125" s="37" t="n"/>
      <c r="CX125" s="37" t="n"/>
      <c r="CY125" s="417" t="n"/>
      <c r="CZ125" s="37" t="n"/>
      <c r="DA125" s="37" t="n"/>
      <c r="DB125" s="37" t="n"/>
      <c r="DC125" s="37" t="n"/>
      <c r="DD125" s="37" t="n"/>
      <c r="DE125" s="37" t="n"/>
      <c r="DF125" s="37" t="n"/>
      <c r="DG125" s="489" t="n"/>
      <c r="DH125" s="37" t="n"/>
      <c r="DI125" s="37" t="n"/>
      <c r="DJ125" s="37" t="n"/>
      <c r="DK125" s="37" t="n"/>
      <c r="DL125" s="37" t="n"/>
      <c r="DM125" s="37" t="n"/>
      <c r="DN125" s="37" t="n"/>
      <c r="DO125" s="37" t="n"/>
      <c r="DP125" s="37" t="n"/>
      <c r="DQ125" s="37" t="n"/>
      <c r="DR125" s="37" t="n"/>
      <c r="DS125" s="37" t="n"/>
      <c r="DT125" s="37" t="n"/>
      <c r="DU125" s="37" t="n"/>
      <c r="DV125" s="37" t="n"/>
      <c r="DW125" s="37" t="n"/>
      <c r="DX125" s="37" t="n"/>
      <c r="DY125" s="131" t="n"/>
      <c r="DZ125" s="37" t="n"/>
      <c r="EA125" s="37" t="n"/>
      <c r="EB125" s="37" t="n"/>
      <c r="EC125" s="37" t="n"/>
      <c r="ED125" s="35" t="n"/>
      <c r="EE125" s="595" t="n"/>
      <c r="EF125" s="25" t="n"/>
    </row>
    <row r="126">
      <c r="V126" s="6" t="n"/>
      <c r="X126" s="569" t="n"/>
      <c r="Y126" s="25" t="n"/>
      <c r="Z126" s="590" t="n"/>
      <c r="AA126" s="25" t="n"/>
      <c r="AB126" s="26" t="n"/>
      <c r="AC126" s="26" t="n"/>
      <c r="AD126" s="26" t="n"/>
      <c r="AE126" s="26" t="n"/>
      <c r="AF126" s="26" t="n"/>
      <c r="AG126" s="26" t="n"/>
      <c r="AH126" s="26" t="n"/>
      <c r="AI126" s="26" t="n"/>
      <c r="AJ126" s="26" t="n"/>
      <c r="AK126" s="101" t="n"/>
      <c r="AL126" s="101" t="n"/>
      <c r="AM126" s="26" t="n"/>
      <c r="AN126" s="26" t="n"/>
      <c r="AO126" s="26" t="n"/>
      <c r="AP126" s="101" t="n"/>
      <c r="AQ126" s="26" t="n"/>
      <c r="AR126" s="101" t="n"/>
      <c r="AS126" s="106" t="n"/>
      <c r="AT126" s="25" t="n"/>
      <c r="AU126" s="25" t="n"/>
      <c r="AV126" s="569" t="n"/>
      <c r="AW126" s="25" t="n"/>
      <c r="AX126" s="26" t="n"/>
      <c r="AY126" s="26" t="n"/>
      <c r="AZ126" s="26" t="n"/>
      <c r="BA126" s="26" t="n"/>
      <c r="BB126" s="26" t="n"/>
      <c r="BC126" s="26" t="n"/>
      <c r="BD126" s="26" t="n"/>
      <c r="BE126" s="26" t="n"/>
      <c r="BF126" s="26" t="n"/>
      <c r="BG126" s="101" t="n"/>
      <c r="BH126" s="101" t="n"/>
      <c r="BI126" s="26" t="n"/>
      <c r="BJ126" s="26" t="n"/>
      <c r="BK126" s="26" t="n"/>
      <c r="BL126" s="101" t="n"/>
      <c r="BM126" s="26" t="n"/>
      <c r="BN126" s="101" t="n"/>
      <c r="BO126" s="591" t="n"/>
      <c r="BP126" s="26" t="n"/>
      <c r="BQ126" s="26" t="n"/>
      <c r="BR126" s="26" t="n"/>
      <c r="BS126" s="26" t="n"/>
      <c r="BT126" s="614" t="n"/>
      <c r="BU126" s="614" t="n"/>
      <c r="BV126" s="593" t="n"/>
      <c r="BW126" s="614" t="n"/>
      <c r="BX126" s="614" t="n"/>
      <c r="BY126" s="615" t="n"/>
      <c r="BZ126" s="614" t="n"/>
      <c r="CA126" s="592">
        <f>IF($E126="FL",$AR126*$BQ126*$BR126*$BU126,$AR126)</f>
        <v/>
      </c>
      <c r="CB126" s="592">
        <f>IF($E126="FL",$BN126*$BQ126*$BR126*$BX126,$BN126)</f>
        <v/>
      </c>
      <c r="CC126" s="592" t="n"/>
      <c r="CD126" s="592" t="n"/>
      <c r="CE126" s="592" t="n"/>
      <c r="CF126" s="592" t="n"/>
      <c r="CG126" s="37" t="n"/>
      <c r="CH126" s="37" t="n"/>
      <c r="CI126" s="128" t="n"/>
      <c r="CJ126" s="37" t="n"/>
      <c r="CK126" s="37" t="n"/>
      <c r="CL126" s="37" t="n"/>
      <c r="CM126" s="37" t="n"/>
      <c r="CN126" s="37" t="n"/>
      <c r="CO126" s="37" t="n"/>
      <c r="CP126" s="37" t="n"/>
      <c r="CQ126" s="37" t="n"/>
      <c r="CR126" s="37" t="n"/>
      <c r="CS126" s="37" t="n"/>
      <c r="CT126" s="37" t="n"/>
      <c r="CU126" s="37" t="n"/>
      <c r="CV126" s="37" t="n"/>
      <c r="CW126" s="37" t="n"/>
      <c r="CX126" s="37" t="n"/>
      <c r="CY126" s="417" t="n"/>
      <c r="CZ126" s="37" t="n"/>
      <c r="DA126" s="37" t="n"/>
      <c r="DB126" s="37" t="n"/>
      <c r="DC126" s="37" t="n"/>
      <c r="DD126" s="37" t="n"/>
      <c r="DE126" s="37" t="n"/>
      <c r="DF126" s="37" t="n"/>
      <c r="DG126" s="489" t="n"/>
      <c r="DH126" s="37" t="n"/>
      <c r="DI126" s="37" t="n"/>
      <c r="DJ126" s="37" t="n"/>
      <c r="DK126" s="37" t="n"/>
      <c r="DL126" s="37" t="n"/>
      <c r="DM126" s="37" t="n"/>
      <c r="DN126" s="37" t="n"/>
      <c r="DO126" s="37" t="n"/>
      <c r="DP126" s="37" t="n"/>
      <c r="DQ126" s="37" t="n"/>
      <c r="DR126" s="37" t="n"/>
      <c r="DS126" s="37" t="n"/>
      <c r="DT126" s="37" t="n"/>
      <c r="DU126" s="37" t="n"/>
      <c r="DV126" s="37" t="n"/>
      <c r="DW126" s="37" t="n"/>
      <c r="DX126" s="37" t="n"/>
      <c r="DY126" s="131" t="n"/>
      <c r="DZ126" s="37" t="n"/>
      <c r="EA126" s="37" t="n"/>
      <c r="EB126" s="37" t="n"/>
      <c r="EC126" s="37" t="n"/>
      <c r="ED126" s="35" t="n"/>
      <c r="EE126" s="595" t="n"/>
      <c r="EF126" s="25" t="n"/>
    </row>
    <row r="127">
      <c r="V127" s="6" t="n"/>
      <c r="X127" s="569" t="n"/>
      <c r="Y127" s="25" t="n"/>
      <c r="Z127" s="590" t="n"/>
      <c r="AA127" s="25" t="n"/>
      <c r="AB127" s="26" t="n"/>
      <c r="AC127" s="26" t="n"/>
      <c r="AD127" s="26" t="n"/>
      <c r="AE127" s="26" t="n"/>
      <c r="AF127" s="26" t="n"/>
      <c r="AG127" s="26" t="n"/>
      <c r="AH127" s="26" t="n"/>
      <c r="AI127" s="26" t="n"/>
      <c r="AJ127" s="26" t="n"/>
      <c r="AK127" s="101" t="n"/>
      <c r="AL127" s="101" t="n"/>
      <c r="AM127" s="26" t="n"/>
      <c r="AN127" s="26" t="n"/>
      <c r="AO127" s="26" t="n"/>
      <c r="AP127" s="101" t="n"/>
      <c r="AQ127" s="26" t="n"/>
      <c r="AR127" s="101" t="n"/>
      <c r="AS127" s="106" t="n"/>
      <c r="AT127" s="25" t="n"/>
      <c r="AU127" s="25" t="n"/>
      <c r="AV127" s="569" t="n"/>
      <c r="AW127" s="25" t="n"/>
      <c r="AX127" s="26" t="n"/>
      <c r="AY127" s="26" t="n"/>
      <c r="AZ127" s="26" t="n"/>
      <c r="BA127" s="26" t="n"/>
      <c r="BB127" s="26" t="n"/>
      <c r="BC127" s="26" t="n"/>
      <c r="BD127" s="26" t="n"/>
      <c r="BE127" s="26" t="n"/>
      <c r="BF127" s="26" t="n"/>
      <c r="BG127" s="101" t="n"/>
      <c r="BH127" s="101" t="n"/>
      <c r="BI127" s="26" t="n"/>
      <c r="BJ127" s="26" t="n"/>
      <c r="BK127" s="26" t="n"/>
      <c r="BL127" s="101" t="n"/>
      <c r="BM127" s="26" t="n"/>
      <c r="BN127" s="101" t="n"/>
      <c r="BO127" s="591" t="n"/>
      <c r="BP127" s="26" t="n"/>
      <c r="BQ127" s="26" t="n"/>
      <c r="BR127" s="26" t="n"/>
      <c r="BS127" s="26" t="n"/>
      <c r="BT127" s="614" t="n"/>
      <c r="BU127" s="614" t="n"/>
      <c r="BV127" s="593" t="n"/>
      <c r="BW127" s="614" t="n"/>
      <c r="BX127" s="614" t="n"/>
      <c r="BY127" s="615" t="n"/>
      <c r="BZ127" s="614" t="n"/>
      <c r="CA127" s="592">
        <f>IF($E127="FL",$AR127*$BQ127*$BR127*$BU127,$AR127)</f>
        <v/>
      </c>
      <c r="CB127" s="592">
        <f>IF($E127="FL",$BN127*$BQ127*$BR127*$BX127,$BN127)</f>
        <v/>
      </c>
      <c r="CC127" s="592" t="n"/>
      <c r="CD127" s="592" t="n"/>
      <c r="CE127" s="592" t="n"/>
      <c r="CF127" s="592" t="n"/>
      <c r="CG127" s="37" t="n"/>
      <c r="CH127" s="37" t="n"/>
      <c r="CI127" s="128" t="n"/>
      <c r="CJ127" s="37" t="n"/>
      <c r="CK127" s="37" t="n"/>
      <c r="CL127" s="37" t="n"/>
      <c r="CM127" s="37" t="n"/>
      <c r="CN127" s="37" t="n"/>
      <c r="CO127" s="37" t="n"/>
      <c r="CP127" s="37" t="n"/>
      <c r="CQ127" s="37" t="n"/>
      <c r="CR127" s="37" t="n"/>
      <c r="CS127" s="37" t="n"/>
      <c r="CT127" s="37" t="n"/>
      <c r="CU127" s="37" t="n"/>
      <c r="CV127" s="37" t="n"/>
      <c r="CW127" s="37" t="n"/>
      <c r="CX127" s="37" t="n"/>
      <c r="CY127" s="417" t="n"/>
      <c r="CZ127" s="37" t="n"/>
      <c r="DA127" s="37" t="n"/>
      <c r="DB127" s="37" t="n"/>
      <c r="DC127" s="37" t="n"/>
      <c r="DD127" s="37" t="n"/>
      <c r="DE127" s="37" t="n"/>
      <c r="DF127" s="37" t="n"/>
      <c r="DG127" s="489" t="n"/>
      <c r="DH127" s="37" t="n"/>
      <c r="DI127" s="37" t="n"/>
      <c r="DJ127" s="37" t="n"/>
      <c r="DK127" s="37" t="n"/>
      <c r="DL127" s="37" t="n"/>
      <c r="DM127" s="37" t="n"/>
      <c r="DN127" s="37" t="n"/>
      <c r="DO127" s="37" t="n"/>
      <c r="DP127" s="37" t="n"/>
      <c r="DQ127" s="37" t="n"/>
      <c r="DR127" s="37" t="n"/>
      <c r="DS127" s="37" t="n"/>
      <c r="DT127" s="37" t="n"/>
      <c r="DU127" s="37" t="n"/>
      <c r="DV127" s="37" t="n"/>
      <c r="DW127" s="37" t="n"/>
      <c r="DX127" s="37" t="n"/>
      <c r="DY127" s="131" t="n"/>
      <c r="DZ127" s="37" t="n"/>
      <c r="EA127" s="37" t="n"/>
      <c r="EB127" s="37" t="n"/>
      <c r="EC127" s="37" t="n"/>
      <c r="ED127" s="35" t="n"/>
      <c r="EE127" s="595" t="n"/>
      <c r="EF127" s="25" t="n"/>
    </row>
    <row r="128">
      <c r="A128" s="29" t="n"/>
      <c r="B128" s="29" t="n"/>
      <c r="C128" s="29" t="n"/>
      <c r="D128" s="29" t="n"/>
      <c r="E128" s="85" t="n"/>
      <c r="F128" s="85" t="n"/>
      <c r="G128" s="85" t="n"/>
      <c r="H128" s="85" t="n"/>
      <c r="I128" s="85" t="n"/>
      <c r="J128" s="85" t="n"/>
      <c r="K128" s="85" t="n"/>
      <c r="L128" s="85" t="n"/>
      <c r="M128" s="138" t="n"/>
      <c r="N128" s="85" t="n"/>
      <c r="O128" s="85" t="n"/>
      <c r="P128" s="85" t="n"/>
      <c r="Q128" s="85" t="n"/>
      <c r="R128" s="85" t="n"/>
      <c r="S128" s="85" t="n"/>
      <c r="T128" s="85" t="n"/>
      <c r="U128" s="145" t="n"/>
      <c r="V128" s="30" t="n"/>
      <c r="W128" s="98" t="n"/>
      <c r="X128" s="23" t="n"/>
      <c r="Y128" s="25" t="n"/>
      <c r="Z128" s="590" t="n"/>
      <c r="AA128" s="25" t="n"/>
      <c r="AB128" s="26" t="n"/>
      <c r="AC128" s="26" t="n"/>
      <c r="AD128" s="26" t="n"/>
      <c r="AE128" s="26" t="n"/>
      <c r="AF128" s="26" t="n"/>
      <c r="AG128" s="26" t="n"/>
      <c r="AH128" s="26" t="n"/>
      <c r="AI128" s="26" t="n"/>
      <c r="AJ128" s="26" t="n"/>
      <c r="AK128" s="101" t="n"/>
      <c r="AL128" s="101" t="n"/>
      <c r="AM128" s="26" t="n"/>
      <c r="AN128" s="26" t="n"/>
      <c r="AO128" s="26" t="n"/>
      <c r="AP128" s="101" t="n"/>
      <c r="AQ128" s="26" t="n"/>
      <c r="AR128" s="101" t="n"/>
      <c r="AS128" s="106" t="n"/>
      <c r="AT128" s="25" t="n"/>
      <c r="AU128" s="25" t="n"/>
      <c r="AV128" s="23" t="n"/>
      <c r="AW128" s="25" t="n"/>
      <c r="AX128" s="26" t="n"/>
      <c r="AY128" s="26" t="n"/>
      <c r="AZ128" s="26" t="n"/>
      <c r="BA128" s="26" t="n"/>
      <c r="BB128" s="26" t="n"/>
      <c r="BC128" s="26" t="n"/>
      <c r="BD128" s="26" t="n"/>
      <c r="BE128" s="26" t="n"/>
      <c r="BF128" s="26" t="n"/>
      <c r="BG128" s="101" t="n"/>
      <c r="BH128" s="101" t="n"/>
      <c r="BI128" s="26" t="n"/>
      <c r="BJ128" s="26" t="n"/>
      <c r="BK128" s="26" t="n"/>
      <c r="BL128" s="101" t="n"/>
      <c r="BM128" s="26" t="n"/>
      <c r="BN128" s="101" t="n"/>
      <c r="BO128" s="591" t="n"/>
      <c r="BP128" s="26" t="n"/>
      <c r="BQ128" s="26" t="n"/>
      <c r="BR128" s="26" t="n"/>
      <c r="BS128" s="26" t="n"/>
      <c r="BT128" s="614" t="n"/>
      <c r="BU128" s="614" t="n"/>
      <c r="BV128" s="593" t="n"/>
      <c r="BW128" s="614" t="n"/>
      <c r="BX128" s="614" t="n"/>
      <c r="BY128" s="615" t="n"/>
      <c r="BZ128" s="614" t="n"/>
      <c r="CA128" s="592">
        <f>IF($E128="FL",$AR128*$BQ128*$BR128*$BU128,$AR128)</f>
        <v/>
      </c>
      <c r="CB128" s="592">
        <f>IF($E128="FL",$BN128*$BQ128*$BR128*$BX128,$BN128)</f>
        <v/>
      </c>
      <c r="CC128" s="592" t="n"/>
      <c r="CD128" s="592" t="n"/>
      <c r="CE128" s="592" t="n"/>
      <c r="CF128" s="592" t="n"/>
    </row>
    <row r="129">
      <c r="A129" s="29" t="n"/>
      <c r="B129" s="29" t="n"/>
      <c r="C129" s="6" t="n"/>
      <c r="E129" s="85" t="n"/>
      <c r="F129" s="85" t="n"/>
      <c r="G129" s="85" t="n"/>
      <c r="H129" s="85" t="n"/>
      <c r="I129" s="85" t="n"/>
      <c r="J129" s="85" t="n"/>
      <c r="K129" s="85" t="n"/>
      <c r="L129" s="85" t="n"/>
      <c r="M129" s="138" t="n"/>
      <c r="N129" s="85" t="n"/>
      <c r="O129" s="85" t="n"/>
      <c r="P129" s="85" t="n"/>
      <c r="Q129" s="85" t="n"/>
      <c r="R129" s="85" t="n"/>
      <c r="S129" s="85" t="n"/>
      <c r="T129" s="85" t="n"/>
      <c r="U129" s="145" t="n"/>
      <c r="V129" s="30" t="n"/>
      <c r="W129" s="98" t="n"/>
      <c r="X129" s="23" t="n"/>
      <c r="Y129" s="25" t="n"/>
      <c r="Z129" s="590" t="n"/>
      <c r="AA129" s="25" t="n"/>
      <c r="AB129" s="26" t="n"/>
      <c r="AC129" s="26" t="n"/>
      <c r="AD129" s="26" t="n"/>
      <c r="AE129" s="26" t="n"/>
      <c r="AF129" s="26" t="n"/>
      <c r="AG129" s="26" t="n"/>
      <c r="AH129" s="26" t="n"/>
      <c r="AI129" s="26" t="n"/>
      <c r="AJ129" s="26" t="n"/>
      <c r="AK129" s="101" t="n"/>
      <c r="AL129" s="101" t="n"/>
      <c r="AM129" s="26" t="n"/>
      <c r="AN129" s="26" t="n"/>
      <c r="AO129" s="26" t="n"/>
      <c r="AP129" s="101" t="n"/>
      <c r="AQ129" s="26" t="n"/>
      <c r="AR129" s="101" t="n"/>
      <c r="AS129" s="106" t="n"/>
      <c r="AT129" s="25" t="n"/>
      <c r="AU129" s="25" t="n"/>
      <c r="AV129" s="23" t="n"/>
      <c r="AW129" s="25" t="n"/>
      <c r="AX129" s="26" t="n"/>
      <c r="AY129" s="26" t="n"/>
      <c r="AZ129" s="26" t="n"/>
      <c r="BA129" s="26" t="n"/>
      <c r="BB129" s="26" t="n"/>
      <c r="BC129" s="26" t="n"/>
      <c r="BD129" s="26" t="n"/>
      <c r="BE129" s="26" t="n"/>
      <c r="BF129" s="26" t="n"/>
      <c r="BG129" s="101" t="n"/>
      <c r="BH129" s="101" t="n"/>
      <c r="BI129" s="26" t="n"/>
      <c r="BJ129" s="26" t="n"/>
      <c r="BK129" s="26" t="n"/>
      <c r="BL129" s="101" t="n"/>
      <c r="BM129" s="26" t="n"/>
      <c r="BN129" s="101" t="n"/>
      <c r="BO129" s="591" t="n"/>
      <c r="BP129" s="26" t="n"/>
      <c r="BQ129" s="26" t="n"/>
      <c r="BR129" s="26" t="n"/>
      <c r="BS129" s="26" t="n"/>
      <c r="BT129" s="614" t="n"/>
      <c r="BU129" s="614" t="n"/>
      <c r="BV129" s="593" t="n"/>
      <c r="BW129" s="614" t="n"/>
      <c r="BX129" s="614" t="n"/>
      <c r="BY129" s="615" t="n"/>
      <c r="BZ129" s="614" t="n"/>
      <c r="CA129" s="592">
        <f>IF($E129="FL",$AR129*$BQ129*$BR129*$BU129,$AR129)</f>
        <v/>
      </c>
      <c r="CB129" s="592">
        <f>IF($E129="FL",$BN129*$BQ129*$BR129*$BX129,$BN129)</f>
        <v/>
      </c>
      <c r="CC129" s="592" t="n"/>
      <c r="CD129" s="592" t="n"/>
      <c r="CE129" s="592" t="n"/>
      <c r="CF129" s="592" t="n"/>
    </row>
    <row r="130">
      <c r="A130" s="29" t="n"/>
      <c r="B130" s="29" t="n"/>
      <c r="C130" s="6" t="n"/>
      <c r="E130" s="85" t="n"/>
      <c r="F130" s="85" t="n"/>
      <c r="G130" s="85" t="n"/>
      <c r="H130" s="85" t="n"/>
      <c r="I130" s="85" t="n"/>
      <c r="J130" s="85" t="n"/>
      <c r="K130" s="85" t="n"/>
      <c r="L130" s="85" t="n"/>
      <c r="M130" s="138" t="n"/>
      <c r="N130" s="85" t="n"/>
      <c r="O130" s="85" t="n"/>
      <c r="P130" s="85" t="n"/>
      <c r="Q130" s="85" t="n"/>
      <c r="R130" s="85" t="n"/>
      <c r="S130" s="85" t="n"/>
      <c r="T130" s="85" t="n"/>
      <c r="U130" s="145" t="n"/>
      <c r="V130" s="30" t="n"/>
      <c r="W130" s="98" t="n"/>
      <c r="X130" s="23" t="n"/>
      <c r="Y130" s="25" t="n"/>
      <c r="Z130" s="590" t="n"/>
      <c r="AA130" s="25" t="n"/>
      <c r="AB130" s="26" t="n"/>
      <c r="AC130" s="26" t="n"/>
      <c r="AD130" s="26" t="n"/>
      <c r="AE130" s="26" t="n"/>
      <c r="AF130" s="26" t="n"/>
      <c r="AG130" s="26" t="n"/>
      <c r="AH130" s="26" t="n"/>
      <c r="AI130" s="26" t="n"/>
      <c r="AJ130" s="26" t="n"/>
      <c r="AK130" s="101" t="n"/>
      <c r="AL130" s="101" t="n"/>
      <c r="AM130" s="26" t="n"/>
      <c r="AN130" s="26" t="n"/>
      <c r="AO130" s="26" t="n"/>
      <c r="AP130" s="101" t="n"/>
      <c r="AQ130" s="26" t="n"/>
      <c r="AR130" s="101" t="n"/>
      <c r="AS130" s="106" t="n"/>
      <c r="AT130" s="25" t="n"/>
      <c r="AU130" s="25" t="n"/>
      <c r="AV130" s="23" t="n"/>
      <c r="AW130" s="25" t="n"/>
      <c r="AX130" s="26" t="n"/>
      <c r="AY130" s="26" t="n"/>
      <c r="AZ130" s="26" t="n"/>
      <c r="BA130" s="26" t="n"/>
      <c r="BB130" s="26" t="n"/>
      <c r="BC130" s="26" t="n"/>
      <c r="BD130" s="26" t="n"/>
      <c r="BE130" s="26" t="n"/>
      <c r="BF130" s="26" t="n"/>
      <c r="BG130" s="101" t="n"/>
      <c r="BH130" s="101" t="n"/>
      <c r="BI130" s="26" t="n"/>
      <c r="BJ130" s="26" t="n"/>
      <c r="BK130" s="26" t="n"/>
      <c r="BL130" s="101" t="n"/>
      <c r="BM130" s="26" t="n"/>
      <c r="BN130" s="101" t="n"/>
      <c r="BO130" s="591" t="n"/>
      <c r="BP130" s="26" t="n"/>
      <c r="BQ130" s="26" t="n"/>
      <c r="BR130" s="26" t="n"/>
      <c r="BS130" s="26" t="n"/>
      <c r="BT130" s="614" t="n"/>
      <c r="BU130" s="614" t="n"/>
      <c r="BV130" s="593" t="n"/>
      <c r="BW130" s="614" t="n"/>
      <c r="BX130" s="614" t="n"/>
      <c r="BY130" s="615" t="n"/>
      <c r="BZ130" s="614" t="n"/>
      <c r="CA130" s="592">
        <f>IF($E130="FL",$AR130*$BQ130*$BR130*$BU130,$AR130)</f>
        <v/>
      </c>
      <c r="CB130" s="592">
        <f>IF($E130="FL",$BN130*$BQ130*$BR130*$BX130,$BN130)</f>
        <v/>
      </c>
      <c r="CC130" s="592" t="n"/>
      <c r="CD130" s="592" t="n"/>
      <c r="CE130" s="592" t="n"/>
      <c r="CF130" s="592" t="n"/>
    </row>
    <row r="131">
      <c r="A131" s="29" t="n"/>
      <c r="B131" s="29" t="n"/>
      <c r="C131" s="6" t="n"/>
      <c r="E131" s="85" t="n"/>
      <c r="F131" s="85" t="n"/>
      <c r="G131" s="85" t="n"/>
      <c r="H131" s="85" t="n"/>
      <c r="I131" s="85" t="n"/>
      <c r="J131" s="85" t="n"/>
      <c r="K131" s="85" t="n"/>
      <c r="L131" s="85" t="n"/>
      <c r="M131" s="138" t="n"/>
      <c r="N131" s="85" t="n"/>
      <c r="O131" s="85" t="n"/>
      <c r="P131" s="85" t="n"/>
      <c r="Q131" s="85" t="n"/>
      <c r="R131" s="85" t="n"/>
      <c r="S131" s="85" t="n"/>
      <c r="T131" s="85" t="n"/>
      <c r="U131" s="145" t="n"/>
      <c r="V131" s="30" t="n"/>
      <c r="W131" s="98" t="n"/>
      <c r="X131" s="23" t="n"/>
      <c r="Y131" s="25" t="n"/>
      <c r="Z131" s="590" t="n"/>
      <c r="AA131" s="25" t="n"/>
      <c r="AB131" s="26" t="n"/>
      <c r="AC131" s="26" t="n"/>
      <c r="AD131" s="26" t="n"/>
      <c r="AE131" s="26" t="n"/>
      <c r="AF131" s="26" t="n"/>
      <c r="AG131" s="26" t="n"/>
      <c r="AH131" s="26" t="n"/>
      <c r="AI131" s="26" t="n"/>
      <c r="AJ131" s="26" t="n"/>
      <c r="AK131" s="101" t="n"/>
      <c r="AL131" s="101" t="n"/>
      <c r="AM131" s="26" t="n"/>
      <c r="AN131" s="26" t="n"/>
      <c r="AO131" s="26" t="n"/>
      <c r="AP131" s="101" t="n"/>
      <c r="AQ131" s="26" t="n"/>
      <c r="AR131" s="101" t="n"/>
      <c r="AS131" s="106" t="n"/>
      <c r="AT131" s="25" t="n"/>
      <c r="AU131" s="25" t="n"/>
      <c r="AV131" s="23" t="n"/>
      <c r="AW131" s="25" t="n"/>
      <c r="AX131" s="26" t="n"/>
      <c r="AY131" s="26" t="n"/>
      <c r="AZ131" s="26" t="n"/>
      <c r="BA131" s="26" t="n"/>
      <c r="BB131" s="26" t="n"/>
      <c r="BC131" s="26" t="n"/>
      <c r="BD131" s="26" t="n"/>
      <c r="BE131" s="26" t="n"/>
      <c r="BF131" s="26" t="n"/>
      <c r="BG131" s="101" t="n"/>
      <c r="BH131" s="101" t="n"/>
      <c r="BI131" s="26" t="n"/>
      <c r="BJ131" s="26" t="n"/>
      <c r="BK131" s="26" t="n"/>
      <c r="BL131" s="101" t="n"/>
      <c r="BM131" s="26" t="n"/>
      <c r="BN131" s="101" t="n"/>
      <c r="BO131" s="591" t="n"/>
      <c r="BP131" s="26" t="n"/>
      <c r="BQ131" s="26" t="n"/>
      <c r="BR131" s="26" t="n"/>
      <c r="BS131" s="26" t="n"/>
      <c r="BT131" s="614" t="n"/>
      <c r="BU131" s="614" t="n"/>
      <c r="BV131" s="593" t="n"/>
      <c r="BW131" s="614" t="n"/>
      <c r="BX131" s="614" t="n"/>
      <c r="BY131" s="615" t="n"/>
      <c r="BZ131" s="614" t="n"/>
      <c r="CA131" s="592">
        <f>IF($E131="FL",$AR131*$BQ131*$BR131*$BU131,$AR131)</f>
        <v/>
      </c>
      <c r="CB131" s="592">
        <f>IF($E131="FL",$BN131*$BQ131*$BR131*$BX131,$BN131)</f>
        <v/>
      </c>
      <c r="CC131" s="592" t="n"/>
      <c r="CD131" s="592" t="n"/>
      <c r="CE131" s="592" t="n"/>
      <c r="CF131" s="592" t="n"/>
    </row>
    <row r="132">
      <c r="A132" s="29" t="n"/>
      <c r="B132" s="29" t="n"/>
      <c r="C132" s="6" t="n"/>
      <c r="E132" s="85" t="n"/>
      <c r="F132" s="85" t="n"/>
      <c r="G132" s="85" t="n"/>
      <c r="H132" s="85" t="n"/>
      <c r="I132" s="85" t="n"/>
      <c r="J132" s="85" t="n"/>
      <c r="K132" s="85" t="n"/>
      <c r="L132" s="85" t="n"/>
      <c r="M132" s="138" t="n"/>
      <c r="N132" s="85" t="n"/>
      <c r="O132" s="85" t="n"/>
      <c r="P132" s="85" t="n"/>
      <c r="Q132" s="85" t="n"/>
      <c r="R132" s="85" t="n"/>
      <c r="S132" s="85" t="n"/>
      <c r="T132" s="85" t="n"/>
      <c r="U132" s="145" t="n"/>
      <c r="V132" s="30" t="n"/>
      <c r="W132" s="98" t="n"/>
      <c r="X132" s="23" t="n"/>
      <c r="Y132" s="25" t="n"/>
      <c r="Z132" s="590" t="n"/>
      <c r="AA132" s="25" t="n"/>
      <c r="AB132" s="26" t="n"/>
      <c r="AC132" s="26" t="n"/>
      <c r="AD132" s="26" t="n"/>
      <c r="AE132" s="26" t="n"/>
      <c r="AF132" s="26" t="n"/>
      <c r="AG132" s="26" t="n"/>
      <c r="AH132" s="26" t="n"/>
      <c r="AI132" s="26" t="n"/>
      <c r="AJ132" s="26" t="n"/>
      <c r="AK132" s="101" t="n"/>
      <c r="AL132" s="101" t="n"/>
      <c r="AM132" s="26" t="n"/>
      <c r="AN132" s="26" t="n"/>
      <c r="AO132" s="26" t="n"/>
      <c r="AP132" s="101" t="n"/>
      <c r="AQ132" s="26" t="n"/>
      <c r="AR132" s="101" t="n"/>
      <c r="AS132" s="106" t="n"/>
      <c r="AT132" s="25" t="n"/>
      <c r="AU132" s="25" t="n"/>
      <c r="AV132" s="23" t="n"/>
      <c r="AW132" s="25" t="n"/>
      <c r="AX132" s="26" t="n"/>
      <c r="AY132" s="26" t="n"/>
      <c r="AZ132" s="26" t="n"/>
      <c r="BA132" s="26" t="n"/>
      <c r="BB132" s="26" t="n"/>
      <c r="BC132" s="26" t="n"/>
      <c r="BD132" s="26" t="n"/>
      <c r="BE132" s="26" t="n"/>
      <c r="BF132" s="26" t="n"/>
      <c r="BG132" s="101" t="n"/>
      <c r="BH132" s="101" t="n"/>
      <c r="BI132" s="26" t="n"/>
      <c r="BJ132" s="26" t="n"/>
      <c r="BK132" s="26" t="n"/>
      <c r="BL132" s="101" t="n"/>
      <c r="BM132" s="26" t="n"/>
      <c r="BN132" s="101" t="n"/>
      <c r="BO132" s="591" t="n"/>
      <c r="BP132" s="26" t="n"/>
      <c r="BQ132" s="26" t="n"/>
      <c r="BR132" s="26" t="n"/>
      <c r="BS132" s="26" t="n"/>
      <c r="BT132" s="614" t="n"/>
      <c r="BU132" s="614" t="n"/>
      <c r="BV132" s="593" t="n"/>
      <c r="BW132" s="614" t="n"/>
      <c r="BX132" s="614" t="n"/>
      <c r="BY132" s="615" t="n"/>
      <c r="BZ132" s="614" t="n"/>
      <c r="CA132" s="592">
        <f>IF($E132="FL",$AR132*$BQ132*$BR132*$BU132,$AR132)</f>
        <v/>
      </c>
      <c r="CB132" s="592">
        <f>IF($E132="FL",$BN132*$BQ132*$BR132*$BX132,$BN132)</f>
        <v/>
      </c>
      <c r="CC132" s="592" t="n"/>
      <c r="CD132" s="592" t="n"/>
      <c r="CE132" s="592" t="n"/>
      <c r="CF132" s="592" t="n"/>
    </row>
    <row r="133">
      <c r="A133" s="29" t="n"/>
      <c r="B133" s="29" t="n"/>
      <c r="C133" s="6" t="n"/>
      <c r="E133" s="85" t="n"/>
      <c r="F133" s="85" t="n"/>
      <c r="G133" s="85" t="n"/>
      <c r="H133" s="85" t="n"/>
      <c r="I133" s="85" t="n"/>
      <c r="J133" s="85" t="n"/>
      <c r="K133" s="85" t="n"/>
      <c r="L133" s="85" t="n"/>
      <c r="M133" s="138" t="n"/>
      <c r="N133" s="85" t="n"/>
      <c r="O133" s="85" t="n"/>
      <c r="P133" s="85" t="n"/>
      <c r="Q133" s="85" t="n"/>
      <c r="R133" s="85" t="n"/>
      <c r="S133" s="85" t="n"/>
      <c r="T133" s="85" t="n"/>
      <c r="U133" s="145" t="n"/>
      <c r="V133" s="30" t="n"/>
      <c r="W133" s="98" t="n"/>
      <c r="X133" s="23" t="n"/>
      <c r="Y133" s="25" t="n"/>
      <c r="Z133" s="590" t="n"/>
      <c r="AA133" s="25" t="n"/>
      <c r="AB133" s="26" t="n"/>
      <c r="AC133" s="26" t="n"/>
      <c r="AD133" s="26" t="n"/>
      <c r="AE133" s="26" t="n"/>
      <c r="AF133" s="26" t="n"/>
      <c r="AG133" s="26" t="n"/>
      <c r="AH133" s="26" t="n"/>
      <c r="AI133" s="26" t="n"/>
      <c r="AJ133" s="26" t="n"/>
      <c r="AK133" s="101" t="n"/>
      <c r="AL133" s="101" t="n"/>
      <c r="AM133" s="26" t="n"/>
      <c r="AN133" s="26" t="n"/>
      <c r="AO133" s="26" t="n"/>
      <c r="AP133" s="101" t="n"/>
      <c r="AQ133" s="26" t="n"/>
      <c r="AR133" s="101" t="n"/>
      <c r="AS133" s="106" t="n"/>
      <c r="AT133" s="25" t="n"/>
      <c r="AU133" s="25" t="n"/>
      <c r="AV133" s="23" t="n"/>
      <c r="AW133" s="25" t="n"/>
      <c r="AX133" s="26" t="n"/>
      <c r="AY133" s="26" t="n"/>
      <c r="AZ133" s="26" t="n"/>
      <c r="BA133" s="26" t="n"/>
      <c r="BB133" s="26" t="n"/>
      <c r="BC133" s="26" t="n"/>
      <c r="BD133" s="26" t="n"/>
      <c r="BE133" s="26" t="n"/>
      <c r="BF133" s="26" t="n"/>
      <c r="BG133" s="101" t="n"/>
      <c r="BH133" s="101" t="n"/>
      <c r="BI133" s="26" t="n"/>
      <c r="BJ133" s="26" t="n"/>
      <c r="BK133" s="26" t="n"/>
      <c r="BL133" s="101" t="n"/>
      <c r="BM133" s="26" t="n"/>
      <c r="BN133" s="101" t="n"/>
      <c r="BO133" s="591" t="n"/>
      <c r="BP133" s="26" t="n"/>
      <c r="BQ133" s="26" t="n"/>
      <c r="BR133" s="26" t="n"/>
      <c r="BS133" s="26" t="n"/>
      <c r="BT133" s="614" t="n"/>
      <c r="BU133" s="614" t="n"/>
      <c r="BV133" s="593" t="n"/>
      <c r="BW133" s="614" t="n"/>
      <c r="BX133" s="614" t="n"/>
      <c r="BY133" s="615" t="n"/>
      <c r="BZ133" s="614" t="n"/>
      <c r="CA133" s="592">
        <f>IF($E133="FL",$AR133*$BQ133*$BR133*$BU133,$AR133)</f>
        <v/>
      </c>
      <c r="CB133" s="592">
        <f>IF($E133="FL",$BN133*$BQ133*$BR133*$BX133,$BN133)</f>
        <v/>
      </c>
      <c r="CC133" s="592" t="n"/>
      <c r="CD133" s="592" t="n"/>
      <c r="CE133" s="592" t="n"/>
      <c r="CF133" s="592" t="n"/>
    </row>
    <row r="134">
      <c r="A134" s="29" t="n"/>
      <c r="B134" s="29" t="n"/>
      <c r="C134" s="6" t="n"/>
      <c r="E134" s="85" t="n"/>
      <c r="F134" s="85" t="n"/>
      <c r="G134" s="85" t="n"/>
      <c r="H134" s="85" t="n"/>
      <c r="I134" s="85" t="n"/>
      <c r="J134" s="85" t="n"/>
      <c r="K134" s="85" t="n"/>
      <c r="L134" s="85" t="n"/>
      <c r="M134" s="138" t="n"/>
      <c r="N134" s="85" t="n"/>
      <c r="O134" s="85" t="n"/>
      <c r="P134" s="85" t="n"/>
      <c r="Q134" s="85" t="n"/>
      <c r="R134" s="85" t="n"/>
      <c r="S134" s="85" t="n"/>
      <c r="T134" s="85" t="n"/>
      <c r="U134" s="145" t="n"/>
      <c r="V134" s="30" t="n"/>
      <c r="W134" s="98" t="n"/>
      <c r="X134" s="23" t="n"/>
      <c r="Y134" s="25" t="n"/>
      <c r="Z134" s="590" t="n"/>
      <c r="AA134" s="25" t="n"/>
      <c r="AB134" s="26" t="n"/>
      <c r="AC134" s="26" t="n"/>
      <c r="AD134" s="26" t="n"/>
      <c r="AE134" s="26" t="n"/>
      <c r="AF134" s="26" t="n"/>
      <c r="AG134" s="26" t="n"/>
      <c r="AH134" s="26" t="n"/>
      <c r="AI134" s="26" t="n"/>
      <c r="AJ134" s="26" t="n"/>
      <c r="AK134" s="101" t="n"/>
      <c r="AL134" s="101" t="n"/>
      <c r="AM134" s="26" t="n"/>
      <c r="AN134" s="26" t="n"/>
      <c r="AO134" s="26" t="n"/>
      <c r="AP134" s="101" t="n"/>
      <c r="AQ134" s="26" t="n"/>
      <c r="AR134" s="101" t="n"/>
      <c r="AS134" s="106" t="n"/>
      <c r="AT134" s="25" t="n"/>
      <c r="AU134" s="25" t="n"/>
      <c r="AV134" s="23" t="n"/>
      <c r="AW134" s="25" t="n"/>
      <c r="AX134" s="26" t="n"/>
      <c r="AY134" s="26" t="n"/>
      <c r="AZ134" s="26" t="n"/>
      <c r="BA134" s="26" t="n"/>
      <c r="BB134" s="26" t="n"/>
      <c r="BC134" s="26" t="n"/>
      <c r="BD134" s="26" t="n"/>
      <c r="BE134" s="26" t="n"/>
      <c r="BF134" s="26" t="n"/>
      <c r="BG134" s="101" t="n"/>
      <c r="BH134" s="101" t="n"/>
      <c r="BI134" s="26" t="n"/>
      <c r="BJ134" s="26" t="n"/>
      <c r="BK134" s="26" t="n"/>
      <c r="BL134" s="101" t="n"/>
      <c r="BM134" s="26" t="n"/>
      <c r="BN134" s="101" t="n"/>
      <c r="BO134" s="591" t="n"/>
      <c r="BP134" s="26" t="n"/>
      <c r="BQ134" s="26" t="n"/>
      <c r="BR134" s="26" t="n"/>
      <c r="BS134" s="26" t="n"/>
      <c r="BT134" s="614" t="n"/>
      <c r="BU134" s="614" t="n"/>
      <c r="BV134" s="593" t="n"/>
      <c r="BW134" s="614" t="n"/>
      <c r="BX134" s="614" t="n"/>
      <c r="BY134" s="615" t="n"/>
      <c r="BZ134" s="614" t="n"/>
      <c r="CA134" s="592">
        <f>IF($E134="FL",$AR134*$BQ134*$BR134*$BU134,$AR134)</f>
        <v/>
      </c>
      <c r="CB134" s="592">
        <f>IF($E134="FL",$BN134*$BQ134*$BR134*$BX134,$BN134)</f>
        <v/>
      </c>
      <c r="CC134" s="592" t="n"/>
      <c r="CD134" s="592" t="n"/>
      <c r="CE134" s="592" t="n"/>
      <c r="CF134" s="592" t="n"/>
    </row>
    <row r="135">
      <c r="A135" s="29" t="n"/>
      <c r="B135" s="29" t="n"/>
      <c r="C135" s="6" t="n"/>
      <c r="E135" s="85" t="n"/>
      <c r="F135" s="85" t="n"/>
      <c r="G135" s="85" t="n"/>
      <c r="H135" s="85" t="n"/>
      <c r="I135" s="85" t="n"/>
      <c r="J135" s="85" t="n"/>
      <c r="K135" s="85" t="n"/>
      <c r="L135" s="85" t="n"/>
      <c r="M135" s="138" t="n"/>
      <c r="N135" s="85" t="n"/>
      <c r="O135" s="85" t="n"/>
      <c r="P135" s="85" t="n"/>
      <c r="Q135" s="85" t="n"/>
      <c r="R135" s="85" t="n"/>
      <c r="S135" s="85" t="n"/>
      <c r="T135" s="85" t="n"/>
      <c r="U135" s="145" t="n"/>
      <c r="V135" s="30" t="n"/>
      <c r="W135" s="98" t="n"/>
      <c r="X135" s="23" t="n"/>
      <c r="Y135" s="25" t="n"/>
      <c r="Z135" s="590" t="n"/>
      <c r="AA135" s="25" t="n"/>
      <c r="AB135" s="26" t="n"/>
      <c r="AC135" s="26" t="n"/>
      <c r="AD135" s="26" t="n"/>
      <c r="AE135" s="26" t="n"/>
      <c r="AF135" s="26" t="n"/>
      <c r="AG135" s="26" t="n"/>
      <c r="AH135" s="26" t="n"/>
      <c r="AI135" s="26" t="n"/>
      <c r="AJ135" s="26" t="n"/>
      <c r="AK135" s="101" t="n"/>
      <c r="AL135" s="101" t="n"/>
      <c r="AM135" s="26" t="n"/>
      <c r="AN135" s="26" t="n"/>
      <c r="AO135" s="26" t="n"/>
      <c r="AP135" s="101" t="n"/>
      <c r="AQ135" s="26" t="n"/>
      <c r="AR135" s="101" t="n"/>
      <c r="AS135" s="106" t="n"/>
      <c r="AT135" s="25" t="n"/>
      <c r="AU135" s="25" t="n"/>
      <c r="AV135" s="23" t="n"/>
      <c r="AW135" s="25" t="n"/>
      <c r="AX135" s="26" t="n"/>
      <c r="AY135" s="26" t="n"/>
      <c r="AZ135" s="26" t="n"/>
      <c r="BA135" s="26" t="n"/>
      <c r="BB135" s="26" t="n"/>
      <c r="BC135" s="26" t="n"/>
      <c r="BD135" s="26" t="n"/>
      <c r="BE135" s="26" t="n"/>
      <c r="BF135" s="26" t="n"/>
      <c r="BG135" s="101" t="n"/>
      <c r="BH135" s="101" t="n"/>
      <c r="BI135" s="26" t="n"/>
      <c r="BJ135" s="26" t="n"/>
      <c r="BK135" s="26" t="n"/>
      <c r="BL135" s="101" t="n"/>
      <c r="BM135" s="26" t="n"/>
      <c r="BN135" s="101" t="n"/>
      <c r="BO135" s="591" t="n"/>
      <c r="BP135" s="26" t="n"/>
      <c r="BQ135" s="26" t="n"/>
      <c r="BR135" s="26" t="n"/>
      <c r="BS135" s="26" t="n"/>
      <c r="BT135" s="614" t="n"/>
      <c r="BU135" s="614" t="n"/>
      <c r="BV135" s="593" t="n"/>
      <c r="BW135" s="614" t="n"/>
      <c r="BX135" s="614" t="n"/>
      <c r="BY135" s="615" t="n"/>
      <c r="BZ135" s="614" t="n"/>
      <c r="CA135" s="592">
        <f>IF($E135="FL",$AR135*$BQ135*$BR135*$BU135,$AR135)</f>
        <v/>
      </c>
      <c r="CB135" s="592">
        <f>IF($E135="FL",$BN135*$BQ135*$BR135*$BX135,$BN135)</f>
        <v/>
      </c>
      <c r="CC135" s="592" t="n"/>
      <c r="CD135" s="592" t="n"/>
      <c r="CE135" s="592" t="n"/>
      <c r="CF135" s="592" t="n"/>
    </row>
    <row r="136">
      <c r="A136" s="29" t="n"/>
      <c r="B136" s="29" t="n"/>
      <c r="C136" s="6" t="n"/>
      <c r="E136" s="85" t="n"/>
      <c r="F136" s="85" t="n"/>
      <c r="G136" s="85" t="n"/>
      <c r="H136" s="85" t="n"/>
      <c r="I136" s="85" t="n"/>
      <c r="J136" s="85" t="n"/>
      <c r="K136" s="85" t="n"/>
      <c r="L136" s="85" t="n"/>
      <c r="M136" s="138" t="n"/>
      <c r="N136" s="85" t="n"/>
      <c r="O136" s="85" t="n"/>
      <c r="P136" s="85" t="n"/>
      <c r="Q136" s="85" t="n"/>
      <c r="R136" s="85" t="n"/>
      <c r="S136" s="85" t="n"/>
      <c r="T136" s="85" t="n"/>
      <c r="U136" s="145" t="n"/>
      <c r="V136" s="30" t="n"/>
      <c r="W136" s="98" t="n"/>
      <c r="X136" s="23" t="n"/>
      <c r="Y136" s="25" t="n"/>
      <c r="Z136" s="590" t="n"/>
      <c r="AA136" s="25" t="n"/>
      <c r="AB136" s="26" t="n"/>
      <c r="AC136" s="26" t="n"/>
      <c r="AD136" s="26" t="n"/>
      <c r="AE136" s="26" t="n"/>
      <c r="AF136" s="26" t="n"/>
      <c r="AG136" s="26" t="n"/>
      <c r="AH136" s="26" t="n"/>
      <c r="AI136" s="26" t="n"/>
      <c r="AJ136" s="26" t="n"/>
      <c r="AK136" s="101" t="n"/>
      <c r="AL136" s="101" t="n"/>
      <c r="AM136" s="26" t="n"/>
      <c r="AN136" s="26" t="n"/>
      <c r="AO136" s="26" t="n"/>
      <c r="AP136" s="101" t="n"/>
      <c r="AQ136" s="26" t="n"/>
      <c r="AR136" s="101" t="n"/>
      <c r="AS136" s="106" t="n"/>
      <c r="AT136" s="25" t="n"/>
      <c r="AU136" s="25" t="n"/>
      <c r="AV136" s="23" t="n"/>
      <c r="AW136" s="25" t="n"/>
      <c r="AX136" s="26" t="n"/>
      <c r="AY136" s="26" t="n"/>
      <c r="AZ136" s="26" t="n"/>
      <c r="BA136" s="26" t="n"/>
      <c r="BB136" s="26" t="n"/>
      <c r="BC136" s="26" t="n"/>
      <c r="BD136" s="26" t="n"/>
      <c r="BE136" s="26" t="n"/>
      <c r="BF136" s="26" t="n"/>
      <c r="BG136" s="101" t="n"/>
      <c r="BH136" s="101" t="n"/>
      <c r="BI136" s="26" t="n"/>
      <c r="BJ136" s="26" t="n"/>
      <c r="BK136" s="26" t="n"/>
      <c r="BL136" s="101" t="n"/>
      <c r="BM136" s="26" t="n"/>
      <c r="BN136" s="101" t="n"/>
      <c r="BO136" s="591" t="n"/>
      <c r="BP136" s="26" t="n"/>
      <c r="BQ136" s="26" t="n"/>
      <c r="BR136" s="26" t="n"/>
      <c r="BS136" s="26" t="n"/>
      <c r="BT136" s="614" t="n"/>
      <c r="BU136" s="614" t="n"/>
      <c r="BV136" s="593" t="n"/>
      <c r="BW136" s="614" t="n"/>
      <c r="BX136" s="614" t="n"/>
      <c r="BY136" s="615" t="n"/>
      <c r="BZ136" s="614" t="n"/>
      <c r="CA136" s="592">
        <f>IF($E136="FL",$AR136*$BQ136*$BR136*$BU136,$AR136)</f>
        <v/>
      </c>
      <c r="CB136" s="592">
        <f>IF($E136="FL",$BN136*$BQ136*$BR136*$BX136,$BN136)</f>
        <v/>
      </c>
      <c r="CC136" s="592" t="n"/>
      <c r="CD136" s="592" t="n"/>
      <c r="CE136" s="592" t="n"/>
      <c r="CF136" s="592" t="n"/>
    </row>
    <row r="137">
      <c r="A137" s="29" t="n"/>
      <c r="B137" s="29" t="n"/>
      <c r="C137" s="6" t="n"/>
      <c r="E137" s="85" t="n"/>
      <c r="F137" s="85" t="n"/>
      <c r="G137" s="85" t="n"/>
      <c r="H137" s="85" t="n"/>
      <c r="I137" s="85" t="n"/>
      <c r="J137" s="85" t="n"/>
      <c r="K137" s="85" t="n"/>
      <c r="L137" s="85" t="n"/>
      <c r="M137" s="138" t="n"/>
      <c r="N137" s="85" t="n"/>
      <c r="O137" s="85" t="n"/>
      <c r="P137" s="85" t="n"/>
      <c r="Q137" s="85" t="n"/>
      <c r="R137" s="85" t="n"/>
      <c r="S137" s="85" t="n"/>
      <c r="T137" s="85" t="n"/>
      <c r="U137" s="145" t="n"/>
      <c r="V137" s="30" t="n"/>
      <c r="W137" s="98" t="n"/>
      <c r="X137" s="23" t="n"/>
      <c r="Y137" s="25" t="n"/>
      <c r="Z137" s="590" t="n"/>
      <c r="AA137" s="25" t="n"/>
      <c r="AB137" s="26" t="n"/>
      <c r="AC137" s="26" t="n"/>
      <c r="AD137" s="26" t="n"/>
      <c r="AE137" s="26" t="n"/>
      <c r="AF137" s="26" t="n"/>
      <c r="AG137" s="26" t="n"/>
      <c r="AH137" s="26" t="n"/>
      <c r="AI137" s="26" t="n"/>
      <c r="AJ137" s="26" t="n"/>
      <c r="AK137" s="101" t="n"/>
      <c r="AL137" s="101" t="n"/>
      <c r="AM137" s="26" t="n"/>
      <c r="AN137" s="26" t="n"/>
      <c r="AO137" s="26" t="n"/>
      <c r="AP137" s="101" t="n"/>
      <c r="AQ137" s="26" t="n"/>
      <c r="AR137" s="101" t="n"/>
      <c r="AS137" s="106" t="n"/>
      <c r="AT137" s="25" t="n"/>
      <c r="AU137" s="25" t="n"/>
      <c r="AV137" s="23" t="n"/>
      <c r="AW137" s="25" t="n"/>
      <c r="AX137" s="26" t="n"/>
      <c r="AY137" s="26" t="n"/>
      <c r="AZ137" s="26" t="n"/>
      <c r="BA137" s="26" t="n"/>
      <c r="BB137" s="26" t="n"/>
      <c r="BC137" s="26" t="n"/>
      <c r="BD137" s="26" t="n"/>
      <c r="BE137" s="26" t="n"/>
      <c r="BF137" s="26" t="n"/>
      <c r="BG137" s="101" t="n"/>
      <c r="BH137" s="101" t="n"/>
      <c r="BI137" s="26" t="n"/>
      <c r="BJ137" s="26" t="n"/>
      <c r="BK137" s="26" t="n"/>
      <c r="BL137" s="101" t="n"/>
      <c r="BM137" s="26" t="n"/>
      <c r="BN137" s="101" t="n"/>
      <c r="BO137" s="591" t="n"/>
      <c r="BP137" s="26" t="n"/>
      <c r="BQ137" s="26" t="n"/>
      <c r="BR137" s="26" t="n"/>
      <c r="BS137" s="26" t="n"/>
      <c r="BT137" s="614" t="n"/>
      <c r="BU137" s="614" t="n"/>
      <c r="BV137" s="593" t="n"/>
      <c r="BW137" s="614" t="n"/>
      <c r="BX137" s="614" t="n"/>
      <c r="BY137" s="615" t="n"/>
      <c r="BZ137" s="614" t="n"/>
      <c r="CA137" s="592">
        <f>IF($E137="FL",$AR137*$BQ137*$BR137*$BU137,$AR137)</f>
        <v/>
      </c>
      <c r="CB137" s="592">
        <f>IF($E137="FL",$BN137*$BQ137*$BR137*$BX137,$BN137)</f>
        <v/>
      </c>
      <c r="CC137" s="592" t="n"/>
      <c r="CD137" s="592" t="n"/>
      <c r="CE137" s="592" t="n"/>
      <c r="CF137" s="592" t="n"/>
    </row>
    <row r="138">
      <c r="A138" s="29" t="n"/>
      <c r="B138" s="29" t="n"/>
      <c r="C138" s="6" t="n"/>
      <c r="E138" s="85" t="n"/>
      <c r="F138" s="85" t="n"/>
      <c r="G138" s="85" t="n"/>
      <c r="H138" s="85" t="n"/>
      <c r="I138" s="85" t="n"/>
      <c r="J138" s="85" t="n"/>
      <c r="K138" s="85" t="n"/>
      <c r="L138" s="85" t="n"/>
      <c r="M138" s="138" t="n"/>
      <c r="N138" s="85" t="n"/>
      <c r="O138" s="85" t="n"/>
      <c r="P138" s="85" t="n"/>
      <c r="Q138" s="85" t="n"/>
      <c r="R138" s="85" t="n"/>
      <c r="S138" s="85" t="n"/>
      <c r="T138" s="85" t="n"/>
      <c r="U138" s="145" t="n"/>
      <c r="V138" s="30" t="n"/>
      <c r="W138" s="98" t="n"/>
      <c r="X138" s="23" t="n"/>
      <c r="Y138" s="25" t="n"/>
      <c r="Z138" s="590" t="n"/>
      <c r="AA138" s="25" t="n"/>
      <c r="AB138" s="26" t="n"/>
      <c r="AC138" s="26" t="n"/>
      <c r="AD138" s="26" t="n"/>
      <c r="AE138" s="26" t="n"/>
      <c r="AF138" s="26" t="n"/>
      <c r="AG138" s="26" t="n"/>
      <c r="AH138" s="26" t="n"/>
      <c r="AI138" s="26" t="n"/>
      <c r="AJ138" s="26" t="n"/>
      <c r="AK138" s="101" t="n"/>
      <c r="AL138" s="101" t="n"/>
      <c r="AM138" s="26" t="n"/>
      <c r="AN138" s="26" t="n"/>
      <c r="AO138" s="26" t="n"/>
      <c r="AP138" s="101" t="n"/>
      <c r="AQ138" s="26" t="n"/>
      <c r="AR138" s="101" t="n"/>
      <c r="AS138" s="106" t="n"/>
      <c r="AT138" s="25" t="n"/>
      <c r="AU138" s="25" t="n"/>
      <c r="AV138" s="23" t="n"/>
      <c r="AW138" s="25" t="n"/>
      <c r="AX138" s="26" t="n"/>
      <c r="AY138" s="26" t="n"/>
      <c r="AZ138" s="26" t="n"/>
      <c r="BA138" s="26" t="n"/>
      <c r="BB138" s="26" t="n"/>
      <c r="BC138" s="26" t="n"/>
      <c r="BD138" s="26" t="n"/>
      <c r="BE138" s="26" t="n"/>
      <c r="BF138" s="26" t="n"/>
      <c r="BG138" s="101" t="n"/>
      <c r="BH138" s="101" t="n"/>
      <c r="BI138" s="26" t="n"/>
      <c r="BJ138" s="26" t="n"/>
      <c r="BK138" s="26" t="n"/>
      <c r="BL138" s="101" t="n"/>
      <c r="BM138" s="26" t="n"/>
      <c r="BN138" s="101" t="n"/>
      <c r="BO138" s="591" t="n"/>
      <c r="BP138" s="26" t="n"/>
      <c r="BQ138" s="26" t="n"/>
      <c r="BR138" s="26" t="n"/>
      <c r="BS138" s="26" t="n"/>
      <c r="BT138" s="614" t="n"/>
      <c r="BU138" s="614" t="n"/>
      <c r="BV138" s="593" t="n"/>
      <c r="BW138" s="614" t="n"/>
      <c r="BX138" s="614" t="n"/>
      <c r="BY138" s="615" t="n"/>
      <c r="BZ138" s="614" t="n"/>
      <c r="CA138" s="592">
        <f>IF($E138="FL",$AR138*$BQ138*$BR138*$BU138,$AR138)</f>
        <v/>
      </c>
      <c r="CB138" s="592">
        <f>IF($E138="FL",$BN138*$BQ138*$BR138*$BX138,$BN138)</f>
        <v/>
      </c>
      <c r="CC138" s="592" t="n"/>
      <c r="CD138" s="592" t="n"/>
      <c r="CE138" s="592" t="n"/>
      <c r="CF138" s="592" t="n"/>
    </row>
    <row r="139">
      <c r="A139" s="29" t="n"/>
      <c r="B139" s="29" t="n"/>
      <c r="C139" s="6" t="n"/>
      <c r="E139" s="85" t="n"/>
      <c r="F139" s="85" t="n"/>
      <c r="G139" s="85" t="n"/>
      <c r="H139" s="85" t="n"/>
      <c r="I139" s="85" t="n"/>
      <c r="J139" s="85" t="n"/>
      <c r="K139" s="85" t="n"/>
      <c r="L139" s="85" t="n"/>
      <c r="M139" s="138" t="n"/>
      <c r="N139" s="85" t="n"/>
      <c r="O139" s="85" t="n"/>
      <c r="P139" s="85" t="n"/>
      <c r="Q139" s="85" t="n"/>
      <c r="R139" s="85" t="n"/>
      <c r="S139" s="85" t="n"/>
      <c r="T139" s="85" t="n"/>
      <c r="U139" s="145" t="n"/>
      <c r="V139" s="30" t="n"/>
      <c r="W139" s="98" t="n"/>
      <c r="X139" s="23" t="n"/>
      <c r="Y139" s="25" t="n"/>
      <c r="Z139" s="590" t="n"/>
      <c r="AA139" s="25" t="n"/>
      <c r="AB139" s="26" t="n"/>
      <c r="AC139" s="26" t="n"/>
      <c r="AD139" s="26" t="n"/>
      <c r="AE139" s="26" t="n"/>
      <c r="AF139" s="26" t="n"/>
      <c r="AG139" s="26" t="n"/>
      <c r="AH139" s="26" t="n"/>
      <c r="AI139" s="26" t="n"/>
      <c r="AJ139" s="26" t="n"/>
      <c r="AK139" s="101" t="n"/>
      <c r="AL139" s="101" t="n"/>
      <c r="AM139" s="26" t="n"/>
      <c r="AN139" s="26" t="n"/>
      <c r="AO139" s="26" t="n"/>
      <c r="AP139" s="101" t="n"/>
      <c r="AQ139" s="26" t="n"/>
      <c r="AR139" s="101" t="n"/>
      <c r="AS139" s="106" t="n"/>
      <c r="AT139" s="25" t="n"/>
      <c r="AU139" s="25" t="n"/>
      <c r="AV139" s="23" t="n"/>
      <c r="AW139" s="25" t="n"/>
      <c r="AX139" s="26" t="n"/>
      <c r="AY139" s="26" t="n"/>
      <c r="AZ139" s="26" t="n"/>
      <c r="BA139" s="26" t="n"/>
      <c r="BB139" s="26" t="n"/>
      <c r="BC139" s="26" t="n"/>
      <c r="BD139" s="26" t="n"/>
      <c r="BE139" s="26" t="n"/>
      <c r="BF139" s="26" t="n"/>
      <c r="BG139" s="101" t="n"/>
      <c r="BH139" s="101" t="n"/>
      <c r="BI139" s="26" t="n"/>
      <c r="BJ139" s="26" t="n"/>
      <c r="BK139" s="26" t="n"/>
      <c r="BL139" s="101" t="n"/>
      <c r="BM139" s="26" t="n"/>
      <c r="BN139" s="101" t="n"/>
      <c r="BO139" s="591" t="n"/>
      <c r="BP139" s="26" t="n"/>
      <c r="BQ139" s="26" t="n"/>
      <c r="BR139" s="26" t="n"/>
      <c r="BS139" s="26" t="n"/>
      <c r="BT139" s="614" t="n"/>
      <c r="BU139" s="614" t="n"/>
      <c r="BV139" s="593" t="n"/>
      <c r="BW139" s="614" t="n"/>
      <c r="BX139" s="614" t="n"/>
      <c r="BY139" s="615" t="n"/>
      <c r="BZ139" s="614" t="n"/>
      <c r="CA139" s="592">
        <f>IF($E139="FL",$AR139*$BQ139*$BR139*$BU139,$AR139)</f>
        <v/>
      </c>
      <c r="CB139" s="592">
        <f>IF($E139="FL",$BN139*$BQ139*$BR139*$BX139,$BN139)</f>
        <v/>
      </c>
      <c r="CC139" s="592" t="n"/>
      <c r="CD139" s="592" t="n"/>
      <c r="CE139" s="592" t="n"/>
      <c r="CF139" s="592" t="n"/>
    </row>
    <row r="140">
      <c r="A140" s="29" t="n"/>
      <c r="B140" s="29" t="n"/>
      <c r="C140" s="6" t="n"/>
      <c r="E140" s="85" t="n"/>
      <c r="F140" s="85" t="n"/>
      <c r="G140" s="85" t="n"/>
      <c r="H140" s="85" t="n"/>
      <c r="I140" s="85" t="n"/>
      <c r="J140" s="85" t="n"/>
      <c r="K140" s="85" t="n"/>
      <c r="L140" s="85" t="n"/>
      <c r="M140" s="138" t="n"/>
      <c r="N140" s="85" t="n"/>
      <c r="O140" s="85" t="n"/>
      <c r="P140" s="85" t="n"/>
      <c r="Q140" s="85" t="n"/>
      <c r="R140" s="85" t="n"/>
      <c r="S140" s="85" t="n"/>
      <c r="T140" s="85" t="n"/>
      <c r="U140" s="145" t="n"/>
      <c r="V140" s="30" t="n"/>
      <c r="W140" s="98" t="n"/>
      <c r="X140" s="23" t="n"/>
      <c r="Y140" s="25" t="n"/>
      <c r="Z140" s="590" t="n"/>
      <c r="AA140" s="25" t="n"/>
      <c r="AB140" s="26" t="n"/>
      <c r="AC140" s="26" t="n"/>
      <c r="AD140" s="26" t="n"/>
      <c r="AE140" s="26" t="n"/>
      <c r="AF140" s="26" t="n"/>
      <c r="AG140" s="26" t="n"/>
      <c r="AH140" s="26" t="n"/>
      <c r="AI140" s="26" t="n"/>
      <c r="AJ140" s="26" t="n"/>
      <c r="AK140" s="101" t="n"/>
      <c r="AL140" s="101" t="n"/>
      <c r="AM140" s="26" t="n"/>
      <c r="AN140" s="26" t="n"/>
      <c r="AO140" s="26" t="n"/>
      <c r="AP140" s="101" t="n"/>
      <c r="AQ140" s="26" t="n"/>
      <c r="AR140" s="101" t="n"/>
      <c r="AS140" s="106" t="n"/>
      <c r="AT140" s="25" t="n"/>
      <c r="AU140" s="25" t="n"/>
      <c r="AV140" s="23" t="n"/>
      <c r="AW140" s="25" t="n"/>
      <c r="AX140" s="26" t="n"/>
      <c r="AY140" s="26" t="n"/>
      <c r="AZ140" s="26" t="n"/>
      <c r="BA140" s="26" t="n"/>
      <c r="BB140" s="26" t="n"/>
      <c r="BC140" s="26" t="n"/>
      <c r="BD140" s="26" t="n"/>
      <c r="BE140" s="26" t="n"/>
      <c r="BF140" s="26" t="n"/>
      <c r="BG140" s="101" t="n"/>
      <c r="BH140" s="101" t="n"/>
      <c r="BI140" s="26" t="n"/>
      <c r="BJ140" s="26" t="n"/>
      <c r="BK140" s="26" t="n"/>
      <c r="BL140" s="101" t="n"/>
      <c r="BM140" s="26" t="n"/>
      <c r="BN140" s="101" t="n"/>
      <c r="BO140" s="591" t="n"/>
      <c r="BP140" s="26" t="n"/>
      <c r="BQ140" s="26" t="n"/>
      <c r="BR140" s="26" t="n"/>
      <c r="BS140" s="26" t="n"/>
      <c r="BT140" s="614" t="n"/>
      <c r="BU140" s="614" t="n"/>
      <c r="BV140" s="593" t="n"/>
      <c r="BW140" s="614" t="n"/>
      <c r="BX140" s="614" t="n"/>
      <c r="BY140" s="615" t="n"/>
      <c r="BZ140" s="614" t="n"/>
      <c r="CA140" s="592">
        <f>IF($E140="FL",$AR140*$BQ140*$BR140*$BU140,$AR140)</f>
        <v/>
      </c>
      <c r="CB140" s="592">
        <f>IF($E140="FL",$BN140*$BQ140*$BR140*$BX140,$BN140)</f>
        <v/>
      </c>
      <c r="CC140" s="592" t="n"/>
      <c r="CD140" s="592" t="n"/>
      <c r="CE140" s="592" t="n"/>
      <c r="CF140" s="592" t="n"/>
    </row>
    <row r="141">
      <c r="A141" s="29" t="n"/>
      <c r="B141" s="29" t="n"/>
      <c r="C141" s="6" t="n"/>
      <c r="E141" s="85" t="n"/>
      <c r="F141" s="85" t="n"/>
      <c r="G141" s="85" t="n"/>
      <c r="H141" s="85" t="n"/>
      <c r="I141" s="85" t="n"/>
      <c r="J141" s="85" t="n"/>
      <c r="K141" s="85" t="n"/>
      <c r="L141" s="85" t="n"/>
      <c r="M141" s="138" t="n"/>
      <c r="N141" s="85" t="n"/>
      <c r="O141" s="85" t="n"/>
      <c r="P141" s="85" t="n"/>
      <c r="Q141" s="85" t="n"/>
      <c r="R141" s="85" t="n"/>
      <c r="S141" s="85" t="n"/>
      <c r="T141" s="85" t="n"/>
      <c r="U141" s="145" t="n"/>
      <c r="V141" s="30" t="n"/>
      <c r="W141" s="98" t="n"/>
      <c r="X141" s="23" t="n"/>
      <c r="Y141" s="25" t="n"/>
      <c r="Z141" s="590" t="n"/>
      <c r="AA141" s="25" t="n"/>
      <c r="AB141" s="26" t="n"/>
      <c r="AC141" s="26" t="n"/>
      <c r="AD141" s="26" t="n"/>
      <c r="AE141" s="26" t="n"/>
      <c r="AF141" s="26" t="n"/>
      <c r="AG141" s="26" t="n"/>
      <c r="AH141" s="26" t="n"/>
      <c r="AI141" s="26" t="n"/>
      <c r="AJ141" s="26" t="n"/>
      <c r="AK141" s="101" t="n"/>
      <c r="AL141" s="101" t="n"/>
      <c r="AM141" s="26" t="n"/>
      <c r="AN141" s="26" t="n"/>
      <c r="AO141" s="26" t="n"/>
      <c r="AP141" s="101" t="n"/>
      <c r="AQ141" s="26" t="n"/>
      <c r="AR141" s="101" t="n"/>
      <c r="AS141" s="106" t="n"/>
      <c r="AT141" s="25" t="n"/>
      <c r="AU141" s="25" t="n"/>
      <c r="AV141" s="23" t="n"/>
      <c r="AW141" s="25" t="n"/>
      <c r="AX141" s="26" t="n"/>
      <c r="AY141" s="26" t="n"/>
      <c r="AZ141" s="26" t="n"/>
      <c r="BA141" s="26" t="n"/>
      <c r="BB141" s="26" t="n"/>
      <c r="BC141" s="26" t="n"/>
      <c r="BD141" s="26" t="n"/>
      <c r="BE141" s="26" t="n"/>
      <c r="BF141" s="26" t="n"/>
      <c r="BG141" s="101" t="n"/>
      <c r="BH141" s="101" t="n"/>
      <c r="BI141" s="26" t="n"/>
      <c r="BJ141" s="26" t="n"/>
      <c r="BK141" s="26" t="n"/>
      <c r="BL141" s="101" t="n"/>
      <c r="BM141" s="26" t="n"/>
      <c r="BN141" s="101" t="n"/>
      <c r="BO141" s="591" t="n"/>
      <c r="BP141" s="26" t="n"/>
      <c r="BQ141" s="26" t="n"/>
      <c r="BR141" s="26" t="n"/>
      <c r="BS141" s="26" t="n"/>
      <c r="BT141" s="614" t="n"/>
      <c r="BU141" s="614" t="n"/>
      <c r="BV141" s="593" t="n"/>
      <c r="BW141" s="614" t="n"/>
      <c r="BX141" s="614" t="n"/>
      <c r="BY141" s="615" t="n"/>
      <c r="BZ141" s="614" t="n"/>
      <c r="CA141" s="592">
        <f>IF($E141="FL",$AR141*$BQ141*$BR141*$BU141,$AR141)</f>
        <v/>
      </c>
      <c r="CB141" s="592">
        <f>IF($E141="FL",$BN141*$BQ141*$BR141*$BX141,$BN141)</f>
        <v/>
      </c>
      <c r="CC141" s="592" t="n"/>
      <c r="CD141" s="592" t="n"/>
      <c r="CE141" s="592" t="n"/>
      <c r="CF141" s="592" t="n"/>
    </row>
    <row r="142">
      <c r="A142" s="29" t="n"/>
      <c r="B142" s="29" t="n"/>
      <c r="C142" s="6" t="n"/>
      <c r="E142" s="85" t="n"/>
      <c r="F142" s="85" t="n"/>
      <c r="G142" s="85" t="n"/>
      <c r="H142" s="85" t="n"/>
      <c r="I142" s="85" t="n"/>
      <c r="J142" s="85" t="n"/>
      <c r="K142" s="85" t="n"/>
      <c r="L142" s="85" t="n"/>
      <c r="M142" s="138" t="n"/>
      <c r="N142" s="85" t="n"/>
      <c r="O142" s="85" t="n"/>
      <c r="P142" s="85" t="n"/>
      <c r="Q142" s="85" t="n"/>
      <c r="R142" s="85" t="n"/>
      <c r="S142" s="85" t="n"/>
      <c r="T142" s="85" t="n"/>
      <c r="U142" s="145" t="n"/>
      <c r="V142" s="30" t="n"/>
      <c r="W142" s="98" t="n"/>
      <c r="X142" s="23" t="n"/>
      <c r="Y142" s="25" t="n"/>
      <c r="Z142" s="590" t="n"/>
      <c r="AA142" s="25" t="n"/>
      <c r="AB142" s="26" t="n"/>
      <c r="AC142" s="26" t="n"/>
      <c r="AD142" s="26" t="n"/>
      <c r="AE142" s="26" t="n"/>
      <c r="AF142" s="26" t="n"/>
      <c r="AG142" s="26" t="n"/>
      <c r="AH142" s="26" t="n"/>
      <c r="AI142" s="26" t="n"/>
      <c r="AJ142" s="26" t="n"/>
      <c r="AK142" s="101" t="n"/>
      <c r="AL142" s="101" t="n"/>
      <c r="AM142" s="26" t="n"/>
      <c r="AN142" s="26" t="n"/>
      <c r="AO142" s="26" t="n"/>
      <c r="AP142" s="101" t="n"/>
      <c r="AQ142" s="26" t="n"/>
      <c r="AR142" s="101" t="n"/>
      <c r="AS142" s="106" t="n"/>
      <c r="AT142" s="25" t="n"/>
      <c r="AU142" s="25" t="n"/>
      <c r="AV142" s="23" t="n"/>
      <c r="AW142" s="25" t="n"/>
      <c r="AX142" s="26" t="n"/>
      <c r="AY142" s="26" t="n"/>
      <c r="AZ142" s="26" t="n"/>
      <c r="BA142" s="26" t="n"/>
      <c r="BB142" s="26" t="n"/>
      <c r="BC142" s="26" t="n"/>
      <c r="BD142" s="26" t="n"/>
      <c r="BE142" s="26" t="n"/>
      <c r="BF142" s="26" t="n"/>
      <c r="BG142" s="101" t="n"/>
      <c r="BH142" s="101" t="n"/>
      <c r="BI142" s="26" t="n"/>
      <c r="BJ142" s="26" t="n"/>
      <c r="BK142" s="26" t="n"/>
      <c r="BL142" s="101" t="n"/>
      <c r="BM142" s="26" t="n"/>
      <c r="BN142" s="101" t="n"/>
      <c r="BO142" s="591" t="n"/>
      <c r="BP142" s="26" t="n"/>
      <c r="BQ142" s="26" t="n"/>
      <c r="BR142" s="26" t="n"/>
      <c r="BS142" s="26" t="n"/>
      <c r="BT142" s="614" t="n"/>
      <c r="BU142" s="614" t="n"/>
      <c r="BV142" s="593" t="n"/>
      <c r="BW142" s="614" t="n"/>
      <c r="BX142" s="614" t="n"/>
      <c r="BY142" s="615" t="n"/>
      <c r="BZ142" s="614" t="n"/>
      <c r="CA142" s="592">
        <f>IF($E142="FL",$AR142*$BQ142*$BR142*$BU142,$AR142)</f>
        <v/>
      </c>
      <c r="CB142" s="592">
        <f>IF($E142="FL",$BN142*$BQ142*$BR142*$BX142,$BN142)</f>
        <v/>
      </c>
      <c r="CC142" s="592" t="n"/>
      <c r="CD142" s="592" t="n"/>
      <c r="CE142" s="592" t="n"/>
      <c r="CF142" s="592" t="n"/>
    </row>
    <row r="143">
      <c r="A143" s="29" t="n"/>
      <c r="B143" s="29" t="n"/>
      <c r="C143" s="6" t="n"/>
      <c r="E143" s="85" t="n"/>
      <c r="F143" s="85" t="n"/>
      <c r="G143" s="85" t="n"/>
      <c r="H143" s="85" t="n"/>
      <c r="I143" s="85" t="n"/>
      <c r="J143" s="85" t="n"/>
      <c r="K143" s="85" t="n"/>
      <c r="L143" s="85" t="n"/>
      <c r="M143" s="138" t="n"/>
      <c r="N143" s="85" t="n"/>
      <c r="O143" s="85" t="n"/>
      <c r="P143" s="85" t="n"/>
      <c r="Q143" s="85" t="n"/>
      <c r="R143" s="85" t="n"/>
      <c r="S143" s="85" t="n"/>
      <c r="T143" s="85" t="n"/>
      <c r="U143" s="145" t="n"/>
      <c r="V143" s="30" t="n"/>
      <c r="W143" s="98" t="n"/>
      <c r="X143" s="23" t="n"/>
      <c r="Y143" s="25" t="n"/>
      <c r="Z143" s="590" t="n"/>
      <c r="AA143" s="25" t="n"/>
      <c r="AB143" s="26" t="n"/>
      <c r="AC143" s="26" t="n"/>
      <c r="AD143" s="26" t="n"/>
      <c r="AE143" s="26" t="n"/>
      <c r="AF143" s="26" t="n"/>
      <c r="AG143" s="26" t="n"/>
      <c r="AH143" s="26" t="n"/>
      <c r="AI143" s="26" t="n"/>
      <c r="AJ143" s="26" t="n"/>
      <c r="AK143" s="101" t="n"/>
      <c r="AL143" s="101" t="n"/>
      <c r="AM143" s="26" t="n"/>
      <c r="AN143" s="26" t="n"/>
      <c r="AO143" s="26" t="n"/>
      <c r="AP143" s="101" t="n"/>
      <c r="AQ143" s="26" t="n"/>
      <c r="AR143" s="101" t="n"/>
      <c r="AS143" s="106" t="n"/>
      <c r="AT143" s="25" t="n"/>
      <c r="AU143" s="25" t="n"/>
      <c r="AV143" s="23" t="n"/>
      <c r="AW143" s="25" t="n"/>
      <c r="AX143" s="26" t="n"/>
      <c r="AY143" s="26" t="n"/>
      <c r="AZ143" s="26" t="n"/>
      <c r="BA143" s="26" t="n"/>
      <c r="BB143" s="26" t="n"/>
      <c r="BC143" s="26" t="n"/>
      <c r="BD143" s="26" t="n"/>
      <c r="BE143" s="26" t="n"/>
      <c r="BF143" s="26" t="n"/>
      <c r="BG143" s="101" t="n"/>
      <c r="BH143" s="101" t="n"/>
      <c r="BI143" s="26" t="n"/>
      <c r="BJ143" s="26" t="n"/>
      <c r="BK143" s="26" t="n"/>
      <c r="BL143" s="101" t="n"/>
      <c r="BM143" s="26" t="n"/>
      <c r="BN143" s="101" t="n"/>
      <c r="BO143" s="591" t="n"/>
      <c r="BP143" s="26" t="n"/>
      <c r="BQ143" s="26" t="n"/>
      <c r="BR143" s="26" t="n"/>
      <c r="BS143" s="26" t="n"/>
      <c r="BT143" s="614" t="n"/>
      <c r="BU143" s="614" t="n"/>
      <c r="BV143" s="593" t="n"/>
      <c r="BW143" s="614" t="n"/>
      <c r="BX143" s="614" t="n"/>
      <c r="BY143" s="615" t="n"/>
      <c r="BZ143" s="614" t="n"/>
      <c r="CA143" s="592">
        <f>IF($E143="FL",$AR143*$BQ143*$BR143*$BU143,$AR143)</f>
        <v/>
      </c>
      <c r="CB143" s="592">
        <f>IF($E143="FL",$BN143*$BQ143*$BR143*$BX143,$BN143)</f>
        <v/>
      </c>
      <c r="CC143" s="592" t="n"/>
      <c r="CD143" s="592" t="n"/>
      <c r="CE143" s="592" t="n"/>
      <c r="CF143" s="592" t="n"/>
    </row>
    <row r="144">
      <c r="A144" s="29" t="n"/>
      <c r="B144" s="29" t="n"/>
      <c r="C144" s="6" t="n"/>
      <c r="E144" s="85" t="n"/>
      <c r="F144" s="85" t="n"/>
      <c r="G144" s="85" t="n"/>
      <c r="H144" s="85" t="n"/>
      <c r="I144" s="85" t="n"/>
      <c r="J144" s="85" t="n"/>
      <c r="K144" s="85" t="n"/>
      <c r="L144" s="85" t="n"/>
      <c r="M144" s="138" t="n"/>
      <c r="N144" s="85" t="n"/>
      <c r="O144" s="85" t="n"/>
      <c r="P144" s="85" t="n"/>
      <c r="Q144" s="85" t="n"/>
      <c r="R144" s="85" t="n"/>
      <c r="S144" s="85" t="n"/>
      <c r="T144" s="85" t="n"/>
      <c r="U144" s="145" t="n"/>
      <c r="V144" s="30" t="n"/>
      <c r="W144" s="98" t="n"/>
      <c r="X144" s="23" t="n"/>
      <c r="Y144" s="25" t="n"/>
      <c r="Z144" s="590" t="n"/>
      <c r="AA144" s="25" t="n"/>
      <c r="AB144" s="26" t="n"/>
      <c r="AC144" s="26" t="n"/>
      <c r="AD144" s="26" t="n"/>
      <c r="AE144" s="26" t="n"/>
      <c r="AF144" s="26" t="n"/>
      <c r="AG144" s="26" t="n"/>
      <c r="AH144" s="26" t="n"/>
      <c r="AI144" s="26" t="n"/>
      <c r="AJ144" s="26" t="n"/>
      <c r="AK144" s="101" t="n"/>
      <c r="AL144" s="101" t="n"/>
      <c r="AM144" s="26" t="n"/>
      <c r="AN144" s="26" t="n"/>
      <c r="AO144" s="26" t="n"/>
      <c r="AP144" s="101" t="n"/>
      <c r="AQ144" s="26" t="n"/>
      <c r="AR144" s="101" t="n"/>
      <c r="AS144" s="106" t="n"/>
      <c r="AT144" s="25" t="n"/>
      <c r="AU144" s="25" t="n"/>
      <c r="AV144" s="23" t="n"/>
      <c r="AW144" s="25" t="n"/>
      <c r="AX144" s="26" t="n"/>
      <c r="AY144" s="26" t="n"/>
      <c r="AZ144" s="26" t="n"/>
      <c r="BA144" s="26" t="n"/>
      <c r="BB144" s="26" t="n"/>
      <c r="BC144" s="26" t="n"/>
      <c r="BD144" s="26" t="n"/>
      <c r="BE144" s="26" t="n"/>
      <c r="BF144" s="26" t="n"/>
      <c r="BG144" s="101" t="n"/>
      <c r="BH144" s="101" t="n"/>
      <c r="BI144" s="26" t="n"/>
      <c r="BJ144" s="26" t="n"/>
      <c r="BK144" s="26" t="n"/>
      <c r="BL144" s="101" t="n"/>
      <c r="BM144" s="26" t="n"/>
      <c r="BN144" s="101" t="n"/>
      <c r="BO144" s="591" t="n"/>
      <c r="BP144" s="26" t="n"/>
      <c r="BQ144" s="26" t="n"/>
      <c r="BR144" s="26" t="n"/>
      <c r="BS144" s="26" t="n"/>
      <c r="BT144" s="614" t="n"/>
      <c r="BU144" s="614" t="n"/>
      <c r="BV144" s="593" t="n"/>
      <c r="BW144" s="614" t="n"/>
      <c r="BX144" s="614" t="n"/>
      <c r="BY144" s="615" t="n"/>
      <c r="BZ144" s="614" t="n"/>
      <c r="CA144" s="592">
        <f>IF($E144="FL",$AR144*$BQ144*$BR144*$BU144,$AR144)</f>
        <v/>
      </c>
      <c r="CB144" s="592">
        <f>IF($E144="FL",$BN144*$BQ144*$BR144*$BX144,$BN144)</f>
        <v/>
      </c>
      <c r="CC144" s="592" t="n"/>
      <c r="CD144" s="592" t="n"/>
      <c r="CE144" s="592" t="n"/>
      <c r="CF144" s="592" t="n"/>
    </row>
    <row r="145">
      <c r="A145" s="29" t="n"/>
      <c r="B145" s="29" t="n"/>
      <c r="C145" s="6" t="n"/>
      <c r="E145" s="85" t="n"/>
      <c r="F145" s="85" t="n"/>
      <c r="G145" s="85" t="n"/>
      <c r="H145" s="85" t="n"/>
      <c r="I145" s="85" t="n"/>
      <c r="J145" s="85" t="n"/>
      <c r="K145" s="85" t="n"/>
      <c r="L145" s="85" t="n"/>
      <c r="M145" s="138" t="n"/>
      <c r="N145" s="85" t="n"/>
      <c r="O145" s="85" t="n"/>
      <c r="P145" s="85" t="n"/>
      <c r="Q145" s="85" t="n"/>
      <c r="R145" s="85" t="n"/>
      <c r="S145" s="85" t="n"/>
      <c r="T145" s="85" t="n"/>
      <c r="U145" s="145" t="n"/>
      <c r="V145" s="30" t="n"/>
      <c r="W145" s="98" t="n"/>
      <c r="X145" s="23" t="n"/>
      <c r="Y145" s="25" t="n"/>
      <c r="Z145" s="590" t="n"/>
      <c r="AA145" s="25" t="n"/>
      <c r="AB145" s="26" t="n"/>
      <c r="AC145" s="26" t="n"/>
      <c r="AD145" s="26" t="n"/>
      <c r="AE145" s="26" t="n"/>
      <c r="AF145" s="26" t="n"/>
      <c r="AG145" s="26" t="n"/>
      <c r="AH145" s="26" t="n"/>
      <c r="AI145" s="26" t="n"/>
      <c r="AJ145" s="26" t="n"/>
      <c r="AK145" s="101" t="n"/>
      <c r="AL145" s="101" t="n"/>
      <c r="AM145" s="26" t="n"/>
      <c r="AN145" s="26" t="n"/>
      <c r="AO145" s="26" t="n"/>
      <c r="AP145" s="101" t="n"/>
      <c r="AQ145" s="26" t="n"/>
      <c r="AR145" s="101" t="n"/>
      <c r="AS145" s="106" t="n"/>
      <c r="AT145" s="25" t="n"/>
      <c r="AU145" s="25" t="n"/>
      <c r="AV145" s="23" t="n"/>
      <c r="AW145" s="25" t="n"/>
      <c r="AX145" s="26" t="n"/>
      <c r="AY145" s="26" t="n"/>
      <c r="AZ145" s="26" t="n"/>
      <c r="BA145" s="26" t="n"/>
      <c r="BB145" s="26" t="n"/>
      <c r="BC145" s="26" t="n"/>
      <c r="BD145" s="26" t="n"/>
      <c r="BE145" s="26" t="n"/>
      <c r="BF145" s="26" t="n"/>
      <c r="BG145" s="101" t="n"/>
      <c r="BH145" s="101" t="n"/>
      <c r="BI145" s="26" t="n"/>
      <c r="BJ145" s="26" t="n"/>
      <c r="BK145" s="26" t="n"/>
      <c r="BL145" s="101" t="n"/>
      <c r="BM145" s="26" t="n"/>
      <c r="BN145" s="101" t="n"/>
      <c r="BO145" s="591" t="n"/>
      <c r="BP145" s="26" t="n"/>
      <c r="BQ145" s="26" t="n"/>
      <c r="BR145" s="26" t="n"/>
      <c r="BS145" s="26" t="n"/>
      <c r="BT145" s="614" t="n"/>
      <c r="BU145" s="614" t="n"/>
      <c r="BV145" s="593" t="n"/>
      <c r="BW145" s="614" t="n"/>
      <c r="BX145" s="614" t="n"/>
      <c r="BY145" s="615" t="n"/>
      <c r="BZ145" s="614" t="n"/>
      <c r="CA145" s="592">
        <f>IF($E145="FL",$AR145*$BQ145*$BR145*$BU145,$AR145)</f>
        <v/>
      </c>
      <c r="CB145" s="592">
        <f>IF($E145="FL",$BN145*$BQ145*$BR145*$BX145,$BN145)</f>
        <v/>
      </c>
      <c r="CC145" s="592" t="n"/>
      <c r="CD145" s="592" t="n"/>
      <c r="CE145" s="592" t="n"/>
      <c r="CF145" s="592" t="n"/>
    </row>
    <row r="146">
      <c r="A146" s="29" t="n"/>
      <c r="B146" s="29" t="n"/>
      <c r="C146" s="6" t="n"/>
      <c r="E146" s="85" t="n"/>
      <c r="F146" s="85" t="n"/>
      <c r="G146" s="85" t="n"/>
      <c r="H146" s="85" t="n"/>
      <c r="I146" s="85" t="n"/>
      <c r="J146" s="85" t="n"/>
      <c r="K146" s="85" t="n"/>
      <c r="L146" s="85" t="n"/>
      <c r="M146" s="138" t="n"/>
      <c r="N146" s="85" t="n"/>
      <c r="O146" s="85" t="n"/>
      <c r="P146" s="85" t="n"/>
      <c r="Q146" s="85" t="n"/>
      <c r="R146" s="85" t="n"/>
      <c r="S146" s="85" t="n"/>
      <c r="T146" s="85" t="n"/>
      <c r="U146" s="145" t="n"/>
      <c r="V146" s="30" t="n"/>
      <c r="W146" s="98" t="n"/>
      <c r="X146" s="23" t="n"/>
      <c r="Y146" s="25" t="n"/>
      <c r="Z146" s="590" t="n"/>
      <c r="AA146" s="25" t="n"/>
      <c r="AB146" s="26" t="n"/>
      <c r="AC146" s="26" t="n"/>
      <c r="AD146" s="26" t="n"/>
      <c r="AE146" s="26" t="n"/>
      <c r="AF146" s="26" t="n"/>
      <c r="AG146" s="26" t="n"/>
      <c r="AH146" s="26" t="n"/>
      <c r="AI146" s="26" t="n"/>
      <c r="AJ146" s="26" t="n"/>
      <c r="AK146" s="101" t="n"/>
      <c r="AL146" s="101" t="n"/>
      <c r="AM146" s="26" t="n"/>
      <c r="AN146" s="26" t="n"/>
      <c r="AO146" s="26" t="n"/>
      <c r="AP146" s="101" t="n"/>
      <c r="AQ146" s="26" t="n"/>
      <c r="AR146" s="101" t="n"/>
      <c r="AS146" s="106" t="n"/>
      <c r="AT146" s="25" t="n"/>
      <c r="AU146" s="25" t="n"/>
      <c r="AV146" s="23" t="n"/>
      <c r="AW146" s="25" t="n"/>
      <c r="AX146" s="26" t="n"/>
      <c r="AY146" s="26" t="n"/>
      <c r="AZ146" s="26" t="n"/>
      <c r="BA146" s="26" t="n"/>
      <c r="BB146" s="26" t="n"/>
      <c r="BC146" s="26" t="n"/>
      <c r="BD146" s="26" t="n"/>
      <c r="BE146" s="26" t="n"/>
      <c r="BF146" s="26" t="n"/>
      <c r="BG146" s="101" t="n"/>
      <c r="BH146" s="101" t="n"/>
      <c r="BI146" s="26" t="n"/>
      <c r="BJ146" s="26" t="n"/>
      <c r="BK146" s="26" t="n"/>
      <c r="BL146" s="101" t="n"/>
      <c r="BM146" s="26" t="n"/>
      <c r="BN146" s="101" t="n"/>
      <c r="BO146" s="591" t="n"/>
      <c r="BP146" s="26" t="n"/>
      <c r="BQ146" s="26" t="n"/>
      <c r="BR146" s="26" t="n"/>
      <c r="BS146" s="26" t="n"/>
      <c r="BT146" s="614" t="n"/>
      <c r="BU146" s="614" t="n"/>
      <c r="BV146" s="593" t="n"/>
      <c r="BW146" s="614" t="n"/>
      <c r="BX146" s="614" t="n"/>
      <c r="BY146" s="615" t="n"/>
      <c r="BZ146" s="614" t="n"/>
      <c r="CA146" s="592">
        <f>IF($E146="FL",$AR146*$BQ146*$BR146*$BU146,$AR146)</f>
        <v/>
      </c>
      <c r="CB146" s="592">
        <f>IF($E146="FL",$BN146*$BQ146*$BR146*$BX146,$BN146)</f>
        <v/>
      </c>
      <c r="CC146" s="592" t="n"/>
      <c r="CD146" s="592" t="n"/>
      <c r="CE146" s="592" t="n"/>
      <c r="CF146" s="592" t="n"/>
    </row>
    <row r="147">
      <c r="A147" s="29" t="n"/>
      <c r="B147" s="29" t="n"/>
      <c r="C147" s="6" t="n"/>
      <c r="E147" s="85" t="n"/>
      <c r="F147" s="85" t="n"/>
      <c r="G147" s="85" t="n"/>
      <c r="H147" s="85" t="n"/>
      <c r="I147" s="85" t="n"/>
      <c r="J147" s="85" t="n"/>
      <c r="K147" s="85" t="n"/>
      <c r="L147" s="85" t="n"/>
      <c r="M147" s="138" t="n"/>
      <c r="N147" s="85" t="n"/>
      <c r="O147" s="85" t="n"/>
      <c r="P147" s="85" t="n"/>
      <c r="Q147" s="85" t="n"/>
      <c r="R147" s="85" t="n"/>
      <c r="S147" s="85" t="n"/>
      <c r="T147" s="85" t="n"/>
      <c r="U147" s="145" t="n"/>
      <c r="V147" s="30" t="n"/>
      <c r="W147" s="98" t="n"/>
      <c r="X147" s="23" t="n"/>
      <c r="Y147" s="25" t="n"/>
      <c r="Z147" s="590" t="n"/>
      <c r="AA147" s="25" t="n"/>
      <c r="AB147" s="26" t="n"/>
      <c r="AC147" s="26" t="n"/>
      <c r="AD147" s="26" t="n"/>
      <c r="AE147" s="26" t="n"/>
      <c r="AF147" s="26" t="n"/>
      <c r="AG147" s="26" t="n"/>
      <c r="AH147" s="26" t="n"/>
      <c r="AI147" s="26" t="n"/>
      <c r="AJ147" s="26" t="n"/>
      <c r="AK147" s="101" t="n"/>
      <c r="AL147" s="101" t="n"/>
      <c r="AM147" s="26" t="n"/>
      <c r="AN147" s="26" t="n"/>
      <c r="AO147" s="26" t="n"/>
      <c r="AP147" s="101" t="n"/>
      <c r="AQ147" s="26" t="n"/>
      <c r="AR147" s="101" t="n"/>
      <c r="AS147" s="106" t="n"/>
      <c r="AT147" s="25" t="n"/>
      <c r="AU147" s="25" t="n"/>
      <c r="AV147" s="23" t="n"/>
      <c r="AW147" s="25" t="n"/>
      <c r="AX147" s="26" t="n"/>
      <c r="AY147" s="26" t="n"/>
      <c r="AZ147" s="26" t="n"/>
      <c r="BA147" s="26" t="n"/>
      <c r="BB147" s="26" t="n"/>
      <c r="BC147" s="26" t="n"/>
      <c r="BD147" s="26" t="n"/>
      <c r="BE147" s="26" t="n"/>
      <c r="BF147" s="26" t="n"/>
      <c r="BG147" s="101" t="n"/>
      <c r="BH147" s="101" t="n"/>
      <c r="BI147" s="26" t="n"/>
      <c r="BJ147" s="26" t="n"/>
      <c r="BK147" s="26" t="n"/>
      <c r="BL147" s="101" t="n"/>
      <c r="BM147" s="26" t="n"/>
      <c r="BN147" s="101" t="n"/>
      <c r="BO147" s="591" t="n"/>
      <c r="BP147" s="26" t="n"/>
      <c r="BQ147" s="26" t="n"/>
      <c r="BR147" s="26" t="n"/>
      <c r="BS147" s="26" t="n"/>
      <c r="BT147" s="614" t="n"/>
      <c r="BU147" s="614" t="n"/>
      <c r="BV147" s="593" t="n"/>
      <c r="BW147" s="614" t="n"/>
      <c r="BX147" s="614" t="n"/>
      <c r="BY147" s="615" t="n"/>
      <c r="BZ147" s="614" t="n"/>
      <c r="CA147" s="592">
        <f>IF($E147="FL",$AR147*$BQ147*$BR147*$BU147,$AR147)</f>
        <v/>
      </c>
      <c r="CB147" s="592">
        <f>IF($E147="FL",$BN147*$BQ147*$BR147*$BX147,$BN147)</f>
        <v/>
      </c>
      <c r="CC147" s="592" t="n"/>
      <c r="CD147" s="592" t="n"/>
      <c r="CE147" s="592" t="n"/>
      <c r="CF147" s="592" t="n"/>
    </row>
    <row r="148">
      <c r="A148" s="29" t="n"/>
      <c r="B148" s="29" t="n"/>
      <c r="C148" s="6" t="n"/>
      <c r="E148" s="85" t="n"/>
      <c r="F148" s="85" t="n"/>
      <c r="G148" s="85" t="n"/>
      <c r="H148" s="85" t="n"/>
      <c r="I148" s="85" t="n"/>
      <c r="J148" s="85" t="n"/>
      <c r="K148" s="85" t="n"/>
      <c r="L148" s="85" t="n"/>
      <c r="M148" s="138" t="n"/>
      <c r="N148" s="85" t="n"/>
      <c r="O148" s="85" t="n"/>
      <c r="P148" s="85" t="n"/>
      <c r="Q148" s="85" t="n"/>
      <c r="R148" s="85" t="n"/>
      <c r="S148" s="85" t="n"/>
      <c r="T148" s="85" t="n"/>
      <c r="U148" s="145" t="n"/>
      <c r="V148" s="30" t="n"/>
      <c r="W148" s="98" t="n"/>
      <c r="X148" s="23" t="n"/>
      <c r="Y148" s="25" t="n"/>
      <c r="Z148" s="590" t="n"/>
      <c r="AA148" s="25" t="n"/>
      <c r="AB148" s="26" t="n"/>
      <c r="AC148" s="26" t="n"/>
      <c r="AD148" s="26" t="n"/>
      <c r="AE148" s="26" t="n"/>
      <c r="AF148" s="26" t="n"/>
      <c r="AG148" s="26" t="n"/>
      <c r="AH148" s="26" t="n"/>
      <c r="AI148" s="26" t="n"/>
      <c r="AJ148" s="26" t="n"/>
      <c r="AK148" s="101" t="n"/>
      <c r="AL148" s="101" t="n"/>
      <c r="AM148" s="26" t="n"/>
      <c r="AN148" s="26" t="n"/>
      <c r="AO148" s="26" t="n"/>
      <c r="AP148" s="101" t="n"/>
      <c r="AQ148" s="26" t="n"/>
      <c r="AR148" s="101" t="n"/>
      <c r="AS148" s="106" t="n"/>
      <c r="AT148" s="25" t="n"/>
      <c r="AU148" s="25" t="n"/>
      <c r="AV148" s="23" t="n"/>
      <c r="AW148" s="25" t="n"/>
      <c r="AX148" s="26" t="n"/>
      <c r="AY148" s="26" t="n"/>
      <c r="AZ148" s="26" t="n"/>
      <c r="BA148" s="26" t="n"/>
      <c r="BB148" s="26" t="n"/>
      <c r="BC148" s="26" t="n"/>
      <c r="BD148" s="26" t="n"/>
      <c r="BE148" s="26" t="n"/>
      <c r="BF148" s="26" t="n"/>
      <c r="BG148" s="101" t="n"/>
      <c r="BH148" s="101" t="n"/>
      <c r="BI148" s="26" t="n"/>
      <c r="BJ148" s="26" t="n"/>
      <c r="BK148" s="26" t="n"/>
      <c r="BL148" s="101" t="n"/>
      <c r="BM148" s="26" t="n"/>
      <c r="BN148" s="101" t="n"/>
      <c r="BO148" s="591" t="n"/>
      <c r="BP148" s="26" t="n"/>
      <c r="BQ148" s="26" t="n"/>
      <c r="BR148" s="26" t="n"/>
      <c r="BS148" s="26" t="n"/>
      <c r="BT148" s="614" t="n"/>
      <c r="BU148" s="614" t="n"/>
      <c r="BV148" s="593" t="n"/>
      <c r="BW148" s="614" t="n"/>
      <c r="BX148" s="614" t="n"/>
      <c r="BY148" s="615" t="n"/>
      <c r="BZ148" s="614" t="n"/>
      <c r="CA148" s="592">
        <f>IF($E148="FL",$AR148*$BQ148*$BR148*$BU148,$AR148)</f>
        <v/>
      </c>
      <c r="CB148" s="592">
        <f>IF($E148="FL",$BN148*$BQ148*$BR148*$BX148,$BN148)</f>
        <v/>
      </c>
      <c r="CC148" s="592" t="n"/>
      <c r="CD148" s="592" t="n"/>
      <c r="CE148" s="592" t="n"/>
      <c r="CF148" s="592" t="n"/>
    </row>
    <row r="149">
      <c r="A149" s="29" t="n"/>
      <c r="B149" s="29" t="n"/>
      <c r="C149" s="6" t="n"/>
      <c r="E149" s="85" t="n"/>
      <c r="F149" s="85" t="n"/>
      <c r="G149" s="85" t="n"/>
      <c r="H149" s="85" t="n"/>
      <c r="I149" s="85" t="n"/>
      <c r="J149" s="85" t="n"/>
      <c r="K149" s="85" t="n"/>
      <c r="L149" s="85" t="n"/>
      <c r="M149" s="138" t="n"/>
      <c r="N149" s="85" t="n"/>
      <c r="O149" s="85" t="n"/>
      <c r="P149" s="85" t="n"/>
      <c r="Q149" s="85" t="n"/>
      <c r="R149" s="85" t="n"/>
      <c r="S149" s="85" t="n"/>
      <c r="T149" s="85" t="n"/>
      <c r="U149" s="145" t="n"/>
      <c r="V149" s="30" t="n"/>
      <c r="W149" s="98" t="n"/>
      <c r="X149" s="23" t="n"/>
      <c r="Y149" s="25" t="n"/>
      <c r="Z149" s="590" t="n"/>
      <c r="AA149" s="25" t="n"/>
      <c r="AB149" s="26" t="n"/>
      <c r="AC149" s="26" t="n"/>
      <c r="AD149" s="26" t="n"/>
      <c r="AE149" s="26" t="n"/>
      <c r="AF149" s="26" t="n"/>
      <c r="AG149" s="26" t="n"/>
      <c r="AH149" s="26" t="n"/>
      <c r="AI149" s="26" t="n"/>
      <c r="AJ149" s="26" t="n"/>
      <c r="AK149" s="101" t="n"/>
      <c r="AL149" s="101" t="n"/>
      <c r="AM149" s="26" t="n"/>
      <c r="AN149" s="26" t="n"/>
      <c r="AO149" s="26" t="n"/>
      <c r="AP149" s="101" t="n"/>
      <c r="AQ149" s="26" t="n"/>
      <c r="AR149" s="101" t="n"/>
      <c r="AS149" s="106" t="n"/>
      <c r="AT149" s="25" t="n"/>
      <c r="AU149" s="25" t="n"/>
      <c r="AV149" s="23" t="n"/>
      <c r="AW149" s="25" t="n"/>
      <c r="AX149" s="26" t="n"/>
      <c r="AY149" s="26" t="n"/>
      <c r="AZ149" s="26" t="n"/>
      <c r="BA149" s="26" t="n"/>
      <c r="BB149" s="26" t="n"/>
      <c r="BC149" s="26" t="n"/>
      <c r="BD149" s="26" t="n"/>
      <c r="BE149" s="26" t="n"/>
      <c r="BF149" s="26" t="n"/>
      <c r="BG149" s="101" t="n"/>
      <c r="BH149" s="101" t="n"/>
      <c r="BI149" s="26" t="n"/>
      <c r="BJ149" s="26" t="n"/>
      <c r="BK149" s="26" t="n"/>
      <c r="BL149" s="101" t="n"/>
      <c r="BM149" s="26" t="n"/>
      <c r="BN149" s="101" t="n"/>
      <c r="BO149" s="591" t="n"/>
      <c r="BP149" s="26" t="n"/>
      <c r="BQ149" s="26" t="n"/>
      <c r="BR149" s="26" t="n"/>
      <c r="BS149" s="26" t="n"/>
      <c r="BT149" s="614" t="n"/>
      <c r="BU149" s="614" t="n"/>
      <c r="BV149" s="593" t="n"/>
      <c r="BW149" s="614" t="n"/>
      <c r="BX149" s="614" t="n"/>
      <c r="BY149" s="615" t="n"/>
      <c r="BZ149" s="614" t="n"/>
      <c r="CA149" s="592">
        <f>IF($E149="FL",$AR149*$BQ149*$BR149*$BU149,$AR149)</f>
        <v/>
      </c>
      <c r="CB149" s="592">
        <f>IF($E149="FL",$BN149*$BQ149*$BR149*$BX149,$BN149)</f>
        <v/>
      </c>
      <c r="CC149" s="592" t="n"/>
      <c r="CD149" s="592" t="n"/>
      <c r="CE149" s="592" t="n"/>
      <c r="CF149" s="592" t="n"/>
    </row>
    <row r="150">
      <c r="A150" s="29" t="n"/>
      <c r="B150" s="29" t="n"/>
      <c r="C150" s="6" t="n"/>
      <c r="E150" s="85" t="n"/>
      <c r="F150" s="85" t="n"/>
      <c r="G150" s="85" t="n"/>
      <c r="H150" s="85" t="n"/>
      <c r="I150" s="85" t="n"/>
      <c r="J150" s="85" t="n"/>
      <c r="K150" s="85" t="n"/>
      <c r="L150" s="85" t="n"/>
      <c r="M150" s="138" t="n"/>
      <c r="N150" s="85" t="n"/>
      <c r="O150" s="85" t="n"/>
      <c r="P150" s="85" t="n"/>
      <c r="Q150" s="85" t="n"/>
      <c r="R150" s="85" t="n"/>
      <c r="S150" s="85" t="n"/>
      <c r="T150" s="85" t="n"/>
      <c r="U150" s="145" t="n"/>
      <c r="V150" s="30" t="n"/>
      <c r="W150" s="98" t="n"/>
      <c r="X150" s="23" t="n"/>
      <c r="Y150" s="25" t="n"/>
      <c r="Z150" s="590" t="n"/>
      <c r="AA150" s="25" t="n"/>
      <c r="AB150" s="26" t="n"/>
      <c r="AC150" s="26" t="n"/>
      <c r="AD150" s="26" t="n"/>
      <c r="AE150" s="26" t="n"/>
      <c r="AF150" s="26" t="n"/>
      <c r="AG150" s="26" t="n"/>
      <c r="AH150" s="26" t="n"/>
      <c r="AI150" s="26" t="n"/>
      <c r="AJ150" s="26" t="n"/>
      <c r="AK150" s="101" t="n"/>
      <c r="AL150" s="101" t="n"/>
      <c r="AM150" s="26" t="n"/>
      <c r="AN150" s="26" t="n"/>
      <c r="AO150" s="26" t="n"/>
      <c r="AP150" s="101" t="n"/>
      <c r="AQ150" s="26" t="n"/>
      <c r="AR150" s="101" t="n"/>
      <c r="AS150" s="106" t="n"/>
      <c r="AT150" s="25" t="n"/>
      <c r="AU150" s="25" t="n"/>
      <c r="AV150" s="23" t="n"/>
      <c r="AW150" s="25" t="n"/>
      <c r="AX150" s="26" t="n"/>
      <c r="AY150" s="26" t="n"/>
      <c r="AZ150" s="26" t="n"/>
      <c r="BA150" s="26" t="n"/>
      <c r="BB150" s="26" t="n"/>
      <c r="BC150" s="26" t="n"/>
      <c r="BD150" s="26" t="n"/>
      <c r="BE150" s="26" t="n"/>
      <c r="BF150" s="26" t="n"/>
      <c r="BG150" s="101" t="n"/>
      <c r="BH150" s="101" t="n"/>
      <c r="BI150" s="26" t="n"/>
      <c r="BJ150" s="26" t="n"/>
      <c r="BK150" s="26" t="n"/>
      <c r="BL150" s="101" t="n"/>
      <c r="BM150" s="26" t="n"/>
      <c r="BN150" s="101" t="n"/>
      <c r="BO150" s="591" t="n"/>
      <c r="BP150" s="26" t="n"/>
      <c r="BQ150" s="26" t="n"/>
      <c r="BR150" s="26" t="n"/>
      <c r="BS150" s="26" t="n"/>
      <c r="BT150" s="614" t="n"/>
      <c r="BU150" s="614" t="n"/>
      <c r="BV150" s="593" t="n"/>
      <c r="BW150" s="614" t="n"/>
      <c r="BX150" s="614" t="n"/>
      <c r="BY150" s="615" t="n"/>
      <c r="BZ150" s="614" t="n"/>
      <c r="CA150" s="592">
        <f>IF($E150="FL",$AR150*$BQ150*$BR150*$BU150,$AR150)</f>
        <v/>
      </c>
      <c r="CB150" s="592">
        <f>IF($E150="FL",$BN150*$BQ150*$BR150*$BX150,$BN150)</f>
        <v/>
      </c>
      <c r="CC150" s="592" t="n"/>
      <c r="CD150" s="592" t="n"/>
      <c r="CE150" s="592" t="n"/>
      <c r="CF150" s="592" t="n"/>
    </row>
    <row r="151">
      <c r="A151" s="29" t="n"/>
      <c r="B151" s="29" t="n"/>
      <c r="C151" s="6" t="n"/>
      <c r="E151" s="85" t="n"/>
      <c r="F151" s="85" t="n"/>
      <c r="G151" s="85" t="n"/>
      <c r="H151" s="85" t="n"/>
      <c r="I151" s="85" t="n"/>
      <c r="J151" s="85" t="n"/>
      <c r="K151" s="85" t="n"/>
      <c r="L151" s="85" t="n"/>
      <c r="M151" s="138" t="n"/>
      <c r="N151" s="85" t="n"/>
      <c r="O151" s="85" t="n"/>
      <c r="P151" s="85" t="n"/>
      <c r="Q151" s="85" t="n"/>
      <c r="R151" s="85" t="n"/>
      <c r="S151" s="85" t="n"/>
      <c r="T151" s="85" t="n"/>
      <c r="U151" s="145" t="n"/>
      <c r="V151" s="30" t="n"/>
      <c r="W151" s="98" t="n"/>
      <c r="X151" s="23" t="n"/>
      <c r="Y151" s="25" t="n"/>
      <c r="Z151" s="590" t="n"/>
      <c r="AA151" s="25" t="n"/>
      <c r="AB151" s="26" t="n"/>
      <c r="AC151" s="26" t="n"/>
      <c r="AD151" s="26" t="n"/>
      <c r="AE151" s="26" t="n"/>
      <c r="AF151" s="26" t="n"/>
      <c r="AG151" s="26" t="n"/>
      <c r="AH151" s="26" t="n"/>
      <c r="AI151" s="26" t="n"/>
      <c r="AJ151" s="26" t="n"/>
      <c r="AK151" s="101" t="n"/>
      <c r="AL151" s="101" t="n"/>
      <c r="AM151" s="26" t="n"/>
      <c r="AN151" s="26" t="n"/>
      <c r="AO151" s="26" t="n"/>
      <c r="AP151" s="101" t="n"/>
      <c r="AQ151" s="26" t="n"/>
      <c r="AR151" s="101" t="n"/>
      <c r="AS151" s="106" t="n"/>
      <c r="AT151" s="25" t="n"/>
      <c r="AU151" s="25" t="n"/>
      <c r="AV151" s="23" t="n"/>
      <c r="AW151" s="25" t="n"/>
      <c r="AX151" s="26" t="n"/>
      <c r="AY151" s="26" t="n"/>
      <c r="AZ151" s="26" t="n"/>
      <c r="BA151" s="26" t="n"/>
      <c r="BB151" s="26" t="n"/>
      <c r="BC151" s="26" t="n"/>
      <c r="BD151" s="26" t="n"/>
      <c r="BE151" s="26" t="n"/>
      <c r="BF151" s="26" t="n"/>
      <c r="BG151" s="101" t="n"/>
      <c r="BH151" s="101" t="n"/>
      <c r="BI151" s="26" t="n"/>
      <c r="BJ151" s="26" t="n"/>
      <c r="BK151" s="26" t="n"/>
      <c r="BL151" s="101" t="n"/>
      <c r="BM151" s="26" t="n"/>
      <c r="BN151" s="101" t="n"/>
      <c r="BO151" s="591" t="n"/>
      <c r="BP151" s="26" t="n"/>
      <c r="BQ151" s="26" t="n"/>
      <c r="BR151" s="26" t="n"/>
      <c r="BS151" s="26" t="n"/>
      <c r="BT151" s="614" t="n"/>
      <c r="BU151" s="614" t="n"/>
      <c r="BV151" s="593" t="n"/>
      <c r="BW151" s="614" t="n"/>
      <c r="BX151" s="614" t="n"/>
      <c r="BY151" s="615" t="n"/>
      <c r="BZ151" s="614" t="n"/>
      <c r="CA151" s="592">
        <f>IF($E151="FL",$AR151*$BQ151*$BR151*$BU151,$AR151)</f>
        <v/>
      </c>
      <c r="CB151" s="592">
        <f>IF($E151="FL",$BN151*$BQ151*$BR151*$BX151,$BN151)</f>
        <v/>
      </c>
      <c r="CC151" s="592" t="n"/>
      <c r="CD151" s="592" t="n"/>
      <c r="CE151" s="592" t="n"/>
      <c r="CF151" s="592" t="n"/>
    </row>
    <row r="152">
      <c r="A152" s="29" t="n"/>
      <c r="B152" s="29" t="n"/>
      <c r="C152" s="6" t="n"/>
      <c r="E152" s="85" t="n"/>
      <c r="F152" s="85" t="n"/>
      <c r="G152" s="85" t="n"/>
      <c r="H152" s="85" t="n"/>
      <c r="I152" s="85" t="n"/>
      <c r="J152" s="85" t="n"/>
      <c r="K152" s="85" t="n"/>
      <c r="L152" s="85" t="n"/>
      <c r="M152" s="138" t="n"/>
      <c r="N152" s="85" t="n"/>
      <c r="O152" s="85" t="n"/>
      <c r="P152" s="85" t="n"/>
      <c r="Q152" s="85" t="n"/>
      <c r="R152" s="85" t="n"/>
      <c r="S152" s="85" t="n"/>
      <c r="T152" s="85" t="n"/>
      <c r="U152" s="145" t="n"/>
      <c r="V152" s="30" t="n"/>
      <c r="W152" s="98" t="n"/>
      <c r="X152" s="23" t="n"/>
      <c r="Y152" s="25" t="n"/>
      <c r="Z152" s="590" t="n"/>
      <c r="AA152" s="25" t="n"/>
      <c r="AB152" s="26" t="n"/>
      <c r="AC152" s="26" t="n"/>
      <c r="AD152" s="26" t="n"/>
      <c r="AE152" s="26" t="n"/>
      <c r="AF152" s="26" t="n"/>
      <c r="AG152" s="26" t="n"/>
      <c r="AH152" s="26" t="n"/>
      <c r="AI152" s="26" t="n"/>
      <c r="AJ152" s="26" t="n"/>
      <c r="AK152" s="101" t="n"/>
      <c r="AL152" s="101" t="n"/>
      <c r="AM152" s="26" t="n"/>
      <c r="AN152" s="26" t="n"/>
      <c r="AO152" s="26" t="n"/>
      <c r="AP152" s="101" t="n"/>
      <c r="AQ152" s="26" t="n"/>
      <c r="AR152" s="101" t="n"/>
      <c r="AS152" s="106" t="n"/>
      <c r="AT152" s="25" t="n"/>
      <c r="AU152" s="25" t="n"/>
      <c r="AV152" s="23" t="n"/>
      <c r="AW152" s="25" t="n"/>
      <c r="AX152" s="26" t="n"/>
      <c r="AY152" s="26" t="n"/>
      <c r="AZ152" s="26" t="n"/>
      <c r="BA152" s="26" t="n"/>
      <c r="BB152" s="26" t="n"/>
      <c r="BC152" s="26" t="n"/>
      <c r="BD152" s="26" t="n"/>
      <c r="BE152" s="26" t="n"/>
      <c r="BF152" s="26" t="n"/>
      <c r="BG152" s="101" t="n"/>
      <c r="BH152" s="101" t="n"/>
      <c r="BI152" s="26" t="n"/>
      <c r="BJ152" s="26" t="n"/>
      <c r="BK152" s="26" t="n"/>
      <c r="BL152" s="101" t="n"/>
      <c r="BM152" s="26" t="n"/>
      <c r="BN152" s="101" t="n"/>
      <c r="BO152" s="591" t="n"/>
      <c r="BP152" s="26" t="n"/>
      <c r="BQ152" s="26" t="n"/>
      <c r="BR152" s="26" t="n"/>
      <c r="BS152" s="26" t="n"/>
      <c r="BT152" s="614" t="n"/>
      <c r="BU152" s="614" t="n"/>
      <c r="BV152" s="593" t="n"/>
      <c r="BW152" s="614" t="n"/>
      <c r="BX152" s="614" t="n"/>
      <c r="BY152" s="615" t="n"/>
      <c r="BZ152" s="614" t="n"/>
      <c r="CA152" s="592">
        <f>IF($E152="FL",$AR152*$BQ152*$BR152*$BU152,$AR152)</f>
        <v/>
      </c>
      <c r="CB152" s="592">
        <f>IF($E152="FL",$BN152*$BQ152*$BR152*$BX152,$BN152)</f>
        <v/>
      </c>
      <c r="CC152" s="592" t="n"/>
      <c r="CD152" s="592" t="n"/>
      <c r="CE152" s="592" t="n"/>
      <c r="CF152" s="592" t="n"/>
    </row>
    <row r="153">
      <c r="A153" s="29" t="n"/>
      <c r="B153" s="29" t="n"/>
      <c r="C153" s="6" t="n"/>
      <c r="E153" s="85" t="n"/>
      <c r="F153" s="85" t="n"/>
      <c r="G153" s="85" t="n"/>
      <c r="H153" s="85" t="n"/>
      <c r="I153" s="85" t="n"/>
      <c r="J153" s="85" t="n"/>
      <c r="K153" s="85" t="n"/>
      <c r="L153" s="85" t="n"/>
      <c r="M153" s="138" t="n"/>
      <c r="N153" s="85" t="n"/>
      <c r="O153" s="85" t="n"/>
      <c r="P153" s="85" t="n"/>
      <c r="Q153" s="85" t="n"/>
      <c r="R153" s="85" t="n"/>
      <c r="S153" s="85" t="n"/>
      <c r="T153" s="85" t="n"/>
      <c r="U153" s="145" t="n"/>
      <c r="V153" s="30" t="n"/>
      <c r="W153" s="98" t="n"/>
      <c r="X153" s="23" t="n"/>
      <c r="Y153" s="25" t="n"/>
      <c r="Z153" s="590" t="n"/>
      <c r="AA153" s="25" t="n"/>
      <c r="AB153" s="26" t="n"/>
      <c r="AC153" s="26" t="n"/>
      <c r="AD153" s="26" t="n"/>
      <c r="AE153" s="26" t="n"/>
      <c r="AF153" s="26" t="n"/>
      <c r="AG153" s="26" t="n"/>
      <c r="AH153" s="26" t="n"/>
      <c r="AI153" s="26" t="n"/>
      <c r="AJ153" s="26" t="n"/>
      <c r="AK153" s="101" t="n"/>
      <c r="AL153" s="101" t="n"/>
      <c r="AM153" s="26" t="n"/>
      <c r="AN153" s="26" t="n"/>
      <c r="AO153" s="26" t="n"/>
      <c r="AP153" s="101" t="n"/>
      <c r="AQ153" s="26" t="n"/>
      <c r="AR153" s="101" t="n"/>
      <c r="AS153" s="106" t="n"/>
      <c r="AT153" s="25" t="n"/>
      <c r="AU153" s="25" t="n"/>
      <c r="AV153" s="23" t="n"/>
      <c r="AW153" s="25" t="n"/>
      <c r="AX153" s="26" t="n"/>
      <c r="AY153" s="26" t="n"/>
      <c r="AZ153" s="26" t="n"/>
      <c r="BA153" s="26" t="n"/>
      <c r="BB153" s="26" t="n"/>
      <c r="BC153" s="26" t="n"/>
      <c r="BD153" s="26" t="n"/>
      <c r="BE153" s="26" t="n"/>
      <c r="BF153" s="26" t="n"/>
      <c r="BG153" s="101" t="n"/>
      <c r="BH153" s="101" t="n"/>
      <c r="BI153" s="26" t="n"/>
      <c r="BJ153" s="26" t="n"/>
      <c r="BK153" s="26" t="n"/>
      <c r="BL153" s="101" t="n"/>
      <c r="BM153" s="26" t="n"/>
      <c r="BN153" s="101" t="n"/>
      <c r="BO153" s="591" t="n"/>
      <c r="BP153" s="26" t="n"/>
      <c r="BQ153" s="26" t="n"/>
      <c r="BR153" s="26" t="n"/>
      <c r="BS153" s="26" t="n"/>
      <c r="BT153" s="614" t="n"/>
      <c r="BU153" s="614" t="n"/>
      <c r="BV153" s="593" t="n"/>
      <c r="BW153" s="614" t="n"/>
      <c r="BX153" s="614" t="n"/>
      <c r="BY153" s="615" t="n"/>
      <c r="BZ153" s="614" t="n"/>
      <c r="CA153" s="592">
        <f>IF($E153="FL",$AR153*$BQ153*$BR153*$BU153,$AR153)</f>
        <v/>
      </c>
      <c r="CB153" s="592">
        <f>IF($E153="FL",$BN153*$BQ153*$BR153*$BX153,$BN153)</f>
        <v/>
      </c>
      <c r="CC153" s="592" t="n"/>
      <c r="CD153" s="592" t="n"/>
      <c r="CE153" s="592" t="n"/>
      <c r="CF153" s="592" t="n"/>
    </row>
    <row r="154">
      <c r="A154" s="29" t="n"/>
      <c r="B154" s="29" t="n"/>
      <c r="C154" s="6" t="n"/>
      <c r="E154" s="85" t="n"/>
      <c r="F154" s="85" t="n"/>
      <c r="G154" s="85" t="n"/>
      <c r="H154" s="85" t="n"/>
      <c r="I154" s="85" t="n"/>
      <c r="J154" s="85" t="n"/>
      <c r="K154" s="85" t="n"/>
      <c r="L154" s="85" t="n"/>
      <c r="M154" s="138" t="n"/>
      <c r="N154" s="85" t="n"/>
      <c r="O154" s="85" t="n"/>
      <c r="P154" s="85" t="n"/>
      <c r="Q154" s="85" t="n"/>
      <c r="R154" s="85" t="n"/>
      <c r="S154" s="85" t="n"/>
      <c r="T154" s="85" t="n"/>
      <c r="U154" s="145" t="n"/>
      <c r="V154" s="30" t="n"/>
      <c r="W154" s="98" t="n"/>
      <c r="X154" s="23" t="n"/>
      <c r="Y154" s="25" t="n"/>
      <c r="Z154" s="590" t="n"/>
      <c r="AA154" s="25" t="n"/>
      <c r="AB154" s="26" t="n"/>
      <c r="AC154" s="26" t="n"/>
      <c r="AD154" s="26" t="n"/>
      <c r="AE154" s="26" t="n"/>
      <c r="AF154" s="26" t="n"/>
      <c r="AG154" s="26" t="n"/>
      <c r="AH154" s="26" t="n"/>
      <c r="AI154" s="26" t="n"/>
      <c r="AJ154" s="26" t="n"/>
      <c r="AK154" s="101" t="n"/>
      <c r="AL154" s="101" t="n"/>
      <c r="AM154" s="26" t="n"/>
      <c r="AN154" s="26" t="n"/>
      <c r="AO154" s="26" t="n"/>
      <c r="AP154" s="101" t="n"/>
      <c r="AQ154" s="26" t="n"/>
      <c r="AR154" s="101" t="n"/>
      <c r="AS154" s="106" t="n"/>
      <c r="AT154" s="25" t="n"/>
      <c r="AU154" s="25" t="n"/>
      <c r="AV154" s="23" t="n"/>
      <c r="AW154" s="25" t="n"/>
      <c r="AX154" s="26" t="n"/>
      <c r="AY154" s="26" t="n"/>
      <c r="AZ154" s="26" t="n"/>
      <c r="BA154" s="26" t="n"/>
      <c r="BB154" s="26" t="n"/>
      <c r="BC154" s="26" t="n"/>
      <c r="BD154" s="26" t="n"/>
      <c r="BE154" s="26" t="n"/>
      <c r="BF154" s="26" t="n"/>
      <c r="BG154" s="101" t="n"/>
      <c r="BH154" s="101" t="n"/>
      <c r="BI154" s="26" t="n"/>
      <c r="BJ154" s="26" t="n"/>
      <c r="BK154" s="26" t="n"/>
      <c r="BL154" s="101" t="n"/>
      <c r="BM154" s="26" t="n"/>
      <c r="BN154" s="101" t="n"/>
      <c r="BO154" s="591" t="n"/>
      <c r="BP154" s="26" t="n"/>
      <c r="BQ154" s="26" t="n"/>
      <c r="BR154" s="26" t="n"/>
      <c r="BS154" s="26" t="n"/>
      <c r="BT154" s="614" t="n"/>
      <c r="BU154" s="614" t="n"/>
      <c r="BV154" s="593" t="n"/>
      <c r="BW154" s="614" t="n"/>
      <c r="BX154" s="614" t="n"/>
      <c r="BY154" s="615" t="n"/>
      <c r="BZ154" s="614" t="n"/>
      <c r="CA154" s="592">
        <f>IF($E154="FL",$AR154*$BQ154*$BR154*$BU154,$AR154)</f>
        <v/>
      </c>
      <c r="CB154" s="592">
        <f>IF($E154="FL",$BN154*$BQ154*$BR154*$BX154,$BN154)</f>
        <v/>
      </c>
      <c r="CC154" s="592" t="n"/>
      <c r="CD154" s="592" t="n"/>
      <c r="CE154" s="592" t="n"/>
      <c r="CF154" s="592" t="n"/>
    </row>
    <row r="155">
      <c r="A155" s="29" t="n"/>
      <c r="B155" s="29" t="n"/>
      <c r="C155" s="6" t="n"/>
      <c r="E155" s="85" t="n"/>
      <c r="F155" s="85" t="n"/>
      <c r="G155" s="85" t="n"/>
      <c r="H155" s="85" t="n"/>
      <c r="I155" s="85" t="n"/>
      <c r="J155" s="85" t="n"/>
      <c r="K155" s="85" t="n"/>
      <c r="L155" s="85" t="n"/>
      <c r="M155" s="138" t="n"/>
      <c r="N155" s="85" t="n"/>
      <c r="O155" s="85" t="n"/>
      <c r="P155" s="85" t="n"/>
      <c r="Q155" s="85" t="n"/>
      <c r="R155" s="85" t="n"/>
      <c r="S155" s="85" t="n"/>
      <c r="T155" s="85" t="n"/>
      <c r="U155" s="145" t="n"/>
      <c r="V155" s="30" t="n"/>
      <c r="W155" s="98" t="n"/>
      <c r="X155" s="23" t="n"/>
      <c r="Y155" s="25" t="n"/>
      <c r="Z155" s="590" t="n"/>
      <c r="AA155" s="25" t="n"/>
      <c r="AB155" s="26" t="n"/>
      <c r="AC155" s="26" t="n"/>
      <c r="AD155" s="26" t="n"/>
      <c r="AE155" s="26" t="n"/>
      <c r="AF155" s="26" t="n"/>
      <c r="AG155" s="26" t="n"/>
      <c r="AH155" s="26" t="n"/>
      <c r="AI155" s="26" t="n"/>
      <c r="AJ155" s="26" t="n"/>
      <c r="AK155" s="101" t="n"/>
      <c r="AL155" s="101" t="n"/>
      <c r="AM155" s="26" t="n"/>
      <c r="AN155" s="26" t="n"/>
      <c r="AO155" s="26" t="n"/>
      <c r="AP155" s="101" t="n"/>
      <c r="AQ155" s="26" t="n"/>
      <c r="AR155" s="101" t="n"/>
      <c r="AS155" s="106" t="n"/>
      <c r="AT155" s="25" t="n"/>
      <c r="AU155" s="25" t="n"/>
      <c r="AV155" s="23" t="n"/>
      <c r="AW155" s="25" t="n"/>
      <c r="AX155" s="26" t="n"/>
      <c r="AY155" s="26" t="n"/>
      <c r="AZ155" s="26" t="n"/>
      <c r="BA155" s="26" t="n"/>
      <c r="BB155" s="26" t="n"/>
      <c r="BC155" s="26" t="n"/>
      <c r="BD155" s="26" t="n"/>
      <c r="BE155" s="26" t="n"/>
      <c r="BF155" s="26" t="n"/>
      <c r="BG155" s="101" t="n"/>
      <c r="BH155" s="101" t="n"/>
      <c r="BI155" s="26" t="n"/>
      <c r="BJ155" s="26" t="n"/>
      <c r="BK155" s="26" t="n"/>
      <c r="BL155" s="101" t="n"/>
      <c r="BM155" s="26" t="n"/>
      <c r="BN155" s="101" t="n"/>
      <c r="BO155" s="591" t="n"/>
      <c r="BP155" s="26" t="n"/>
      <c r="BQ155" s="26" t="n"/>
      <c r="BR155" s="26" t="n"/>
      <c r="BS155" s="26" t="n"/>
      <c r="BT155" s="614" t="n"/>
      <c r="BU155" s="614" t="n"/>
      <c r="BV155" s="593" t="n"/>
      <c r="BW155" s="614" t="n"/>
      <c r="BX155" s="614" t="n"/>
      <c r="BY155" s="615" t="n"/>
      <c r="BZ155" s="614" t="n"/>
      <c r="CA155" s="592">
        <f>IF($E155="FL",$AR155*$BQ155*$BR155*$BU155,$AR155)</f>
        <v/>
      </c>
      <c r="CB155" s="592">
        <f>IF($E155="FL",$BN155*$BQ155*$BR155*$BX155,$BN155)</f>
        <v/>
      </c>
      <c r="CC155" s="592" t="n"/>
      <c r="CD155" s="592" t="n"/>
      <c r="CE155" s="592" t="n"/>
      <c r="CF155" s="592" t="n"/>
    </row>
    <row r="156">
      <c r="A156" s="29" t="n"/>
      <c r="B156" s="29" t="n"/>
      <c r="C156" s="6" t="n"/>
      <c r="E156" s="85" t="n"/>
      <c r="F156" s="85" t="n"/>
      <c r="G156" s="85" t="n"/>
      <c r="H156" s="85" t="n"/>
      <c r="I156" s="85" t="n"/>
      <c r="J156" s="85" t="n"/>
      <c r="K156" s="85" t="n"/>
      <c r="L156" s="85" t="n"/>
      <c r="M156" s="138" t="n"/>
      <c r="N156" s="85" t="n"/>
      <c r="O156" s="85" t="n"/>
      <c r="P156" s="85" t="n"/>
      <c r="Q156" s="85" t="n"/>
      <c r="R156" s="85" t="n"/>
      <c r="S156" s="85" t="n"/>
      <c r="T156" s="85" t="n"/>
      <c r="U156" s="145" t="n"/>
      <c r="V156" s="30" t="n"/>
      <c r="W156" s="98" t="n"/>
      <c r="X156" s="23" t="n"/>
      <c r="Y156" s="25" t="n"/>
      <c r="Z156" s="590" t="n"/>
      <c r="AA156" s="25" t="n"/>
      <c r="AB156" s="26" t="n"/>
      <c r="AC156" s="26" t="n"/>
      <c r="AD156" s="26" t="n"/>
      <c r="AE156" s="26" t="n"/>
      <c r="AF156" s="26" t="n"/>
      <c r="AG156" s="26" t="n"/>
      <c r="AH156" s="26" t="n"/>
      <c r="AI156" s="26" t="n"/>
      <c r="AJ156" s="26" t="n"/>
      <c r="AK156" s="101" t="n"/>
      <c r="AL156" s="101" t="n"/>
      <c r="AM156" s="26" t="n"/>
      <c r="AN156" s="26" t="n"/>
      <c r="AO156" s="26" t="n"/>
      <c r="AP156" s="101" t="n"/>
      <c r="AQ156" s="26" t="n"/>
      <c r="AR156" s="101" t="n"/>
      <c r="AS156" s="106" t="n"/>
      <c r="AT156" s="25" t="n"/>
      <c r="AU156" s="25" t="n"/>
      <c r="AV156" s="23" t="n"/>
      <c r="AW156" s="25" t="n"/>
      <c r="AX156" s="26" t="n"/>
      <c r="AY156" s="26" t="n"/>
      <c r="AZ156" s="26" t="n"/>
      <c r="BA156" s="26" t="n"/>
      <c r="BB156" s="26" t="n"/>
      <c r="BC156" s="26" t="n"/>
      <c r="BD156" s="26" t="n"/>
      <c r="BE156" s="26" t="n"/>
      <c r="BF156" s="26" t="n"/>
      <c r="BG156" s="101" t="n"/>
      <c r="BH156" s="101" t="n"/>
      <c r="BI156" s="26" t="n"/>
      <c r="BJ156" s="26" t="n"/>
      <c r="BK156" s="26" t="n"/>
      <c r="BL156" s="101" t="n"/>
      <c r="BM156" s="26" t="n"/>
      <c r="BN156" s="101" t="n"/>
      <c r="BO156" s="591" t="n"/>
      <c r="BP156" s="26" t="n"/>
      <c r="BQ156" s="26" t="n"/>
      <c r="BR156" s="26" t="n"/>
      <c r="BS156" s="26" t="n"/>
      <c r="BT156" s="614" t="n"/>
      <c r="BU156" s="614" t="n"/>
      <c r="BV156" s="593" t="n"/>
      <c r="BW156" s="614" t="n"/>
      <c r="BX156" s="614" t="n"/>
      <c r="BY156" s="615" t="n"/>
      <c r="BZ156" s="614" t="n"/>
      <c r="CA156" s="592">
        <f>IF($E156="FL",$AR156*$BQ156*$BR156*$BU156,$AR156)</f>
        <v/>
      </c>
      <c r="CB156" s="592">
        <f>IF($E156="FL",$BN156*$BQ156*$BR156*$BX156,$BN156)</f>
        <v/>
      </c>
      <c r="CC156" s="592" t="n"/>
      <c r="CD156" s="592" t="n"/>
      <c r="CE156" s="592" t="n"/>
      <c r="CF156" s="592" t="n"/>
    </row>
    <row r="157">
      <c r="A157" s="29" t="n"/>
      <c r="B157" s="29" t="n"/>
      <c r="C157" s="6" t="n"/>
      <c r="E157" s="85" t="n"/>
      <c r="F157" s="85" t="n"/>
      <c r="G157" s="85" t="n"/>
      <c r="H157" s="85" t="n"/>
      <c r="I157" s="85" t="n"/>
      <c r="J157" s="85" t="n"/>
      <c r="K157" s="85" t="n"/>
      <c r="L157" s="85" t="n"/>
      <c r="M157" s="138" t="n"/>
      <c r="N157" s="85" t="n"/>
      <c r="O157" s="85" t="n"/>
      <c r="P157" s="85" t="n"/>
      <c r="Q157" s="85" t="n"/>
      <c r="R157" s="85" t="n"/>
      <c r="S157" s="85" t="n"/>
      <c r="T157" s="85" t="n"/>
      <c r="U157" s="145" t="n"/>
      <c r="V157" s="30" t="n"/>
      <c r="W157" s="98" t="n"/>
      <c r="X157" s="23" t="n"/>
      <c r="Y157" s="25" t="n"/>
      <c r="Z157" s="590" t="n"/>
      <c r="AA157" s="25" t="n"/>
      <c r="AB157" s="26" t="n"/>
      <c r="AC157" s="26" t="n"/>
      <c r="AD157" s="26" t="n"/>
      <c r="AE157" s="26" t="n"/>
      <c r="AF157" s="26" t="n"/>
      <c r="AG157" s="26" t="n"/>
      <c r="AH157" s="26" t="n"/>
      <c r="AI157" s="26" t="n"/>
      <c r="AJ157" s="26" t="n"/>
      <c r="AK157" s="101" t="n"/>
      <c r="AL157" s="101" t="n"/>
      <c r="AM157" s="26" t="n"/>
      <c r="AN157" s="26" t="n"/>
      <c r="AO157" s="26" t="n"/>
      <c r="AP157" s="101" t="n"/>
      <c r="AQ157" s="26" t="n"/>
      <c r="AR157" s="101" t="n"/>
      <c r="AS157" s="106" t="n"/>
      <c r="AT157" s="25" t="n"/>
      <c r="AU157" s="25" t="n"/>
      <c r="AV157" s="23" t="n"/>
      <c r="AW157" s="25" t="n"/>
      <c r="AX157" s="26" t="n"/>
      <c r="AY157" s="26" t="n"/>
      <c r="AZ157" s="26" t="n"/>
      <c r="BA157" s="26" t="n"/>
      <c r="BB157" s="26" t="n"/>
      <c r="BC157" s="26" t="n"/>
      <c r="BD157" s="26" t="n"/>
      <c r="BE157" s="26" t="n"/>
      <c r="BF157" s="26" t="n"/>
      <c r="BG157" s="101" t="n"/>
      <c r="BH157" s="101" t="n"/>
      <c r="BI157" s="26" t="n"/>
      <c r="BJ157" s="26" t="n"/>
      <c r="BK157" s="26" t="n"/>
      <c r="BL157" s="101" t="n"/>
      <c r="BM157" s="26" t="n"/>
      <c r="BN157" s="101" t="n"/>
      <c r="BO157" s="591" t="n"/>
      <c r="BP157" s="26" t="n"/>
      <c r="BQ157" s="26" t="n"/>
      <c r="BR157" s="26" t="n"/>
      <c r="BS157" s="26" t="n"/>
      <c r="BT157" s="614" t="n"/>
      <c r="BU157" s="614" t="n"/>
      <c r="BV157" s="593" t="n"/>
      <c r="BW157" s="614" t="n"/>
      <c r="BX157" s="614" t="n"/>
      <c r="BY157" s="615" t="n"/>
      <c r="BZ157" s="614" t="n"/>
      <c r="CA157" s="592">
        <f>IF($E157="FL",$AR157*$BQ157*$BR157*$BU157,$AR157)</f>
        <v/>
      </c>
      <c r="CB157" s="592">
        <f>IF($E157="FL",$BN157*$BQ157*$BR157*$BX157,$BN157)</f>
        <v/>
      </c>
      <c r="CC157" s="592" t="n"/>
      <c r="CD157" s="592" t="n"/>
      <c r="CE157" s="592" t="n"/>
      <c r="CF157" s="592" t="n"/>
    </row>
    <row r="158">
      <c r="A158" s="29" t="n"/>
      <c r="B158" s="29" t="n"/>
      <c r="C158" s="6" t="n"/>
      <c r="E158" s="85" t="n"/>
      <c r="F158" s="85" t="n"/>
      <c r="G158" s="85" t="n"/>
      <c r="H158" s="85" t="n"/>
      <c r="I158" s="85" t="n"/>
      <c r="J158" s="85" t="n"/>
      <c r="K158" s="85" t="n"/>
      <c r="L158" s="85" t="n"/>
      <c r="M158" s="138" t="n"/>
      <c r="N158" s="85" t="n"/>
      <c r="O158" s="85" t="n"/>
      <c r="P158" s="85" t="n"/>
      <c r="Q158" s="85" t="n"/>
      <c r="R158" s="85" t="n"/>
      <c r="S158" s="85" t="n"/>
      <c r="T158" s="85" t="n"/>
      <c r="U158" s="145" t="n"/>
      <c r="V158" s="30" t="n"/>
      <c r="W158" s="98" t="n"/>
      <c r="X158" s="23" t="n"/>
      <c r="Y158" s="25" t="n"/>
      <c r="Z158" s="590" t="n"/>
      <c r="AA158" s="25" t="n"/>
      <c r="AB158" s="26" t="n"/>
      <c r="AC158" s="26" t="n"/>
      <c r="AD158" s="26" t="n"/>
      <c r="AE158" s="26" t="n"/>
      <c r="AF158" s="26" t="n"/>
      <c r="AG158" s="26" t="n"/>
      <c r="AH158" s="26" t="n"/>
      <c r="AI158" s="26" t="n"/>
      <c r="AJ158" s="26" t="n"/>
      <c r="AK158" s="101" t="n"/>
      <c r="AL158" s="101" t="n"/>
      <c r="AM158" s="26" t="n"/>
      <c r="AN158" s="26" t="n"/>
      <c r="AO158" s="26" t="n"/>
      <c r="AP158" s="101" t="n"/>
      <c r="AQ158" s="26" t="n"/>
      <c r="AR158" s="101" t="n"/>
      <c r="AS158" s="106" t="n"/>
      <c r="AT158" s="25" t="n"/>
      <c r="AU158" s="25" t="n"/>
      <c r="AV158" s="23" t="n"/>
      <c r="AW158" s="25" t="n"/>
      <c r="AX158" s="26" t="n"/>
      <c r="AY158" s="26" t="n"/>
      <c r="AZ158" s="26" t="n"/>
      <c r="BA158" s="26" t="n"/>
      <c r="BB158" s="26" t="n"/>
      <c r="BC158" s="26" t="n"/>
      <c r="BD158" s="26" t="n"/>
      <c r="BE158" s="26" t="n"/>
      <c r="BF158" s="26" t="n"/>
      <c r="BG158" s="101" t="n"/>
      <c r="BH158" s="101" t="n"/>
      <c r="BI158" s="26" t="n"/>
      <c r="BJ158" s="26" t="n"/>
      <c r="BK158" s="26" t="n"/>
      <c r="BL158" s="101" t="n"/>
      <c r="BM158" s="26" t="n"/>
      <c r="BN158" s="101" t="n"/>
      <c r="BO158" s="591" t="n"/>
      <c r="BP158" s="26" t="n"/>
      <c r="BQ158" s="26" t="n"/>
      <c r="BR158" s="26" t="n"/>
      <c r="BS158" s="26" t="n"/>
      <c r="BT158" s="614" t="n"/>
      <c r="BU158" s="614" t="n"/>
      <c r="BV158" s="593" t="n"/>
      <c r="BW158" s="614" t="n"/>
      <c r="BX158" s="614" t="n"/>
      <c r="BY158" s="615" t="n"/>
      <c r="BZ158" s="614" t="n"/>
      <c r="CA158" s="592">
        <f>IF($E158="FL",$AR158*$BQ158*$BR158*$BU158,$AR158)</f>
        <v/>
      </c>
      <c r="CB158" s="592">
        <f>IF($E158="FL",$BN158*$BQ158*$BR158*$BX158,$BN158)</f>
        <v/>
      </c>
      <c r="CC158" s="592" t="n"/>
      <c r="CD158" s="592" t="n"/>
      <c r="CE158" s="592" t="n"/>
      <c r="CF158" s="592" t="n"/>
    </row>
    <row r="159">
      <c r="A159" s="29" t="n"/>
      <c r="B159" s="29" t="n"/>
      <c r="C159" s="6" t="n"/>
      <c r="E159" s="85" t="n"/>
      <c r="F159" s="85" t="n"/>
      <c r="G159" s="85" t="n"/>
      <c r="H159" s="85" t="n"/>
      <c r="I159" s="85" t="n"/>
      <c r="J159" s="85" t="n"/>
      <c r="K159" s="85" t="n"/>
      <c r="L159" s="85" t="n"/>
      <c r="M159" s="138" t="n"/>
      <c r="N159" s="85" t="n"/>
      <c r="O159" s="85" t="n"/>
      <c r="P159" s="85" t="n"/>
      <c r="Q159" s="85" t="n"/>
      <c r="R159" s="85" t="n"/>
      <c r="S159" s="85" t="n"/>
      <c r="T159" s="85" t="n"/>
      <c r="U159" s="145" t="n"/>
      <c r="V159" s="30" t="n"/>
      <c r="W159" s="98" t="n"/>
      <c r="X159" s="23" t="n"/>
      <c r="Y159" s="25" t="n"/>
      <c r="Z159" s="590" t="n"/>
      <c r="AA159" s="25" t="n"/>
      <c r="AB159" s="26" t="n"/>
      <c r="AC159" s="26" t="n"/>
      <c r="AD159" s="26" t="n"/>
      <c r="AE159" s="26" t="n"/>
      <c r="AF159" s="26" t="n"/>
      <c r="AG159" s="26" t="n"/>
      <c r="AH159" s="26" t="n"/>
      <c r="AI159" s="26" t="n"/>
      <c r="AJ159" s="26" t="n"/>
      <c r="AK159" s="101" t="n"/>
      <c r="AL159" s="101" t="n"/>
      <c r="AM159" s="26" t="n"/>
      <c r="AN159" s="26" t="n"/>
      <c r="AO159" s="26" t="n"/>
      <c r="AP159" s="101" t="n"/>
      <c r="AQ159" s="26" t="n"/>
      <c r="AR159" s="101" t="n"/>
      <c r="AS159" s="106" t="n"/>
      <c r="AT159" s="25" t="n"/>
      <c r="AU159" s="25" t="n"/>
      <c r="AV159" s="23" t="n"/>
      <c r="AW159" s="25" t="n"/>
      <c r="AX159" s="26" t="n"/>
      <c r="AY159" s="26" t="n"/>
      <c r="AZ159" s="26" t="n"/>
      <c r="BA159" s="26" t="n"/>
      <c r="BB159" s="26" t="n"/>
      <c r="BC159" s="26" t="n"/>
      <c r="BD159" s="26" t="n"/>
      <c r="BE159" s="26" t="n"/>
      <c r="BF159" s="26" t="n"/>
      <c r="BG159" s="101" t="n"/>
      <c r="BH159" s="101" t="n"/>
      <c r="BI159" s="26" t="n"/>
      <c r="BJ159" s="26" t="n"/>
      <c r="BK159" s="26" t="n"/>
      <c r="BL159" s="101" t="n"/>
      <c r="BM159" s="26" t="n"/>
      <c r="BN159" s="101" t="n"/>
      <c r="BO159" s="591" t="n"/>
      <c r="BP159" s="26" t="n"/>
      <c r="BQ159" s="26" t="n"/>
      <c r="BR159" s="26" t="n"/>
      <c r="BS159" s="26" t="n"/>
      <c r="BT159" s="614" t="n"/>
      <c r="BU159" s="614" t="n"/>
      <c r="BV159" s="593" t="n"/>
      <c r="BW159" s="614" t="n"/>
      <c r="BX159" s="614" t="n"/>
      <c r="BY159" s="615" t="n"/>
      <c r="BZ159" s="614" t="n"/>
      <c r="CA159" s="614" t="n"/>
      <c r="CB159" s="614" t="n"/>
      <c r="CC159" s="614" t="n"/>
      <c r="CD159" s="614" t="n"/>
      <c r="CE159" s="614" t="n"/>
      <c r="CF159" s="614" t="n"/>
    </row>
    <row r="160">
      <c r="A160" s="29" t="n"/>
      <c r="B160" s="29" t="n"/>
      <c r="C160" s="6" t="n"/>
      <c r="E160" s="85" t="n"/>
      <c r="F160" s="85" t="n"/>
      <c r="G160" s="85" t="n"/>
      <c r="H160" s="85" t="n"/>
      <c r="I160" s="85" t="n"/>
      <c r="J160" s="85" t="n"/>
      <c r="K160" s="85" t="n"/>
      <c r="L160" s="85" t="n"/>
      <c r="M160" s="138" t="n"/>
      <c r="N160" s="85" t="n"/>
      <c r="O160" s="85" t="n"/>
      <c r="P160" s="85" t="n"/>
      <c r="Q160" s="85" t="n"/>
      <c r="R160" s="85" t="n"/>
      <c r="S160" s="85" t="n"/>
      <c r="T160" s="85" t="n"/>
      <c r="U160" s="145" t="n"/>
      <c r="V160" s="30" t="n"/>
      <c r="W160" s="98" t="n"/>
      <c r="X160" s="23" t="n"/>
      <c r="Y160" s="25" t="n"/>
      <c r="Z160" s="590" t="n"/>
      <c r="AA160" s="25" t="n"/>
      <c r="AB160" s="26" t="n"/>
      <c r="AC160" s="26" t="n"/>
      <c r="AD160" s="26" t="n"/>
      <c r="AE160" s="26" t="n"/>
      <c r="AF160" s="26" t="n"/>
      <c r="AG160" s="26" t="n"/>
      <c r="AH160" s="26" t="n"/>
      <c r="AI160" s="26" t="n"/>
      <c r="AJ160" s="26" t="n"/>
      <c r="AK160" s="101" t="n"/>
      <c r="AL160" s="101" t="n"/>
      <c r="AM160" s="26" t="n"/>
      <c r="AN160" s="26" t="n"/>
      <c r="AO160" s="26" t="n"/>
      <c r="AP160" s="101" t="n"/>
      <c r="AQ160" s="26" t="n"/>
      <c r="AR160" s="101" t="n"/>
      <c r="AS160" s="106" t="n"/>
      <c r="AT160" s="25" t="n"/>
      <c r="AU160" s="25" t="n"/>
      <c r="AV160" s="23" t="n"/>
      <c r="AW160" s="25" t="n"/>
      <c r="AX160" s="26" t="n"/>
      <c r="AY160" s="26" t="n"/>
      <c r="AZ160" s="26" t="n"/>
      <c r="BA160" s="26" t="n"/>
      <c r="BB160" s="26" t="n"/>
      <c r="BC160" s="26" t="n"/>
      <c r="BD160" s="26" t="n"/>
      <c r="BE160" s="26" t="n"/>
      <c r="BF160" s="26" t="n"/>
      <c r="BG160" s="101" t="n"/>
      <c r="BH160" s="101" t="n"/>
      <c r="BI160" s="26" t="n"/>
      <c r="BJ160" s="26" t="n"/>
      <c r="BK160" s="26" t="n"/>
      <c r="BL160" s="101" t="n"/>
      <c r="BM160" s="26" t="n"/>
      <c r="BN160" s="101" t="n"/>
      <c r="BO160" s="591" t="n"/>
      <c r="BP160" s="26" t="n"/>
      <c r="BQ160" s="26" t="n"/>
      <c r="BR160" s="26" t="n"/>
      <c r="BS160" s="26" t="n"/>
      <c r="BT160" s="614" t="n"/>
      <c r="BU160" s="614" t="n"/>
      <c r="BV160" s="593" t="n"/>
      <c r="BW160" s="614" t="n"/>
      <c r="BX160" s="614" t="n"/>
      <c r="BY160" s="615" t="n"/>
      <c r="BZ160" s="614" t="n"/>
      <c r="CA160" s="614" t="n"/>
      <c r="CB160" s="614" t="n"/>
      <c r="CC160" s="614" t="n"/>
      <c r="CD160" s="614" t="n"/>
      <c r="CE160" s="614" t="n"/>
      <c r="CF160" s="614" t="n"/>
    </row>
    <row r="161">
      <c r="A161" s="29" t="n"/>
      <c r="B161" s="29" t="n"/>
      <c r="C161" s="6" t="n"/>
      <c r="E161" s="85" t="n"/>
      <c r="F161" s="85" t="n"/>
      <c r="G161" s="85" t="n"/>
      <c r="H161" s="85" t="n"/>
      <c r="I161" s="85" t="n"/>
      <c r="J161" s="85" t="n"/>
      <c r="K161" s="85" t="n"/>
      <c r="L161" s="85" t="n"/>
      <c r="M161" s="138" t="n"/>
      <c r="N161" s="85" t="n"/>
      <c r="O161" s="85" t="n"/>
      <c r="P161" s="85" t="n"/>
      <c r="Q161" s="85" t="n"/>
      <c r="R161" s="85" t="n"/>
      <c r="S161" s="85" t="n"/>
      <c r="T161" s="85" t="n"/>
      <c r="U161" s="145" t="n"/>
      <c r="V161" s="30" t="n"/>
      <c r="W161" s="98" t="n"/>
      <c r="X161" s="23" t="n"/>
      <c r="Y161" s="25" t="n"/>
      <c r="Z161" s="590" t="n"/>
      <c r="AA161" s="25" t="n"/>
      <c r="AB161" s="26" t="n"/>
      <c r="AC161" s="26" t="n"/>
      <c r="AD161" s="26" t="n"/>
      <c r="AE161" s="26" t="n"/>
      <c r="AF161" s="26" t="n"/>
      <c r="AG161" s="26" t="n"/>
      <c r="AH161" s="26" t="n"/>
      <c r="AI161" s="26" t="n"/>
      <c r="AJ161" s="26" t="n"/>
      <c r="AK161" s="101" t="n"/>
      <c r="AL161" s="101" t="n"/>
      <c r="AM161" s="26" t="n"/>
      <c r="AN161" s="26" t="n"/>
      <c r="AO161" s="26" t="n"/>
      <c r="AP161" s="101" t="n"/>
      <c r="AQ161" s="26" t="n"/>
      <c r="AR161" s="101" t="n"/>
      <c r="AS161" s="106" t="n"/>
      <c r="AT161" s="25" t="n"/>
      <c r="AU161" s="25" t="n"/>
      <c r="AV161" s="23" t="n"/>
      <c r="AW161" s="25" t="n"/>
      <c r="AX161" s="26" t="n"/>
      <c r="AY161" s="26" t="n"/>
      <c r="AZ161" s="26" t="n"/>
      <c r="BA161" s="26" t="n"/>
      <c r="BB161" s="26" t="n"/>
      <c r="BC161" s="26" t="n"/>
      <c r="BD161" s="26" t="n"/>
      <c r="BE161" s="26" t="n"/>
      <c r="BF161" s="26" t="n"/>
      <c r="BG161" s="101" t="n"/>
      <c r="BH161" s="101" t="n"/>
      <c r="BI161" s="26" t="n"/>
      <c r="BJ161" s="26" t="n"/>
      <c r="BK161" s="26" t="n"/>
      <c r="BL161" s="101" t="n"/>
      <c r="BM161" s="26" t="n"/>
      <c r="BN161" s="101" t="n"/>
      <c r="BO161" s="591" t="n"/>
      <c r="BP161" s="26" t="n"/>
      <c r="BQ161" s="26" t="n"/>
      <c r="BR161" s="26" t="n"/>
      <c r="BS161" s="26" t="n"/>
      <c r="BT161" s="614" t="n"/>
      <c r="BU161" s="614" t="n"/>
      <c r="BV161" s="593" t="n"/>
      <c r="BW161" s="614" t="n"/>
      <c r="BX161" s="614" t="n"/>
      <c r="BY161" s="615" t="n"/>
      <c r="BZ161" s="614" t="n"/>
      <c r="CA161" s="614" t="n"/>
      <c r="CB161" s="614" t="n"/>
      <c r="CC161" s="614" t="n"/>
      <c r="CD161" s="614" t="n"/>
      <c r="CE161" s="614" t="n"/>
      <c r="CF161" s="614" t="n"/>
    </row>
    <row r="162">
      <c r="A162" s="29" t="n"/>
      <c r="B162" s="29" t="n"/>
      <c r="C162" s="6" t="n"/>
      <c r="E162" s="85" t="n"/>
      <c r="F162" s="85" t="n"/>
      <c r="G162" s="85" t="n"/>
      <c r="H162" s="85" t="n"/>
      <c r="I162" s="85" t="n"/>
      <c r="J162" s="85" t="n"/>
      <c r="K162" s="85" t="n"/>
      <c r="L162" s="85" t="n"/>
      <c r="M162" s="138" t="n"/>
      <c r="N162" s="85" t="n"/>
      <c r="O162" s="85" t="n"/>
      <c r="P162" s="85" t="n"/>
      <c r="Q162" s="85" t="n"/>
      <c r="R162" s="85" t="n"/>
      <c r="S162" s="85" t="n"/>
      <c r="T162" s="85" t="n"/>
      <c r="U162" s="145" t="n"/>
      <c r="V162" s="30" t="n"/>
      <c r="W162" s="98" t="n"/>
      <c r="X162" s="23" t="n"/>
      <c r="Y162" s="25" t="n"/>
      <c r="Z162" s="590" t="n"/>
      <c r="AA162" s="25" t="n"/>
      <c r="AB162" s="26" t="n"/>
      <c r="AC162" s="26" t="n"/>
      <c r="AD162" s="26" t="n"/>
      <c r="AE162" s="26" t="n"/>
      <c r="AF162" s="26" t="n"/>
      <c r="AG162" s="26" t="n"/>
      <c r="AH162" s="26" t="n"/>
      <c r="AI162" s="26" t="n"/>
      <c r="AJ162" s="26" t="n"/>
      <c r="AK162" s="101" t="n"/>
      <c r="AL162" s="101" t="n"/>
      <c r="AM162" s="26" t="n"/>
      <c r="AN162" s="26" t="n"/>
      <c r="AO162" s="26" t="n"/>
      <c r="AP162" s="101" t="n"/>
      <c r="AQ162" s="26" t="n"/>
      <c r="AR162" s="101" t="n"/>
      <c r="AS162" s="106" t="n"/>
      <c r="AT162" s="25" t="n"/>
      <c r="AU162" s="25" t="n"/>
      <c r="AV162" s="23" t="n"/>
      <c r="AW162" s="25" t="n"/>
      <c r="AX162" s="26" t="n"/>
      <c r="AY162" s="26" t="n"/>
      <c r="AZ162" s="26" t="n"/>
      <c r="BA162" s="26" t="n"/>
      <c r="BB162" s="26" t="n"/>
      <c r="BC162" s="26" t="n"/>
      <c r="BD162" s="26" t="n"/>
      <c r="BE162" s="26" t="n"/>
      <c r="BF162" s="26" t="n"/>
      <c r="BG162" s="101" t="n"/>
      <c r="BH162" s="101" t="n"/>
      <c r="BI162" s="26" t="n"/>
      <c r="BJ162" s="26" t="n"/>
      <c r="BK162" s="26" t="n"/>
      <c r="BL162" s="101" t="n"/>
      <c r="BM162" s="26" t="n"/>
      <c r="BN162" s="101" t="n"/>
      <c r="BO162" s="591" t="n"/>
      <c r="BP162" s="26" t="n"/>
      <c r="BQ162" s="26" t="n"/>
      <c r="BR162" s="26" t="n"/>
      <c r="BS162" s="26" t="n"/>
      <c r="BT162" s="614" t="n"/>
      <c r="BU162" s="614" t="n"/>
      <c r="BV162" s="593" t="n"/>
      <c r="BW162" s="614" t="n"/>
      <c r="BX162" s="614" t="n"/>
      <c r="BY162" s="615" t="n"/>
      <c r="BZ162" s="614" t="n"/>
      <c r="CA162" s="614" t="n"/>
      <c r="CB162" s="614" t="n"/>
      <c r="CC162" s="614" t="n"/>
      <c r="CD162" s="614" t="n"/>
      <c r="CE162" s="614" t="n"/>
      <c r="CF162" s="614" t="n"/>
    </row>
    <row r="163">
      <c r="A163" s="29" t="n"/>
      <c r="B163" s="29" t="n"/>
      <c r="C163" s="6" t="n"/>
      <c r="E163" s="85" t="n"/>
      <c r="F163" s="85" t="n"/>
      <c r="G163" s="85" t="n"/>
      <c r="H163" s="85" t="n"/>
      <c r="I163" s="85" t="n"/>
      <c r="J163" s="85" t="n"/>
      <c r="K163" s="85" t="n"/>
      <c r="L163" s="85" t="n"/>
      <c r="M163" s="138" t="n"/>
      <c r="N163" s="85" t="n"/>
      <c r="O163" s="85" t="n"/>
      <c r="P163" s="85" t="n"/>
      <c r="Q163" s="85" t="n"/>
      <c r="R163" s="85" t="n"/>
      <c r="S163" s="85" t="n"/>
      <c r="T163" s="85" t="n"/>
      <c r="U163" s="145" t="n"/>
      <c r="V163" s="30" t="n"/>
      <c r="W163" s="98" t="n"/>
      <c r="X163" s="23" t="n"/>
      <c r="Y163" s="25" t="n"/>
      <c r="Z163" s="590" t="n"/>
      <c r="AA163" s="25" t="n"/>
      <c r="AB163" s="26" t="n"/>
      <c r="AC163" s="26" t="n"/>
      <c r="AD163" s="26" t="n"/>
      <c r="AE163" s="26" t="n"/>
      <c r="AF163" s="26" t="n"/>
      <c r="AG163" s="26" t="n"/>
      <c r="AH163" s="26" t="n"/>
      <c r="AI163" s="26" t="n"/>
      <c r="AJ163" s="26" t="n"/>
      <c r="AK163" s="101" t="n"/>
      <c r="AL163" s="101" t="n"/>
      <c r="AM163" s="26" t="n"/>
      <c r="AN163" s="26" t="n"/>
      <c r="AO163" s="26" t="n"/>
      <c r="AP163" s="101" t="n"/>
      <c r="AQ163" s="26" t="n"/>
      <c r="AR163" s="101" t="n"/>
      <c r="AS163" s="106" t="n"/>
      <c r="AT163" s="25" t="n"/>
      <c r="AU163" s="25" t="n"/>
      <c r="AV163" s="23" t="n"/>
      <c r="AW163" s="25" t="n"/>
      <c r="AX163" s="26" t="n"/>
      <c r="AY163" s="26" t="n"/>
      <c r="AZ163" s="26" t="n"/>
      <c r="BA163" s="26" t="n"/>
      <c r="BB163" s="26" t="n"/>
      <c r="BC163" s="26" t="n"/>
      <c r="BD163" s="26" t="n"/>
      <c r="BE163" s="26" t="n"/>
      <c r="BF163" s="26" t="n"/>
      <c r="BG163" s="101" t="n"/>
      <c r="BH163" s="101" t="n"/>
      <c r="BI163" s="26" t="n"/>
      <c r="BJ163" s="26" t="n"/>
      <c r="BK163" s="26" t="n"/>
      <c r="BL163" s="101" t="n"/>
      <c r="BM163" s="26" t="n"/>
      <c r="BN163" s="101" t="n"/>
      <c r="BO163" s="591" t="n"/>
      <c r="BP163" s="26" t="n"/>
      <c r="BQ163" s="26" t="n"/>
      <c r="BR163" s="26" t="n"/>
      <c r="BS163" s="26" t="n"/>
      <c r="BT163" s="614" t="n"/>
      <c r="BU163" s="614" t="n"/>
      <c r="BV163" s="593" t="n"/>
      <c r="BW163" s="614" t="n"/>
      <c r="BX163" s="614" t="n"/>
      <c r="BY163" s="615" t="n"/>
      <c r="BZ163" s="614" t="n"/>
      <c r="CA163" s="614" t="n"/>
      <c r="CB163" s="614" t="n"/>
      <c r="CC163" s="614" t="n"/>
      <c r="CD163" s="614" t="n"/>
      <c r="CE163" s="614" t="n"/>
      <c r="CF163" s="614" t="n"/>
    </row>
    <row r="164">
      <c r="A164" s="29" t="n"/>
      <c r="B164" s="29" t="n"/>
      <c r="C164" s="6" t="n"/>
      <c r="E164" s="85" t="n"/>
      <c r="F164" s="85" t="n"/>
      <c r="G164" s="85" t="n"/>
      <c r="H164" s="85" t="n"/>
      <c r="I164" s="85" t="n"/>
      <c r="J164" s="85" t="n"/>
      <c r="K164" s="85" t="n"/>
      <c r="L164" s="85" t="n"/>
      <c r="M164" s="138" t="n"/>
      <c r="N164" s="85" t="n"/>
      <c r="O164" s="85" t="n"/>
      <c r="P164" s="85" t="n"/>
      <c r="Q164" s="85" t="n"/>
      <c r="R164" s="85" t="n"/>
      <c r="S164" s="85" t="n"/>
      <c r="T164" s="85" t="n"/>
      <c r="U164" s="145" t="n"/>
      <c r="V164" s="30" t="n"/>
      <c r="W164" s="98" t="n"/>
      <c r="X164" s="23" t="n"/>
      <c r="Y164" s="25" t="n"/>
      <c r="Z164" s="590" t="n"/>
      <c r="AA164" s="25" t="n"/>
      <c r="AB164" s="26" t="n"/>
      <c r="AC164" s="26" t="n"/>
      <c r="AD164" s="26" t="n"/>
      <c r="AE164" s="26" t="n"/>
      <c r="AF164" s="26" t="n"/>
      <c r="AG164" s="26" t="n"/>
      <c r="AH164" s="26" t="n"/>
      <c r="AI164" s="26" t="n"/>
      <c r="AJ164" s="26" t="n"/>
      <c r="AK164" s="101" t="n"/>
      <c r="AL164" s="101" t="n"/>
      <c r="AM164" s="26" t="n"/>
      <c r="AN164" s="26" t="n"/>
      <c r="AO164" s="26" t="n"/>
      <c r="AP164" s="101" t="n"/>
      <c r="AQ164" s="26" t="n"/>
      <c r="AR164" s="101" t="n"/>
      <c r="AS164" s="106" t="n"/>
      <c r="AT164" s="25" t="n"/>
      <c r="AU164" s="25" t="n"/>
      <c r="AV164" s="23" t="n"/>
      <c r="AW164" s="25" t="n"/>
      <c r="AX164" s="26" t="n"/>
      <c r="AY164" s="26" t="n"/>
      <c r="AZ164" s="26" t="n"/>
      <c r="BA164" s="26" t="n"/>
      <c r="BB164" s="26" t="n"/>
      <c r="BC164" s="26" t="n"/>
      <c r="BD164" s="26" t="n"/>
      <c r="BE164" s="26" t="n"/>
      <c r="BF164" s="26" t="n"/>
      <c r="BG164" s="101" t="n"/>
      <c r="BH164" s="101" t="n"/>
      <c r="BI164" s="26" t="n"/>
      <c r="BJ164" s="26" t="n"/>
      <c r="BK164" s="26" t="n"/>
      <c r="BL164" s="101" t="n"/>
      <c r="BM164" s="26" t="n"/>
      <c r="BN164" s="101" t="n"/>
      <c r="BO164" s="591" t="n"/>
      <c r="BP164" s="26" t="n"/>
      <c r="BQ164" s="26" t="n"/>
      <c r="BR164" s="26" t="n"/>
      <c r="BS164" s="26" t="n"/>
      <c r="BT164" s="614" t="n"/>
      <c r="BU164" s="614" t="n"/>
      <c r="BV164" s="593" t="n"/>
      <c r="BW164" s="614" t="n"/>
      <c r="BX164" s="614" t="n"/>
      <c r="BY164" s="615" t="n"/>
      <c r="BZ164" s="614" t="n"/>
      <c r="CA164" s="614" t="n"/>
      <c r="CB164" s="614" t="n"/>
      <c r="CC164" s="614" t="n"/>
      <c r="CD164" s="614" t="n"/>
      <c r="CE164" s="614" t="n"/>
      <c r="CF164" s="614" t="n"/>
    </row>
    <row r="165">
      <c r="A165" s="29" t="n"/>
      <c r="B165" s="29" t="n"/>
      <c r="C165" s="6" t="n"/>
      <c r="E165" s="85" t="n"/>
      <c r="F165" s="85" t="n"/>
      <c r="G165" s="85" t="n"/>
      <c r="H165" s="85" t="n"/>
      <c r="I165" s="85" t="n"/>
      <c r="J165" s="85" t="n"/>
      <c r="K165" s="85" t="n"/>
      <c r="L165" s="85" t="n"/>
      <c r="M165" s="138" t="n"/>
      <c r="N165" s="85" t="n"/>
      <c r="O165" s="85" t="n"/>
      <c r="P165" s="85" t="n"/>
      <c r="Q165" s="85" t="n"/>
      <c r="R165" s="85" t="n"/>
      <c r="S165" s="85" t="n"/>
      <c r="T165" s="85" t="n"/>
      <c r="U165" s="145" t="n"/>
      <c r="V165" s="30" t="n"/>
      <c r="W165" s="98" t="n"/>
      <c r="X165" s="23" t="n"/>
      <c r="Y165" s="25" t="n"/>
      <c r="Z165" s="590" t="n"/>
      <c r="AA165" s="25" t="n"/>
      <c r="AB165" s="26" t="n"/>
      <c r="AC165" s="26" t="n"/>
      <c r="AD165" s="26" t="n"/>
      <c r="AE165" s="26" t="n"/>
      <c r="AF165" s="26" t="n"/>
      <c r="AG165" s="26" t="n"/>
      <c r="AH165" s="26" t="n"/>
      <c r="AI165" s="26" t="n"/>
      <c r="AJ165" s="26" t="n"/>
      <c r="AK165" s="101" t="n"/>
      <c r="AL165" s="101" t="n"/>
      <c r="AM165" s="26" t="n"/>
      <c r="AN165" s="26" t="n"/>
      <c r="AO165" s="26" t="n"/>
      <c r="AP165" s="101" t="n"/>
      <c r="AQ165" s="26" t="n"/>
      <c r="AR165" s="101" t="n"/>
      <c r="AS165" s="106" t="n"/>
      <c r="AT165" s="25" t="n"/>
      <c r="AU165" s="25" t="n"/>
      <c r="AV165" s="23" t="n"/>
      <c r="AW165" s="25" t="n"/>
      <c r="AX165" s="26" t="n"/>
      <c r="AY165" s="26" t="n"/>
      <c r="AZ165" s="26" t="n"/>
      <c r="BA165" s="26" t="n"/>
      <c r="BB165" s="26" t="n"/>
      <c r="BC165" s="26" t="n"/>
      <c r="BD165" s="26" t="n"/>
      <c r="BE165" s="26" t="n"/>
      <c r="BF165" s="26" t="n"/>
      <c r="BG165" s="101" t="n"/>
      <c r="BH165" s="101" t="n"/>
      <c r="BI165" s="26" t="n"/>
      <c r="BJ165" s="26" t="n"/>
      <c r="BK165" s="26" t="n"/>
      <c r="BL165" s="101" t="n"/>
      <c r="BM165" s="26" t="n"/>
      <c r="BN165" s="101" t="n"/>
      <c r="BO165" s="591" t="n"/>
      <c r="BP165" s="26" t="n"/>
      <c r="BQ165" s="26" t="n"/>
      <c r="BR165" s="26" t="n"/>
      <c r="BS165" s="26" t="n"/>
      <c r="BT165" s="614" t="n"/>
      <c r="BU165" s="614" t="n"/>
      <c r="BV165" s="593" t="n"/>
      <c r="BW165" s="614" t="n"/>
      <c r="BX165" s="614" t="n"/>
      <c r="BY165" s="615" t="n"/>
      <c r="BZ165" s="614" t="n"/>
      <c r="CA165" s="614" t="n"/>
      <c r="CB165" s="614" t="n"/>
      <c r="CC165" s="614" t="n"/>
      <c r="CD165" s="614" t="n"/>
      <c r="CE165" s="614" t="n"/>
      <c r="CF165" s="614" t="n"/>
    </row>
    <row r="166">
      <c r="A166" s="29" t="n"/>
      <c r="B166" s="29" t="n"/>
      <c r="C166" s="6" t="n"/>
      <c r="E166" s="85" t="n"/>
      <c r="F166" s="85" t="n"/>
      <c r="G166" s="85" t="n"/>
      <c r="H166" s="85" t="n"/>
      <c r="I166" s="85" t="n"/>
      <c r="J166" s="85" t="n"/>
      <c r="K166" s="85" t="n"/>
      <c r="L166" s="85" t="n"/>
      <c r="M166" s="138" t="n"/>
      <c r="N166" s="85" t="n"/>
      <c r="O166" s="85" t="n"/>
      <c r="P166" s="85" t="n"/>
      <c r="Q166" s="85" t="n"/>
      <c r="R166" s="85" t="n"/>
      <c r="S166" s="85" t="n"/>
      <c r="T166" s="85" t="n"/>
      <c r="U166" s="145" t="n"/>
      <c r="V166" s="30" t="n"/>
      <c r="W166" s="98" t="n"/>
      <c r="X166" s="23" t="n"/>
      <c r="Y166" s="25" t="n"/>
      <c r="Z166" s="590" t="n"/>
      <c r="AA166" s="25" t="n"/>
      <c r="AB166" s="26" t="n"/>
      <c r="AC166" s="26" t="n"/>
      <c r="AD166" s="26" t="n"/>
      <c r="AE166" s="26" t="n"/>
      <c r="AF166" s="26" t="n"/>
      <c r="AG166" s="26" t="n"/>
      <c r="AH166" s="26" t="n"/>
      <c r="AI166" s="26" t="n"/>
      <c r="AJ166" s="26" t="n"/>
      <c r="AK166" s="101" t="n"/>
      <c r="AL166" s="101" t="n"/>
      <c r="AM166" s="26" t="n"/>
      <c r="AN166" s="26" t="n"/>
      <c r="AO166" s="26" t="n"/>
      <c r="AP166" s="101" t="n"/>
      <c r="AQ166" s="26" t="n"/>
      <c r="AR166" s="101" t="n"/>
      <c r="AS166" s="106" t="n"/>
      <c r="AT166" s="25" t="n"/>
      <c r="AU166" s="25" t="n"/>
      <c r="AV166" s="23" t="n"/>
      <c r="AW166" s="25" t="n"/>
      <c r="AX166" s="26" t="n"/>
      <c r="AY166" s="26" t="n"/>
      <c r="AZ166" s="26" t="n"/>
      <c r="BA166" s="26" t="n"/>
      <c r="BB166" s="26" t="n"/>
      <c r="BC166" s="26" t="n"/>
      <c r="BD166" s="26" t="n"/>
      <c r="BE166" s="26" t="n"/>
      <c r="BF166" s="26" t="n"/>
      <c r="BG166" s="101" t="n"/>
      <c r="BH166" s="101" t="n"/>
      <c r="BI166" s="26" t="n"/>
      <c r="BJ166" s="26" t="n"/>
      <c r="BK166" s="26" t="n"/>
      <c r="BL166" s="101" t="n"/>
      <c r="BM166" s="26" t="n"/>
      <c r="BN166" s="101" t="n"/>
      <c r="BO166" s="591" t="n"/>
      <c r="BP166" s="26" t="n"/>
      <c r="BQ166" s="26" t="n"/>
      <c r="BR166" s="26" t="n"/>
      <c r="BS166" s="26" t="n"/>
      <c r="BT166" s="614" t="n"/>
      <c r="BU166" s="614" t="n"/>
      <c r="BV166" s="593" t="n"/>
      <c r="BW166" s="614" t="n"/>
      <c r="BX166" s="614" t="n"/>
      <c r="BY166" s="615" t="n"/>
      <c r="BZ166" s="614" t="n"/>
      <c r="CA166" s="614" t="n"/>
      <c r="CB166" s="614" t="n"/>
      <c r="CC166" s="614" t="n"/>
      <c r="CD166" s="614" t="n"/>
      <c r="CE166" s="614" t="n"/>
      <c r="CF166" s="614" t="n"/>
    </row>
    <row r="167">
      <c r="A167" s="29" t="n"/>
      <c r="B167" s="29" t="n"/>
      <c r="C167" s="6" t="n"/>
      <c r="E167" s="85" t="n"/>
      <c r="F167" s="85" t="n"/>
      <c r="G167" s="85" t="n"/>
      <c r="H167" s="85" t="n"/>
      <c r="I167" s="85" t="n"/>
      <c r="J167" s="85" t="n"/>
      <c r="K167" s="85" t="n"/>
      <c r="L167" s="85" t="n"/>
      <c r="M167" s="138" t="n"/>
      <c r="N167" s="85" t="n"/>
      <c r="O167" s="85" t="n"/>
      <c r="P167" s="85" t="n"/>
      <c r="Q167" s="85" t="n"/>
      <c r="R167" s="85" t="n"/>
      <c r="S167" s="85" t="n"/>
      <c r="T167" s="85" t="n"/>
      <c r="U167" s="145" t="n"/>
      <c r="V167" s="30" t="n"/>
      <c r="W167" s="98" t="n"/>
      <c r="X167" s="23" t="n"/>
      <c r="Y167" s="25" t="n"/>
      <c r="Z167" s="590" t="n"/>
      <c r="AA167" s="25" t="n"/>
      <c r="AB167" s="26" t="n"/>
      <c r="AC167" s="26" t="n"/>
      <c r="AD167" s="26" t="n"/>
      <c r="AE167" s="26" t="n"/>
      <c r="AF167" s="26" t="n"/>
      <c r="AG167" s="26" t="n"/>
      <c r="AH167" s="26" t="n"/>
      <c r="AI167" s="26" t="n"/>
      <c r="AJ167" s="26" t="n"/>
      <c r="AK167" s="101" t="n"/>
      <c r="AL167" s="101" t="n"/>
      <c r="AM167" s="26" t="n"/>
      <c r="AN167" s="26" t="n"/>
      <c r="AO167" s="26" t="n"/>
      <c r="AP167" s="101" t="n"/>
      <c r="AQ167" s="26" t="n"/>
      <c r="AR167" s="101" t="n"/>
      <c r="AS167" s="106" t="n"/>
      <c r="AT167" s="25" t="n"/>
      <c r="AU167" s="25" t="n"/>
      <c r="AV167" s="23" t="n"/>
      <c r="AW167" s="25" t="n"/>
      <c r="AX167" s="26" t="n"/>
      <c r="AY167" s="26" t="n"/>
      <c r="AZ167" s="26" t="n"/>
      <c r="BA167" s="26" t="n"/>
      <c r="BB167" s="26" t="n"/>
      <c r="BC167" s="26" t="n"/>
      <c r="BD167" s="26" t="n"/>
      <c r="BE167" s="26" t="n"/>
      <c r="BF167" s="26" t="n"/>
      <c r="BG167" s="101" t="n"/>
      <c r="BH167" s="101" t="n"/>
      <c r="BI167" s="26" t="n"/>
      <c r="BJ167" s="26" t="n"/>
      <c r="BK167" s="26" t="n"/>
      <c r="BL167" s="101" t="n"/>
      <c r="BM167" s="26" t="n"/>
      <c r="BN167" s="101" t="n"/>
      <c r="BO167" s="591" t="n"/>
      <c r="BP167" s="26" t="n"/>
      <c r="BQ167" s="26" t="n"/>
      <c r="BR167" s="26" t="n"/>
      <c r="BS167" s="26" t="n"/>
      <c r="BT167" s="614" t="n"/>
      <c r="BU167" s="614" t="n"/>
      <c r="BV167" s="593" t="n"/>
      <c r="BW167" s="614" t="n"/>
      <c r="BX167" s="614" t="n"/>
      <c r="BY167" s="615" t="n"/>
      <c r="BZ167" s="614" t="n"/>
      <c r="CA167" s="614" t="n"/>
      <c r="CB167" s="614" t="n"/>
      <c r="CC167" s="614" t="n"/>
      <c r="CD167" s="614" t="n"/>
      <c r="CE167" s="614" t="n"/>
      <c r="CF167" s="614" t="n"/>
    </row>
    <row r="168">
      <c r="A168" s="29" t="n"/>
      <c r="B168" s="29" t="n"/>
      <c r="C168" s="6" t="n"/>
      <c r="E168" s="85" t="n"/>
      <c r="F168" s="85" t="n"/>
      <c r="G168" s="85" t="n"/>
      <c r="H168" s="85" t="n"/>
      <c r="I168" s="85" t="n"/>
      <c r="J168" s="85" t="n"/>
      <c r="K168" s="85" t="n"/>
      <c r="L168" s="85" t="n"/>
      <c r="M168" s="138" t="n"/>
      <c r="N168" s="85" t="n"/>
      <c r="O168" s="85" t="n"/>
      <c r="P168" s="85" t="n"/>
      <c r="Q168" s="85" t="n"/>
      <c r="R168" s="85" t="n"/>
      <c r="S168" s="85" t="n"/>
      <c r="T168" s="85" t="n"/>
      <c r="U168" s="145" t="n"/>
      <c r="V168" s="30" t="n"/>
      <c r="W168" s="98" t="n"/>
      <c r="X168" s="23" t="n"/>
      <c r="Y168" s="25" t="n"/>
      <c r="Z168" s="590" t="n"/>
      <c r="AA168" s="25" t="n"/>
      <c r="AB168" s="26" t="n"/>
      <c r="AC168" s="26" t="n"/>
      <c r="AD168" s="26" t="n"/>
      <c r="AE168" s="26" t="n"/>
      <c r="AF168" s="26" t="n"/>
      <c r="AG168" s="26" t="n"/>
      <c r="AH168" s="26" t="n"/>
      <c r="AI168" s="26" t="n"/>
      <c r="AJ168" s="26" t="n"/>
      <c r="AK168" s="101" t="n"/>
      <c r="AL168" s="101" t="n"/>
      <c r="AM168" s="26" t="n"/>
      <c r="AN168" s="26" t="n"/>
      <c r="AO168" s="26" t="n"/>
      <c r="AP168" s="101" t="n"/>
      <c r="AQ168" s="26" t="n"/>
      <c r="AR168" s="101" t="n"/>
      <c r="AS168" s="106" t="n"/>
      <c r="AT168" s="25" t="n"/>
      <c r="AU168" s="25" t="n"/>
      <c r="AV168" s="23" t="n"/>
      <c r="AW168" s="25" t="n"/>
      <c r="AX168" s="26" t="n"/>
      <c r="AY168" s="26" t="n"/>
      <c r="AZ168" s="26" t="n"/>
      <c r="BA168" s="26" t="n"/>
      <c r="BB168" s="26" t="n"/>
      <c r="BC168" s="26" t="n"/>
      <c r="BD168" s="26" t="n"/>
      <c r="BE168" s="26" t="n"/>
      <c r="BF168" s="26" t="n"/>
      <c r="BG168" s="101" t="n"/>
      <c r="BH168" s="101" t="n"/>
      <c r="BI168" s="26" t="n"/>
      <c r="BJ168" s="26" t="n"/>
      <c r="BK168" s="26" t="n"/>
      <c r="BL168" s="101" t="n"/>
      <c r="BM168" s="26" t="n"/>
      <c r="BN168" s="101" t="n"/>
      <c r="BO168" s="591" t="n"/>
      <c r="BP168" s="26" t="n"/>
      <c r="BQ168" s="26" t="n"/>
      <c r="BR168" s="26" t="n"/>
      <c r="BS168" s="26" t="n"/>
      <c r="BT168" s="614" t="n"/>
      <c r="BU168" s="614" t="n"/>
      <c r="BV168" s="593" t="n"/>
      <c r="BW168" s="614" t="n"/>
      <c r="BX168" s="614" t="n"/>
      <c r="BY168" s="615" t="n"/>
      <c r="BZ168" s="614" t="n"/>
      <c r="CA168" s="614" t="n"/>
      <c r="CB168" s="614" t="n"/>
      <c r="CC168" s="614" t="n"/>
      <c r="CD168" s="614" t="n"/>
      <c r="CE168" s="614" t="n"/>
      <c r="CF168" s="614" t="n"/>
    </row>
    <row r="169">
      <c r="A169" s="29" t="n"/>
      <c r="B169" s="29" t="n"/>
      <c r="C169" s="6" t="n"/>
      <c r="E169" s="85" t="n"/>
      <c r="F169" s="85" t="n"/>
      <c r="G169" s="85" t="n"/>
      <c r="H169" s="85" t="n"/>
      <c r="I169" s="85" t="n"/>
      <c r="J169" s="85" t="n"/>
      <c r="K169" s="85" t="n"/>
      <c r="L169" s="85" t="n"/>
      <c r="M169" s="138" t="n"/>
      <c r="N169" s="85" t="n"/>
      <c r="O169" s="85" t="n"/>
      <c r="P169" s="85" t="n"/>
      <c r="Q169" s="85" t="n"/>
      <c r="R169" s="85" t="n"/>
      <c r="S169" s="85" t="n"/>
      <c r="T169" s="85" t="n"/>
      <c r="U169" s="145" t="n"/>
      <c r="V169" s="30" t="n"/>
      <c r="W169" s="98" t="n"/>
      <c r="X169" s="23" t="n"/>
      <c r="Y169" s="25" t="n"/>
      <c r="Z169" s="590" t="n"/>
      <c r="AA169" s="25" t="n"/>
      <c r="AB169" s="26" t="n"/>
      <c r="AC169" s="26" t="n"/>
      <c r="AD169" s="26" t="n"/>
      <c r="AE169" s="26" t="n"/>
      <c r="AF169" s="26" t="n"/>
      <c r="AG169" s="26" t="n"/>
      <c r="AH169" s="26" t="n"/>
      <c r="AI169" s="26" t="n"/>
      <c r="AJ169" s="26" t="n"/>
      <c r="AK169" s="101" t="n"/>
      <c r="AL169" s="101" t="n"/>
      <c r="AM169" s="26" t="n"/>
      <c r="AN169" s="26" t="n"/>
      <c r="AO169" s="26" t="n"/>
      <c r="AP169" s="101" t="n"/>
      <c r="AQ169" s="26" t="n"/>
      <c r="AR169" s="101" t="n"/>
      <c r="AS169" s="106" t="n"/>
      <c r="AT169" s="25" t="n"/>
      <c r="AU169" s="25" t="n"/>
      <c r="AV169" s="23" t="n"/>
      <c r="AW169" s="25" t="n"/>
      <c r="AX169" s="26" t="n"/>
      <c r="AY169" s="26" t="n"/>
      <c r="AZ169" s="26" t="n"/>
      <c r="BA169" s="26" t="n"/>
      <c r="BB169" s="26" t="n"/>
      <c r="BC169" s="26" t="n"/>
      <c r="BD169" s="26" t="n"/>
      <c r="BE169" s="26" t="n"/>
      <c r="BF169" s="26" t="n"/>
      <c r="BG169" s="101" t="n"/>
      <c r="BH169" s="101" t="n"/>
      <c r="BI169" s="26" t="n"/>
      <c r="BJ169" s="26" t="n"/>
      <c r="BK169" s="26" t="n"/>
      <c r="BL169" s="101" t="n"/>
      <c r="BM169" s="26" t="n"/>
      <c r="BN169" s="101" t="n"/>
      <c r="BO169" s="591" t="n"/>
      <c r="BP169" s="26" t="n"/>
      <c r="BQ169" s="26" t="n"/>
      <c r="BR169" s="26" t="n"/>
      <c r="BS169" s="26" t="n"/>
      <c r="BT169" s="614" t="n"/>
      <c r="BU169" s="614" t="n"/>
      <c r="BV169" s="593" t="n"/>
      <c r="BW169" s="614" t="n"/>
      <c r="BX169" s="614" t="n"/>
      <c r="BY169" s="615" t="n"/>
      <c r="BZ169" s="614" t="n"/>
      <c r="CA169" s="614" t="n"/>
      <c r="CB169" s="614" t="n"/>
      <c r="CC169" s="614" t="n"/>
      <c r="CD169" s="614" t="n"/>
      <c r="CE169" s="614" t="n"/>
      <c r="CF169" s="614" t="n"/>
    </row>
    <row r="170">
      <c r="A170" s="29" t="n"/>
      <c r="B170" s="29" t="n"/>
      <c r="C170" s="6" t="n"/>
      <c r="E170" s="85" t="n"/>
      <c r="F170" s="85" t="n"/>
      <c r="G170" s="85" t="n"/>
      <c r="H170" s="85" t="n"/>
      <c r="I170" s="85" t="n"/>
      <c r="J170" s="85" t="n"/>
      <c r="K170" s="85" t="n"/>
      <c r="L170" s="85" t="n"/>
      <c r="M170" s="138" t="n"/>
      <c r="N170" s="85" t="n"/>
      <c r="O170" s="85" t="n"/>
      <c r="P170" s="85" t="n"/>
      <c r="Q170" s="85" t="n"/>
      <c r="R170" s="85" t="n"/>
      <c r="S170" s="85" t="n"/>
      <c r="T170" s="85" t="n"/>
      <c r="U170" s="145" t="n"/>
      <c r="V170" s="30" t="n"/>
      <c r="W170" s="98" t="n"/>
      <c r="X170" s="23" t="n"/>
      <c r="Y170" s="25" t="n"/>
      <c r="Z170" s="590" t="n"/>
      <c r="AA170" s="25" t="n"/>
      <c r="AB170" s="26" t="n"/>
      <c r="AC170" s="26" t="n"/>
      <c r="AD170" s="26" t="n"/>
      <c r="AE170" s="26" t="n"/>
      <c r="AF170" s="26" t="n"/>
      <c r="AG170" s="26" t="n"/>
      <c r="AH170" s="26" t="n"/>
      <c r="AI170" s="26" t="n"/>
      <c r="AJ170" s="26" t="n"/>
      <c r="AK170" s="101" t="n"/>
      <c r="AL170" s="101" t="n"/>
      <c r="AM170" s="26" t="n"/>
      <c r="AN170" s="26" t="n"/>
      <c r="AO170" s="26" t="n"/>
      <c r="AP170" s="101" t="n"/>
      <c r="AQ170" s="26" t="n"/>
      <c r="AR170" s="101" t="n"/>
      <c r="AS170" s="106" t="n"/>
      <c r="AT170" s="25" t="n"/>
      <c r="AU170" s="25" t="n"/>
      <c r="AV170" s="23" t="n"/>
      <c r="AW170" s="25" t="n"/>
      <c r="AX170" s="26" t="n"/>
      <c r="AY170" s="26" t="n"/>
      <c r="AZ170" s="26" t="n"/>
      <c r="BA170" s="26" t="n"/>
      <c r="BB170" s="26" t="n"/>
      <c r="BC170" s="26" t="n"/>
      <c r="BD170" s="26" t="n"/>
      <c r="BE170" s="26" t="n"/>
      <c r="BF170" s="26" t="n"/>
      <c r="BG170" s="101" t="n"/>
      <c r="BH170" s="101" t="n"/>
      <c r="BI170" s="26" t="n"/>
      <c r="BJ170" s="26" t="n"/>
      <c r="BK170" s="26" t="n"/>
      <c r="BL170" s="101" t="n"/>
      <c r="BM170" s="26" t="n"/>
      <c r="BN170" s="101" t="n"/>
      <c r="BO170" s="591" t="n"/>
      <c r="BP170" s="26" t="n"/>
      <c r="BQ170" s="26" t="n"/>
      <c r="BR170" s="26" t="n"/>
      <c r="BS170" s="26" t="n"/>
      <c r="BT170" s="614" t="n"/>
      <c r="BU170" s="614" t="n"/>
      <c r="BV170" s="593" t="n"/>
      <c r="BW170" s="614" t="n"/>
      <c r="BX170" s="614" t="n"/>
      <c r="BY170" s="615" t="n"/>
      <c r="BZ170" s="614" t="n"/>
      <c r="CA170" s="614" t="n"/>
      <c r="CB170" s="614" t="n"/>
      <c r="CC170" s="614" t="n"/>
      <c r="CD170" s="614" t="n"/>
      <c r="CE170" s="614" t="n"/>
      <c r="CF170" s="614" t="n"/>
    </row>
    <row r="171">
      <c r="A171" s="29" t="n"/>
      <c r="B171" s="29" t="n"/>
      <c r="C171" s="6" t="n"/>
      <c r="E171" s="85" t="n"/>
      <c r="F171" s="85" t="n"/>
      <c r="G171" s="85" t="n"/>
      <c r="H171" s="85" t="n"/>
      <c r="I171" s="85" t="n"/>
      <c r="J171" s="85" t="n"/>
      <c r="K171" s="85" t="n"/>
      <c r="L171" s="85" t="n"/>
      <c r="M171" s="138" t="n"/>
      <c r="N171" s="85" t="n"/>
      <c r="O171" s="85" t="n"/>
      <c r="P171" s="85" t="n"/>
      <c r="Q171" s="85" t="n"/>
      <c r="R171" s="85" t="n"/>
      <c r="S171" s="85" t="n"/>
      <c r="T171" s="85" t="n"/>
      <c r="U171" s="145" t="n"/>
      <c r="V171" s="30" t="n"/>
      <c r="W171" s="98" t="n"/>
      <c r="X171" s="23" t="n"/>
      <c r="Y171" s="25" t="n"/>
      <c r="Z171" s="590" t="n"/>
      <c r="AA171" s="25" t="n"/>
      <c r="AB171" s="26" t="n"/>
      <c r="AC171" s="26" t="n"/>
      <c r="AD171" s="26" t="n"/>
      <c r="AE171" s="26" t="n"/>
      <c r="AF171" s="26" t="n"/>
      <c r="AG171" s="26" t="n"/>
      <c r="AH171" s="26" t="n"/>
      <c r="AI171" s="26" t="n"/>
      <c r="AJ171" s="26" t="n"/>
      <c r="AK171" s="101" t="n"/>
      <c r="AL171" s="101" t="n"/>
      <c r="AM171" s="26" t="n"/>
      <c r="AN171" s="26" t="n"/>
      <c r="AO171" s="26" t="n"/>
      <c r="AP171" s="101" t="n"/>
      <c r="AQ171" s="26" t="n"/>
      <c r="AR171" s="101" t="n"/>
      <c r="AS171" s="106" t="n"/>
      <c r="AT171" s="25" t="n"/>
      <c r="AU171" s="25" t="n"/>
      <c r="AV171" s="23" t="n"/>
      <c r="AW171" s="25" t="n"/>
      <c r="AX171" s="26" t="n"/>
      <c r="AY171" s="26" t="n"/>
      <c r="AZ171" s="26" t="n"/>
      <c r="BA171" s="26" t="n"/>
      <c r="BB171" s="26" t="n"/>
      <c r="BC171" s="26" t="n"/>
      <c r="BD171" s="26" t="n"/>
      <c r="BE171" s="26" t="n"/>
      <c r="BF171" s="26" t="n"/>
      <c r="BG171" s="101" t="n"/>
      <c r="BH171" s="101" t="n"/>
      <c r="BI171" s="26" t="n"/>
      <c r="BJ171" s="26" t="n"/>
      <c r="BK171" s="26" t="n"/>
      <c r="BL171" s="101" t="n"/>
      <c r="BM171" s="26" t="n"/>
      <c r="BN171" s="101" t="n"/>
      <c r="BO171" s="591" t="n"/>
      <c r="BP171" s="26" t="n"/>
      <c r="BQ171" s="26" t="n"/>
      <c r="BR171" s="26" t="n"/>
      <c r="BS171" s="26" t="n"/>
      <c r="BT171" s="614" t="n"/>
      <c r="BU171" s="614" t="n"/>
      <c r="BV171" s="593" t="n"/>
      <c r="BW171" s="614" t="n"/>
      <c r="BX171" s="614" t="n"/>
      <c r="BY171" s="615" t="n"/>
      <c r="BZ171" s="614" t="n"/>
      <c r="CA171" s="614" t="n"/>
      <c r="CB171" s="614" t="n"/>
      <c r="CC171" s="614" t="n"/>
      <c r="CD171" s="614" t="n"/>
      <c r="CE171" s="614" t="n"/>
      <c r="CF171" s="614" t="n"/>
    </row>
    <row r="172">
      <c r="A172" s="29" t="n"/>
      <c r="B172" s="29" t="n"/>
      <c r="C172" s="6" t="n"/>
      <c r="E172" s="85" t="n"/>
      <c r="F172" s="85" t="n"/>
      <c r="G172" s="85" t="n"/>
      <c r="H172" s="85" t="n"/>
      <c r="I172" s="85" t="n"/>
      <c r="J172" s="85" t="n"/>
      <c r="K172" s="85" t="n"/>
      <c r="L172" s="85" t="n"/>
      <c r="M172" s="138" t="n"/>
      <c r="N172" s="85" t="n"/>
      <c r="O172" s="85" t="n"/>
      <c r="P172" s="85" t="n"/>
      <c r="Q172" s="85" t="n"/>
      <c r="R172" s="85" t="n"/>
      <c r="S172" s="85" t="n"/>
      <c r="T172" s="85" t="n"/>
      <c r="U172" s="145" t="n"/>
      <c r="V172" s="30" t="n"/>
      <c r="W172" s="98" t="n"/>
      <c r="X172" s="23" t="n"/>
      <c r="Y172" s="25" t="n"/>
      <c r="Z172" s="590" t="n"/>
      <c r="AA172" s="25" t="n"/>
      <c r="AB172" s="26" t="n"/>
      <c r="AC172" s="26" t="n"/>
      <c r="AD172" s="26" t="n"/>
      <c r="AE172" s="26" t="n"/>
      <c r="AF172" s="26" t="n"/>
      <c r="AG172" s="26" t="n"/>
      <c r="AH172" s="26" t="n"/>
      <c r="AI172" s="26" t="n"/>
      <c r="AJ172" s="26" t="n"/>
      <c r="AK172" s="101" t="n"/>
      <c r="AL172" s="101" t="n"/>
      <c r="AM172" s="26" t="n"/>
      <c r="AN172" s="26" t="n"/>
      <c r="AO172" s="26" t="n"/>
      <c r="AP172" s="101" t="n"/>
      <c r="AQ172" s="26" t="n"/>
      <c r="AR172" s="101" t="n"/>
      <c r="AS172" s="106" t="n"/>
      <c r="AT172" s="25" t="n"/>
      <c r="AU172" s="25" t="n"/>
      <c r="AV172" s="23" t="n"/>
      <c r="AW172" s="25" t="n"/>
      <c r="AX172" s="26" t="n"/>
      <c r="AY172" s="26" t="n"/>
      <c r="AZ172" s="26" t="n"/>
      <c r="BA172" s="26" t="n"/>
      <c r="BB172" s="26" t="n"/>
      <c r="BC172" s="26" t="n"/>
      <c r="BD172" s="26" t="n"/>
      <c r="BE172" s="26" t="n"/>
      <c r="BF172" s="26" t="n"/>
      <c r="BG172" s="101" t="n"/>
      <c r="BH172" s="101" t="n"/>
      <c r="BI172" s="26" t="n"/>
      <c r="BJ172" s="26" t="n"/>
      <c r="BK172" s="26" t="n"/>
      <c r="BL172" s="101" t="n"/>
      <c r="BM172" s="26" t="n"/>
      <c r="BN172" s="101" t="n"/>
      <c r="BO172" s="591" t="n"/>
      <c r="BP172" s="26" t="n"/>
      <c r="BQ172" s="26" t="n"/>
      <c r="BR172" s="26" t="n"/>
      <c r="BS172" s="26" t="n"/>
      <c r="BT172" s="614" t="n"/>
      <c r="BU172" s="614" t="n"/>
      <c r="BV172" s="593" t="n"/>
      <c r="BW172" s="614" t="n"/>
      <c r="BX172" s="614" t="n"/>
      <c r="BY172" s="615" t="n"/>
      <c r="BZ172" s="614" t="n"/>
      <c r="CA172" s="614" t="n"/>
      <c r="CB172" s="614" t="n"/>
      <c r="CC172" s="614" t="n"/>
      <c r="CD172" s="614" t="n"/>
      <c r="CE172" s="614" t="n"/>
      <c r="CF172" s="614" t="n"/>
    </row>
    <row r="173">
      <c r="A173" s="29" t="n"/>
      <c r="B173" s="29" t="n"/>
      <c r="C173" s="6" t="n"/>
      <c r="E173" s="85" t="n"/>
      <c r="F173" s="85" t="n"/>
      <c r="G173" s="85" t="n"/>
      <c r="H173" s="85" t="n"/>
      <c r="I173" s="85" t="n"/>
      <c r="J173" s="85" t="n"/>
      <c r="K173" s="85" t="n"/>
      <c r="L173" s="85" t="n"/>
      <c r="M173" s="138" t="n"/>
      <c r="N173" s="85" t="n"/>
      <c r="O173" s="85" t="n"/>
      <c r="P173" s="85" t="n"/>
      <c r="Q173" s="85" t="n"/>
      <c r="R173" s="85" t="n"/>
      <c r="S173" s="85" t="n"/>
      <c r="T173" s="85" t="n"/>
      <c r="U173" s="145" t="n"/>
      <c r="V173" s="30" t="n"/>
      <c r="W173" s="98" t="n"/>
      <c r="X173" s="23" t="n"/>
      <c r="Y173" s="25" t="n"/>
      <c r="Z173" s="590" t="n"/>
      <c r="AA173" s="25" t="n"/>
      <c r="AB173" s="26" t="n"/>
      <c r="AC173" s="26" t="n"/>
      <c r="AD173" s="26" t="n"/>
      <c r="AE173" s="26" t="n"/>
      <c r="AF173" s="26" t="n"/>
      <c r="AG173" s="26" t="n"/>
      <c r="AH173" s="26" t="n"/>
      <c r="AI173" s="26" t="n"/>
      <c r="AJ173" s="26" t="n"/>
      <c r="AK173" s="101" t="n"/>
      <c r="AL173" s="101" t="n"/>
      <c r="AM173" s="26" t="n"/>
      <c r="AN173" s="26" t="n"/>
      <c r="AO173" s="26" t="n"/>
      <c r="AP173" s="101" t="n"/>
      <c r="AQ173" s="26" t="n"/>
      <c r="AR173" s="101" t="n"/>
      <c r="AS173" s="106" t="n"/>
      <c r="AT173" s="25" t="n"/>
      <c r="AU173" s="25" t="n"/>
      <c r="AV173" s="23" t="n"/>
      <c r="AW173" s="25" t="n"/>
      <c r="AX173" s="26" t="n"/>
      <c r="AY173" s="26" t="n"/>
      <c r="AZ173" s="26" t="n"/>
      <c r="BA173" s="26" t="n"/>
      <c r="BB173" s="26" t="n"/>
      <c r="BC173" s="26" t="n"/>
      <c r="BD173" s="26" t="n"/>
      <c r="BE173" s="26" t="n"/>
      <c r="BF173" s="26" t="n"/>
      <c r="BG173" s="101" t="n"/>
      <c r="BH173" s="101" t="n"/>
      <c r="BI173" s="26" t="n"/>
      <c r="BJ173" s="26" t="n"/>
      <c r="BK173" s="26" t="n"/>
      <c r="BL173" s="101" t="n"/>
      <c r="BM173" s="26" t="n"/>
      <c r="BN173" s="101" t="n"/>
      <c r="BO173" s="591" t="n"/>
      <c r="BP173" s="26" t="n"/>
      <c r="BQ173" s="26" t="n"/>
      <c r="BR173" s="26" t="n"/>
      <c r="BS173" s="26" t="n"/>
      <c r="BT173" s="614" t="n"/>
      <c r="BU173" s="614" t="n"/>
      <c r="BV173" s="593" t="n"/>
      <c r="BW173" s="614" t="n"/>
      <c r="BX173" s="614" t="n"/>
      <c r="BY173" s="615" t="n"/>
      <c r="BZ173" s="614" t="n"/>
      <c r="CA173" s="614" t="n"/>
      <c r="CB173" s="614" t="n"/>
      <c r="CC173" s="614" t="n"/>
      <c r="CD173" s="614" t="n"/>
      <c r="CE173" s="614" t="n"/>
      <c r="CF173" s="614" t="n"/>
    </row>
    <row r="174">
      <c r="A174" s="29" t="n"/>
      <c r="B174" s="29" t="n"/>
      <c r="C174" s="6" t="n"/>
      <c r="E174" s="85" t="n"/>
      <c r="F174" s="85" t="n"/>
      <c r="G174" s="85" t="n"/>
      <c r="H174" s="85" t="n"/>
      <c r="I174" s="85" t="n"/>
      <c r="J174" s="85" t="n"/>
      <c r="K174" s="85" t="n"/>
      <c r="L174" s="85" t="n"/>
      <c r="M174" s="138" t="n"/>
      <c r="N174" s="85" t="n"/>
      <c r="O174" s="85" t="n"/>
      <c r="P174" s="85" t="n"/>
      <c r="Q174" s="85" t="n"/>
      <c r="R174" s="85" t="n"/>
      <c r="S174" s="85" t="n"/>
      <c r="T174" s="85" t="n"/>
      <c r="U174" s="145" t="n"/>
      <c r="V174" s="30" t="n"/>
      <c r="W174" s="98" t="n"/>
      <c r="X174" s="23" t="n"/>
      <c r="Y174" s="25" t="n"/>
      <c r="Z174" s="590" t="n"/>
      <c r="AA174" s="25" t="n"/>
      <c r="AB174" s="26" t="n"/>
      <c r="AC174" s="26" t="n"/>
      <c r="AD174" s="26" t="n"/>
      <c r="AE174" s="26" t="n"/>
      <c r="AF174" s="26" t="n"/>
      <c r="AG174" s="26" t="n"/>
      <c r="AH174" s="26" t="n"/>
      <c r="AI174" s="26" t="n"/>
      <c r="AJ174" s="26" t="n"/>
      <c r="AK174" s="101" t="n"/>
      <c r="AL174" s="101" t="n"/>
      <c r="AM174" s="26" t="n"/>
      <c r="AN174" s="26" t="n"/>
      <c r="AO174" s="26" t="n"/>
      <c r="AP174" s="101" t="n"/>
      <c r="AQ174" s="26" t="n"/>
      <c r="AR174" s="101" t="n"/>
      <c r="AS174" s="106" t="n"/>
      <c r="AT174" s="25" t="n"/>
      <c r="AU174" s="25" t="n"/>
      <c r="AV174" s="23" t="n"/>
      <c r="AW174" s="25" t="n"/>
      <c r="AX174" s="26" t="n"/>
      <c r="AY174" s="26" t="n"/>
      <c r="AZ174" s="26" t="n"/>
      <c r="BA174" s="26" t="n"/>
      <c r="BB174" s="26" t="n"/>
      <c r="BC174" s="26" t="n"/>
      <c r="BD174" s="26" t="n"/>
      <c r="BE174" s="26" t="n"/>
      <c r="BF174" s="26" t="n"/>
      <c r="BG174" s="101" t="n"/>
      <c r="BH174" s="101" t="n"/>
      <c r="BI174" s="26" t="n"/>
      <c r="BJ174" s="26" t="n"/>
      <c r="BK174" s="26" t="n"/>
      <c r="BL174" s="101" t="n"/>
      <c r="BM174" s="26" t="n"/>
      <c r="BN174" s="101" t="n"/>
      <c r="BO174" s="591" t="n"/>
      <c r="BP174" s="26" t="n"/>
      <c r="BQ174" s="26" t="n"/>
      <c r="BR174" s="26" t="n"/>
      <c r="BS174" s="26" t="n"/>
      <c r="BT174" s="614" t="n"/>
      <c r="BU174" s="614" t="n"/>
      <c r="BV174" s="593" t="n"/>
      <c r="BW174" s="614" t="n"/>
      <c r="BX174" s="614" t="n"/>
      <c r="BY174" s="615" t="n"/>
      <c r="BZ174" s="614" t="n"/>
      <c r="CA174" s="614" t="n"/>
      <c r="CB174" s="614" t="n"/>
      <c r="CC174" s="614" t="n"/>
      <c r="CD174" s="614" t="n"/>
      <c r="CE174" s="614" t="n"/>
      <c r="CF174" s="614" t="n"/>
    </row>
    <row r="175">
      <c r="A175" s="29" t="n"/>
      <c r="B175" s="29" t="n"/>
      <c r="C175" s="6" t="n"/>
      <c r="E175" s="85" t="n"/>
      <c r="F175" s="85" t="n"/>
      <c r="G175" s="85" t="n"/>
      <c r="H175" s="85" t="n"/>
      <c r="I175" s="85" t="n"/>
      <c r="J175" s="85" t="n"/>
      <c r="K175" s="85" t="n"/>
      <c r="L175" s="85" t="n"/>
      <c r="M175" s="138" t="n"/>
      <c r="N175" s="85" t="n"/>
      <c r="O175" s="85" t="n"/>
      <c r="P175" s="85" t="n"/>
      <c r="Q175" s="85" t="n"/>
      <c r="R175" s="85" t="n"/>
      <c r="S175" s="85" t="n"/>
      <c r="T175" s="85" t="n"/>
      <c r="U175" s="145" t="n"/>
      <c r="V175" s="30" t="n"/>
      <c r="W175" s="98" t="n"/>
      <c r="X175" s="23" t="n"/>
      <c r="Y175" s="25" t="n"/>
      <c r="Z175" s="590" t="n"/>
      <c r="AA175" s="25" t="n"/>
      <c r="AB175" s="26" t="n"/>
      <c r="AC175" s="26" t="n"/>
      <c r="AD175" s="26" t="n"/>
      <c r="AE175" s="26" t="n"/>
      <c r="AF175" s="26" t="n"/>
      <c r="AG175" s="26" t="n"/>
      <c r="AH175" s="26" t="n"/>
      <c r="AI175" s="26" t="n"/>
      <c r="AJ175" s="26" t="n"/>
      <c r="AK175" s="101" t="n"/>
      <c r="AL175" s="101" t="n"/>
      <c r="AM175" s="26" t="n"/>
      <c r="AN175" s="26" t="n"/>
      <c r="AO175" s="26" t="n"/>
      <c r="AP175" s="101" t="n"/>
      <c r="AQ175" s="26" t="n"/>
      <c r="AR175" s="101" t="n"/>
      <c r="AS175" s="106" t="n"/>
      <c r="AT175" s="25" t="n"/>
      <c r="AU175" s="25" t="n"/>
      <c r="AV175" s="23" t="n"/>
      <c r="AW175" s="25" t="n"/>
      <c r="AX175" s="26" t="n"/>
      <c r="AY175" s="26" t="n"/>
      <c r="AZ175" s="26" t="n"/>
      <c r="BA175" s="26" t="n"/>
      <c r="BB175" s="26" t="n"/>
      <c r="BC175" s="26" t="n"/>
      <c r="BD175" s="26" t="n"/>
      <c r="BE175" s="26" t="n"/>
      <c r="BF175" s="26" t="n"/>
      <c r="BG175" s="101" t="n"/>
      <c r="BH175" s="101" t="n"/>
      <c r="BI175" s="26" t="n"/>
      <c r="BJ175" s="26" t="n"/>
      <c r="BK175" s="26" t="n"/>
      <c r="BL175" s="101" t="n"/>
      <c r="BM175" s="26" t="n"/>
      <c r="BN175" s="101" t="n"/>
      <c r="BO175" s="591" t="n"/>
      <c r="BP175" s="26" t="n"/>
      <c r="BQ175" s="26" t="n"/>
      <c r="BR175" s="26" t="n"/>
      <c r="BS175" s="26" t="n"/>
      <c r="BT175" s="614" t="n"/>
      <c r="BU175" s="614" t="n"/>
      <c r="BV175" s="593" t="n"/>
      <c r="BW175" s="614" t="n"/>
      <c r="BX175" s="614" t="n"/>
      <c r="BY175" s="615" t="n"/>
      <c r="BZ175" s="614" t="n"/>
      <c r="CA175" s="614" t="n"/>
      <c r="CB175" s="614" t="n"/>
      <c r="CC175" s="614" t="n"/>
      <c r="CD175" s="614" t="n"/>
      <c r="CE175" s="614" t="n"/>
      <c r="CF175" s="614" t="n"/>
    </row>
    <row r="176">
      <c r="A176" s="29" t="n"/>
      <c r="B176" s="29" t="n"/>
      <c r="C176" s="6" t="n"/>
      <c r="E176" s="85" t="n"/>
      <c r="F176" s="85" t="n"/>
      <c r="G176" s="85" t="n"/>
      <c r="H176" s="85" t="n"/>
      <c r="I176" s="85" t="n"/>
      <c r="J176" s="85" t="n"/>
      <c r="K176" s="85" t="n"/>
      <c r="L176" s="85" t="n"/>
      <c r="M176" s="138" t="n"/>
      <c r="N176" s="85" t="n"/>
      <c r="O176" s="85" t="n"/>
      <c r="P176" s="85" t="n"/>
      <c r="Q176" s="85" t="n"/>
      <c r="R176" s="85" t="n"/>
      <c r="S176" s="85" t="n"/>
      <c r="T176" s="85" t="n"/>
      <c r="U176" s="145" t="n"/>
      <c r="V176" s="30" t="n"/>
      <c r="W176" s="98" t="n"/>
      <c r="X176" s="23" t="n"/>
      <c r="Y176" s="25" t="n"/>
      <c r="Z176" s="590" t="n"/>
      <c r="AA176" s="25" t="n"/>
      <c r="AB176" s="26" t="n"/>
      <c r="AC176" s="26" t="n"/>
      <c r="AD176" s="26" t="n"/>
      <c r="AE176" s="26" t="n"/>
      <c r="AF176" s="26" t="n"/>
      <c r="AG176" s="26" t="n"/>
      <c r="AH176" s="26" t="n"/>
      <c r="AI176" s="26" t="n"/>
      <c r="AJ176" s="26" t="n"/>
      <c r="AK176" s="101" t="n"/>
      <c r="AL176" s="101" t="n"/>
      <c r="AM176" s="26" t="n"/>
      <c r="AN176" s="26" t="n"/>
      <c r="AO176" s="26" t="n"/>
      <c r="AP176" s="101" t="n"/>
      <c r="AQ176" s="26" t="n"/>
      <c r="AR176" s="101" t="n"/>
      <c r="AS176" s="106" t="n"/>
      <c r="AT176" s="25" t="n"/>
      <c r="AU176" s="25" t="n"/>
      <c r="AV176" s="23" t="n"/>
      <c r="AW176" s="25" t="n"/>
      <c r="AX176" s="26" t="n"/>
      <c r="AY176" s="26" t="n"/>
      <c r="AZ176" s="26" t="n"/>
      <c r="BA176" s="26" t="n"/>
      <c r="BB176" s="26" t="n"/>
      <c r="BC176" s="26" t="n"/>
      <c r="BD176" s="26" t="n"/>
      <c r="BE176" s="26" t="n"/>
      <c r="BF176" s="26" t="n"/>
      <c r="BG176" s="101" t="n"/>
      <c r="BH176" s="101" t="n"/>
      <c r="BI176" s="26" t="n"/>
      <c r="BJ176" s="26" t="n"/>
      <c r="BK176" s="26" t="n"/>
      <c r="BL176" s="101" t="n"/>
      <c r="BM176" s="26" t="n"/>
      <c r="BN176" s="101" t="n"/>
      <c r="BO176" s="591" t="n"/>
      <c r="BP176" s="26" t="n"/>
      <c r="BQ176" s="26" t="n"/>
      <c r="BR176" s="26" t="n"/>
      <c r="BS176" s="26" t="n"/>
      <c r="BT176" s="614" t="n"/>
      <c r="BU176" s="614" t="n"/>
      <c r="BV176" s="593" t="n"/>
      <c r="BW176" s="614" t="n"/>
      <c r="BX176" s="614" t="n"/>
      <c r="BY176" s="615" t="n"/>
      <c r="BZ176" s="614" t="n"/>
      <c r="CA176" s="614" t="n"/>
      <c r="CB176" s="614" t="n"/>
      <c r="CC176" s="614" t="n"/>
      <c r="CD176" s="614" t="n"/>
      <c r="CE176" s="614" t="n"/>
      <c r="CF176" s="614" t="n"/>
    </row>
    <row r="177">
      <c r="A177" s="29" t="n"/>
      <c r="B177" s="29" t="n"/>
      <c r="C177" s="6" t="n"/>
      <c r="E177" s="85" t="n"/>
      <c r="F177" s="85" t="n"/>
      <c r="G177" s="85" t="n"/>
      <c r="H177" s="85" t="n"/>
      <c r="I177" s="85" t="n"/>
      <c r="J177" s="85" t="n"/>
      <c r="K177" s="85" t="n"/>
      <c r="L177" s="85" t="n"/>
      <c r="M177" s="138" t="n"/>
      <c r="N177" s="85" t="n"/>
      <c r="O177" s="85" t="n"/>
      <c r="P177" s="85" t="n"/>
      <c r="Q177" s="85" t="n"/>
      <c r="R177" s="85" t="n"/>
      <c r="S177" s="85" t="n"/>
      <c r="T177" s="85" t="n"/>
      <c r="U177" s="145" t="n"/>
      <c r="V177" s="30" t="n"/>
      <c r="W177" s="98" t="n"/>
      <c r="X177" s="23" t="n"/>
      <c r="Y177" s="25" t="n"/>
      <c r="Z177" s="590" t="n"/>
      <c r="AA177" s="25" t="n"/>
      <c r="AB177" s="26" t="n"/>
      <c r="AC177" s="26" t="n"/>
      <c r="AD177" s="26" t="n"/>
      <c r="AE177" s="26" t="n"/>
      <c r="AF177" s="26" t="n"/>
      <c r="AG177" s="26" t="n"/>
      <c r="AH177" s="26" t="n"/>
      <c r="AI177" s="26" t="n"/>
      <c r="AJ177" s="26" t="n"/>
      <c r="AK177" s="101" t="n"/>
      <c r="AL177" s="101" t="n"/>
      <c r="AM177" s="26" t="n"/>
      <c r="AN177" s="26" t="n"/>
      <c r="AO177" s="26" t="n"/>
      <c r="AP177" s="101" t="n"/>
      <c r="AQ177" s="26" t="n"/>
      <c r="AR177" s="101" t="n"/>
      <c r="AS177" s="106" t="n"/>
      <c r="AT177" s="25" t="n"/>
      <c r="AU177" s="25" t="n"/>
      <c r="AV177" s="23" t="n"/>
      <c r="AW177" s="25" t="n"/>
      <c r="AX177" s="26" t="n"/>
      <c r="AY177" s="26" t="n"/>
      <c r="AZ177" s="26" t="n"/>
      <c r="BA177" s="26" t="n"/>
      <c r="BB177" s="26" t="n"/>
      <c r="BC177" s="26" t="n"/>
      <c r="BD177" s="26" t="n"/>
      <c r="BE177" s="26" t="n"/>
      <c r="BF177" s="26" t="n"/>
      <c r="BG177" s="101" t="n"/>
      <c r="BH177" s="101" t="n"/>
      <c r="BI177" s="26" t="n"/>
      <c r="BJ177" s="26" t="n"/>
      <c r="BK177" s="26" t="n"/>
      <c r="BL177" s="101" t="n"/>
      <c r="BM177" s="26" t="n"/>
      <c r="BN177" s="101" t="n"/>
      <c r="BO177" s="591" t="n"/>
      <c r="BP177" s="26" t="n"/>
      <c r="BQ177" s="26" t="n"/>
      <c r="BR177" s="26" t="n"/>
      <c r="BS177" s="26" t="n"/>
      <c r="BT177" s="614" t="n"/>
      <c r="BU177" s="614" t="n"/>
      <c r="BV177" s="593" t="n"/>
      <c r="BW177" s="614" t="n"/>
      <c r="BX177" s="614" t="n"/>
      <c r="BY177" s="615" t="n"/>
      <c r="BZ177" s="614" t="n"/>
      <c r="CA177" s="614" t="n"/>
      <c r="CB177" s="614" t="n"/>
      <c r="CC177" s="614" t="n"/>
      <c r="CD177" s="614" t="n"/>
      <c r="CE177" s="614" t="n"/>
      <c r="CF177" s="614" t="n"/>
    </row>
    <row r="178">
      <c r="A178" s="29" t="n"/>
      <c r="B178" s="29" t="n"/>
      <c r="C178" s="6" t="n"/>
      <c r="E178" s="85" t="n"/>
      <c r="F178" s="85" t="n"/>
      <c r="G178" s="85" t="n"/>
      <c r="H178" s="85" t="n"/>
      <c r="I178" s="85" t="n"/>
      <c r="J178" s="85" t="n"/>
      <c r="K178" s="85" t="n"/>
      <c r="L178" s="85" t="n"/>
      <c r="M178" s="138" t="n"/>
      <c r="N178" s="85" t="n"/>
      <c r="O178" s="85" t="n"/>
      <c r="P178" s="85" t="n"/>
      <c r="Q178" s="85" t="n"/>
      <c r="R178" s="85" t="n"/>
      <c r="S178" s="85" t="n"/>
      <c r="T178" s="85" t="n"/>
      <c r="U178" s="145" t="n"/>
      <c r="V178" s="30" t="n"/>
      <c r="W178" s="98" t="n"/>
      <c r="X178" s="23" t="n"/>
      <c r="Y178" s="25" t="n"/>
      <c r="Z178" s="590" t="n"/>
      <c r="AA178" s="25" t="n"/>
      <c r="AB178" s="26" t="n"/>
      <c r="AC178" s="26" t="n"/>
      <c r="AD178" s="26" t="n"/>
      <c r="AE178" s="26" t="n"/>
      <c r="AF178" s="26" t="n"/>
      <c r="AG178" s="26" t="n"/>
      <c r="AH178" s="26" t="n"/>
      <c r="AI178" s="26" t="n"/>
      <c r="AJ178" s="26" t="n"/>
      <c r="AK178" s="101" t="n"/>
      <c r="AL178" s="101" t="n"/>
      <c r="AM178" s="26" t="n"/>
      <c r="AN178" s="26" t="n"/>
      <c r="AO178" s="26" t="n"/>
      <c r="AP178" s="101" t="n"/>
      <c r="AQ178" s="26" t="n"/>
      <c r="AR178" s="101" t="n"/>
      <c r="AS178" s="106" t="n"/>
      <c r="AT178" s="25" t="n"/>
      <c r="AU178" s="25" t="n"/>
      <c r="AV178" s="23" t="n"/>
      <c r="AW178" s="25" t="n"/>
      <c r="AX178" s="26" t="n"/>
      <c r="AY178" s="26" t="n"/>
      <c r="AZ178" s="26" t="n"/>
      <c r="BA178" s="26" t="n"/>
      <c r="BB178" s="26" t="n"/>
      <c r="BC178" s="26" t="n"/>
      <c r="BD178" s="26" t="n"/>
      <c r="BE178" s="26" t="n"/>
      <c r="BF178" s="26" t="n"/>
      <c r="BG178" s="101" t="n"/>
      <c r="BH178" s="101" t="n"/>
      <c r="BI178" s="26" t="n"/>
      <c r="BJ178" s="26" t="n"/>
      <c r="BK178" s="26" t="n"/>
      <c r="BL178" s="101" t="n"/>
      <c r="BM178" s="26" t="n"/>
      <c r="BN178" s="101" t="n"/>
      <c r="BO178" s="591" t="n"/>
      <c r="BP178" s="26" t="n"/>
      <c r="BQ178" s="26" t="n"/>
      <c r="BR178" s="26" t="n"/>
      <c r="BS178" s="26" t="n"/>
      <c r="BT178" s="614" t="n"/>
      <c r="BU178" s="614" t="n"/>
      <c r="BV178" s="593" t="n"/>
      <c r="BW178" s="614" t="n"/>
      <c r="BX178" s="614" t="n"/>
      <c r="BY178" s="615" t="n"/>
      <c r="BZ178" s="614" t="n"/>
      <c r="CA178" s="614" t="n"/>
      <c r="CB178" s="614" t="n"/>
      <c r="CC178" s="614" t="n"/>
      <c r="CD178" s="614" t="n"/>
      <c r="CE178" s="614" t="n"/>
      <c r="CF178" s="614" t="n"/>
    </row>
    <row r="179">
      <c r="A179" s="29" t="n"/>
      <c r="B179" s="29" t="n"/>
      <c r="C179" s="6" t="n"/>
      <c r="E179" s="85" t="n"/>
      <c r="F179" s="85" t="n"/>
      <c r="G179" s="85" t="n"/>
      <c r="H179" s="85" t="n"/>
      <c r="I179" s="85" t="n"/>
      <c r="J179" s="85" t="n"/>
      <c r="K179" s="85" t="n"/>
      <c r="L179" s="85" t="n"/>
      <c r="M179" s="138" t="n"/>
      <c r="N179" s="85" t="n"/>
      <c r="O179" s="85" t="n"/>
      <c r="P179" s="85" t="n"/>
      <c r="Q179" s="85" t="n"/>
      <c r="R179" s="85" t="n"/>
      <c r="S179" s="85" t="n"/>
      <c r="T179" s="85" t="n"/>
      <c r="U179" s="145" t="n"/>
      <c r="V179" s="30" t="n"/>
      <c r="W179" s="98" t="n"/>
      <c r="X179" s="23" t="n"/>
      <c r="Y179" s="25" t="n"/>
      <c r="Z179" s="590" t="n"/>
      <c r="AA179" s="25" t="n"/>
      <c r="AB179" s="26" t="n"/>
      <c r="AC179" s="26" t="n"/>
      <c r="AD179" s="26" t="n"/>
      <c r="AE179" s="26" t="n"/>
      <c r="AF179" s="26" t="n"/>
      <c r="AG179" s="26" t="n"/>
      <c r="AH179" s="26" t="n"/>
      <c r="AI179" s="26" t="n"/>
      <c r="AJ179" s="26" t="n"/>
      <c r="AK179" s="101" t="n"/>
      <c r="AL179" s="101" t="n"/>
      <c r="AM179" s="26" t="n"/>
      <c r="AN179" s="26" t="n"/>
      <c r="AO179" s="26" t="n"/>
      <c r="AP179" s="101" t="n"/>
      <c r="AQ179" s="26" t="n"/>
      <c r="AR179" s="101" t="n"/>
      <c r="AS179" s="106" t="n"/>
      <c r="AT179" s="25" t="n"/>
      <c r="AU179" s="25" t="n"/>
      <c r="AV179" s="23" t="n"/>
      <c r="AW179" s="25" t="n"/>
      <c r="AX179" s="26" t="n"/>
      <c r="AY179" s="26" t="n"/>
      <c r="AZ179" s="26" t="n"/>
      <c r="BA179" s="26" t="n"/>
      <c r="BB179" s="26" t="n"/>
      <c r="BC179" s="26" t="n"/>
      <c r="BD179" s="26" t="n"/>
      <c r="BE179" s="26" t="n"/>
      <c r="BF179" s="26" t="n"/>
      <c r="BG179" s="101" t="n"/>
      <c r="BH179" s="101" t="n"/>
      <c r="BI179" s="26" t="n"/>
      <c r="BJ179" s="26" t="n"/>
      <c r="BK179" s="26" t="n"/>
      <c r="BL179" s="101" t="n"/>
      <c r="BM179" s="26" t="n"/>
      <c r="BN179" s="101" t="n"/>
      <c r="BO179" s="591" t="n"/>
      <c r="BP179" s="26" t="n"/>
      <c r="BQ179" s="26" t="n"/>
      <c r="BR179" s="26" t="n"/>
      <c r="BS179" s="26" t="n"/>
      <c r="BT179" s="614" t="n"/>
      <c r="BU179" s="614" t="n"/>
      <c r="BV179" s="593" t="n"/>
      <c r="BW179" s="614" t="n"/>
      <c r="BX179" s="614" t="n"/>
      <c r="BY179" s="615" t="n"/>
      <c r="BZ179" s="614" t="n"/>
      <c r="CA179" s="614" t="n"/>
      <c r="CB179" s="614" t="n"/>
      <c r="CC179" s="614" t="n"/>
      <c r="CD179" s="614" t="n"/>
      <c r="CE179" s="614" t="n"/>
      <c r="CF179" s="614" t="n"/>
    </row>
    <row r="180">
      <c r="A180" s="29" t="n"/>
      <c r="B180" s="29" t="n"/>
      <c r="C180" s="6" t="n"/>
      <c r="E180" s="85" t="n"/>
      <c r="F180" s="85" t="n"/>
      <c r="G180" s="85" t="n"/>
      <c r="H180" s="85" t="n"/>
      <c r="I180" s="85" t="n"/>
      <c r="J180" s="85" t="n"/>
      <c r="K180" s="85" t="n"/>
      <c r="L180" s="85" t="n"/>
      <c r="M180" s="138" t="n"/>
      <c r="N180" s="85" t="n"/>
      <c r="O180" s="85" t="n"/>
      <c r="P180" s="85" t="n"/>
      <c r="Q180" s="85" t="n"/>
      <c r="R180" s="85" t="n"/>
      <c r="S180" s="85" t="n"/>
      <c r="T180" s="85" t="n"/>
      <c r="U180" s="145" t="n"/>
      <c r="V180" s="30" t="n"/>
      <c r="W180" s="98" t="n"/>
      <c r="X180" s="23" t="n"/>
      <c r="Y180" s="25" t="n"/>
      <c r="Z180" s="590" t="n"/>
      <c r="AA180" s="25" t="n"/>
      <c r="AB180" s="26" t="n"/>
      <c r="AC180" s="26" t="n"/>
      <c r="AD180" s="26" t="n"/>
      <c r="AE180" s="26" t="n"/>
      <c r="AF180" s="26" t="n"/>
      <c r="AG180" s="26" t="n"/>
      <c r="AH180" s="26" t="n"/>
      <c r="AI180" s="26" t="n"/>
      <c r="AJ180" s="26" t="n"/>
      <c r="AK180" s="101" t="n"/>
      <c r="AL180" s="101" t="n"/>
      <c r="AM180" s="26" t="n"/>
      <c r="AN180" s="26" t="n"/>
      <c r="AO180" s="26" t="n"/>
      <c r="AP180" s="101" t="n"/>
      <c r="AQ180" s="26" t="n"/>
      <c r="AR180" s="101" t="n"/>
      <c r="AS180" s="106" t="n"/>
      <c r="AT180" s="25" t="n"/>
      <c r="AU180" s="25" t="n"/>
      <c r="AV180" s="23" t="n"/>
      <c r="AW180" s="25" t="n"/>
      <c r="AX180" s="26" t="n"/>
      <c r="AY180" s="26" t="n"/>
      <c r="AZ180" s="26" t="n"/>
      <c r="BA180" s="26" t="n"/>
      <c r="BB180" s="26" t="n"/>
      <c r="BC180" s="26" t="n"/>
      <c r="BD180" s="26" t="n"/>
      <c r="BE180" s="26" t="n"/>
      <c r="BF180" s="26" t="n"/>
      <c r="BG180" s="101" t="n"/>
      <c r="BH180" s="101" t="n"/>
      <c r="BI180" s="26" t="n"/>
      <c r="BJ180" s="26" t="n"/>
      <c r="BK180" s="26" t="n"/>
      <c r="BL180" s="101" t="n"/>
      <c r="BM180" s="26" t="n"/>
      <c r="BN180" s="101" t="n"/>
      <c r="BO180" s="591" t="n"/>
      <c r="BP180" s="26" t="n"/>
      <c r="BQ180" s="26" t="n"/>
      <c r="BR180" s="26" t="n"/>
      <c r="BS180" s="26" t="n"/>
      <c r="BT180" s="614" t="n"/>
      <c r="BU180" s="614" t="n"/>
      <c r="BV180" s="593" t="n"/>
      <c r="BW180" s="614" t="n"/>
      <c r="BX180" s="614" t="n"/>
      <c r="BY180" s="615" t="n"/>
      <c r="BZ180" s="614" t="n"/>
      <c r="CA180" s="614" t="n"/>
      <c r="CB180" s="614" t="n"/>
      <c r="CC180" s="614" t="n"/>
      <c r="CD180" s="614" t="n"/>
      <c r="CE180" s="614" t="n"/>
      <c r="CF180" s="614" t="n"/>
    </row>
    <row r="181">
      <c r="A181" s="29" t="n"/>
      <c r="B181" s="29" t="n"/>
      <c r="C181" s="6" t="n"/>
      <c r="E181" s="85" t="n"/>
      <c r="F181" s="85" t="n"/>
      <c r="G181" s="85" t="n"/>
      <c r="H181" s="85" t="n"/>
      <c r="I181" s="85" t="n"/>
      <c r="J181" s="85" t="n"/>
      <c r="K181" s="85" t="n"/>
      <c r="L181" s="85" t="n"/>
      <c r="M181" s="138" t="n"/>
      <c r="N181" s="85" t="n"/>
      <c r="O181" s="85" t="n"/>
      <c r="P181" s="85" t="n"/>
      <c r="Q181" s="85" t="n"/>
      <c r="R181" s="85" t="n"/>
      <c r="S181" s="85" t="n"/>
      <c r="T181" s="85" t="n"/>
      <c r="U181" s="145" t="n"/>
      <c r="V181" s="30" t="n"/>
      <c r="W181" s="98" t="n"/>
      <c r="X181" s="23" t="n"/>
      <c r="Y181" s="25" t="n"/>
      <c r="Z181" s="590" t="n"/>
      <c r="AA181" s="25" t="n"/>
      <c r="AB181" s="26" t="n"/>
      <c r="AC181" s="26" t="n"/>
      <c r="AD181" s="26" t="n"/>
      <c r="AE181" s="26" t="n"/>
      <c r="AF181" s="26" t="n"/>
      <c r="AG181" s="26" t="n"/>
      <c r="AH181" s="26" t="n"/>
      <c r="AI181" s="26" t="n"/>
      <c r="AJ181" s="26" t="n"/>
      <c r="AK181" s="101" t="n"/>
      <c r="AL181" s="101" t="n"/>
      <c r="AM181" s="26" t="n"/>
      <c r="AN181" s="26" t="n"/>
      <c r="AO181" s="26" t="n"/>
      <c r="AP181" s="101" t="n"/>
      <c r="AQ181" s="26" t="n"/>
      <c r="AR181" s="101" t="n"/>
      <c r="AS181" s="106" t="n"/>
      <c r="AT181" s="25" t="n"/>
      <c r="AU181" s="25" t="n"/>
      <c r="AV181" s="23" t="n"/>
      <c r="AW181" s="25" t="n"/>
      <c r="AX181" s="26" t="n"/>
      <c r="AY181" s="26" t="n"/>
      <c r="AZ181" s="26" t="n"/>
      <c r="BA181" s="26" t="n"/>
      <c r="BB181" s="26" t="n"/>
      <c r="BC181" s="26" t="n"/>
      <c r="BD181" s="26" t="n"/>
      <c r="BE181" s="26" t="n"/>
      <c r="BF181" s="26" t="n"/>
      <c r="BG181" s="101" t="n"/>
      <c r="BH181" s="101" t="n"/>
      <c r="BI181" s="26" t="n"/>
      <c r="BJ181" s="26" t="n"/>
      <c r="BK181" s="26" t="n"/>
      <c r="BL181" s="101" t="n"/>
      <c r="BM181" s="26" t="n"/>
      <c r="BN181" s="101" t="n"/>
      <c r="BO181" s="591" t="n"/>
      <c r="BP181" s="26" t="n"/>
      <c r="BQ181" s="26" t="n"/>
      <c r="BR181" s="26" t="n"/>
      <c r="BS181" s="26" t="n"/>
      <c r="BT181" s="614" t="n"/>
      <c r="BU181" s="614" t="n"/>
      <c r="BV181" s="593" t="n"/>
      <c r="BW181" s="614" t="n"/>
      <c r="BX181" s="614" t="n"/>
      <c r="BY181" s="615" t="n"/>
      <c r="BZ181" s="614" t="n"/>
      <c r="CA181" s="614" t="n"/>
      <c r="CB181" s="614" t="n"/>
      <c r="CC181" s="614" t="n"/>
      <c r="CD181" s="614" t="n"/>
      <c r="CE181" s="614" t="n"/>
      <c r="CF181" s="614" t="n"/>
    </row>
    <row r="182">
      <c r="A182" s="29" t="n"/>
      <c r="B182" s="29" t="n"/>
      <c r="C182" s="6" t="n"/>
      <c r="E182" s="85" t="n"/>
      <c r="F182" s="85" t="n"/>
      <c r="G182" s="85" t="n"/>
      <c r="H182" s="85" t="n"/>
      <c r="I182" s="85" t="n"/>
      <c r="J182" s="85" t="n"/>
      <c r="K182" s="85" t="n"/>
      <c r="L182" s="85" t="n"/>
      <c r="M182" s="138" t="n"/>
      <c r="N182" s="85" t="n"/>
      <c r="O182" s="85" t="n"/>
      <c r="P182" s="85" t="n"/>
      <c r="Q182" s="85" t="n"/>
      <c r="R182" s="85" t="n"/>
      <c r="S182" s="85" t="n"/>
      <c r="T182" s="85" t="n"/>
      <c r="U182" s="145" t="n"/>
      <c r="V182" s="30" t="n"/>
      <c r="W182" s="98" t="n"/>
      <c r="X182" s="23" t="n"/>
      <c r="Y182" s="25" t="n"/>
      <c r="Z182" s="590" t="n"/>
      <c r="AA182" s="25" t="n"/>
      <c r="AB182" s="26" t="n"/>
      <c r="AC182" s="26" t="n"/>
      <c r="AD182" s="26" t="n"/>
      <c r="AE182" s="26" t="n"/>
      <c r="AF182" s="26" t="n"/>
      <c r="AG182" s="26" t="n"/>
      <c r="AH182" s="26" t="n"/>
      <c r="AI182" s="26" t="n"/>
      <c r="AJ182" s="26" t="n"/>
      <c r="AK182" s="101" t="n"/>
      <c r="AL182" s="101" t="n"/>
      <c r="AM182" s="26" t="n"/>
      <c r="AN182" s="26" t="n"/>
      <c r="AO182" s="26" t="n"/>
      <c r="AP182" s="101" t="n"/>
      <c r="AQ182" s="26" t="n"/>
      <c r="AR182" s="101" t="n"/>
      <c r="AS182" s="106" t="n"/>
      <c r="AT182" s="25" t="n"/>
      <c r="AU182" s="25" t="n"/>
      <c r="AV182" s="23" t="n"/>
      <c r="AW182" s="25" t="n"/>
      <c r="AX182" s="26" t="n"/>
      <c r="AY182" s="26" t="n"/>
      <c r="AZ182" s="26" t="n"/>
      <c r="BA182" s="26" t="n"/>
      <c r="BB182" s="26" t="n"/>
      <c r="BC182" s="26" t="n"/>
      <c r="BD182" s="26" t="n"/>
      <c r="BE182" s="26" t="n"/>
      <c r="BF182" s="26" t="n"/>
      <c r="BG182" s="101" t="n"/>
      <c r="BH182" s="101" t="n"/>
      <c r="BI182" s="26" t="n"/>
      <c r="BJ182" s="26" t="n"/>
      <c r="BK182" s="26" t="n"/>
      <c r="BL182" s="101" t="n"/>
      <c r="BM182" s="26" t="n"/>
      <c r="BN182" s="101" t="n"/>
      <c r="BO182" s="591" t="n"/>
      <c r="BP182" s="26" t="n"/>
      <c r="BQ182" s="26" t="n"/>
      <c r="BR182" s="26" t="n"/>
      <c r="BS182" s="26" t="n"/>
      <c r="BT182" s="614" t="n"/>
      <c r="BU182" s="614" t="n"/>
      <c r="BV182" s="593" t="n"/>
      <c r="BW182" s="614" t="n"/>
      <c r="BX182" s="614" t="n"/>
      <c r="BY182" s="615" t="n"/>
      <c r="BZ182" s="614" t="n"/>
      <c r="CA182" s="614" t="n"/>
      <c r="CB182" s="614" t="n"/>
      <c r="CC182" s="614" t="n"/>
      <c r="CD182" s="614" t="n"/>
      <c r="CE182" s="614" t="n"/>
      <c r="CF182" s="614" t="n"/>
    </row>
    <row r="183">
      <c r="A183" s="29" t="n"/>
      <c r="B183" s="29" t="n"/>
      <c r="C183" s="6" t="n"/>
      <c r="E183" s="85" t="n"/>
      <c r="F183" s="85" t="n"/>
      <c r="G183" s="85" t="n"/>
      <c r="H183" s="85" t="n"/>
      <c r="I183" s="85" t="n"/>
      <c r="J183" s="85" t="n"/>
      <c r="K183" s="85" t="n"/>
      <c r="L183" s="85" t="n"/>
      <c r="M183" s="138" t="n"/>
      <c r="N183" s="85" t="n"/>
      <c r="O183" s="85" t="n"/>
      <c r="P183" s="85" t="n"/>
      <c r="Q183" s="85" t="n"/>
      <c r="R183" s="85" t="n"/>
      <c r="S183" s="85" t="n"/>
      <c r="T183" s="85" t="n"/>
      <c r="U183" s="145" t="n"/>
      <c r="V183" s="30" t="n"/>
      <c r="W183" s="98" t="n"/>
      <c r="X183" s="23" t="n"/>
      <c r="Y183" s="25" t="n"/>
      <c r="Z183" s="590" t="n"/>
      <c r="AA183" s="25" t="n"/>
      <c r="AB183" s="26" t="n"/>
      <c r="AC183" s="26" t="n"/>
      <c r="AD183" s="26" t="n"/>
      <c r="AE183" s="26" t="n"/>
      <c r="AF183" s="26" t="n"/>
      <c r="AG183" s="26" t="n"/>
      <c r="AH183" s="26" t="n"/>
      <c r="AI183" s="26" t="n"/>
      <c r="AJ183" s="26" t="n"/>
      <c r="AK183" s="101" t="n"/>
      <c r="AL183" s="101" t="n"/>
      <c r="AM183" s="26" t="n"/>
      <c r="AN183" s="26" t="n"/>
      <c r="AO183" s="26" t="n"/>
      <c r="AP183" s="101" t="n"/>
      <c r="AQ183" s="26" t="n"/>
      <c r="AR183" s="101" t="n"/>
      <c r="AS183" s="106" t="n"/>
      <c r="AT183" s="25" t="n"/>
      <c r="AU183" s="25" t="n"/>
      <c r="AV183" s="23" t="n"/>
      <c r="AW183" s="25" t="n"/>
      <c r="AX183" s="26" t="n"/>
      <c r="AY183" s="26" t="n"/>
      <c r="AZ183" s="26" t="n"/>
      <c r="BA183" s="26" t="n"/>
      <c r="BB183" s="26" t="n"/>
      <c r="BC183" s="26" t="n"/>
      <c r="BD183" s="26" t="n"/>
      <c r="BE183" s="26" t="n"/>
      <c r="BF183" s="26" t="n"/>
      <c r="BG183" s="101" t="n"/>
      <c r="BH183" s="101" t="n"/>
      <c r="BI183" s="26" t="n"/>
      <c r="BJ183" s="26" t="n"/>
      <c r="BK183" s="26" t="n"/>
      <c r="BL183" s="101" t="n"/>
      <c r="BM183" s="26" t="n"/>
      <c r="BN183" s="101" t="n"/>
      <c r="BO183" s="591" t="n"/>
      <c r="BP183" s="26" t="n"/>
      <c r="BQ183" s="26" t="n"/>
      <c r="BR183" s="26" t="n"/>
      <c r="BS183" s="26" t="n"/>
      <c r="BT183" s="614" t="n"/>
      <c r="BU183" s="614" t="n"/>
      <c r="BV183" s="593" t="n"/>
      <c r="BW183" s="614" t="n"/>
      <c r="BX183" s="614" t="n"/>
      <c r="BY183" s="615" t="n"/>
      <c r="BZ183" s="614" t="n"/>
      <c r="CA183" s="614" t="n"/>
      <c r="CB183" s="614" t="n"/>
      <c r="CC183" s="614" t="n"/>
      <c r="CD183" s="614" t="n"/>
      <c r="CE183" s="614" t="n"/>
      <c r="CF183" s="614" t="n"/>
    </row>
    <row r="184">
      <c r="A184" s="29" t="n"/>
      <c r="B184" s="29" t="n"/>
      <c r="C184" s="6" t="n"/>
      <c r="E184" s="85" t="n"/>
      <c r="F184" s="85" t="n"/>
      <c r="G184" s="85" t="n"/>
      <c r="H184" s="85" t="n"/>
      <c r="I184" s="85" t="n"/>
      <c r="J184" s="85" t="n"/>
      <c r="K184" s="85" t="n"/>
      <c r="L184" s="85" t="n"/>
      <c r="M184" s="138" t="n"/>
      <c r="N184" s="85" t="n"/>
      <c r="O184" s="85" t="n"/>
      <c r="P184" s="85" t="n"/>
      <c r="Q184" s="85" t="n"/>
      <c r="R184" s="85" t="n"/>
      <c r="S184" s="85" t="n"/>
      <c r="T184" s="85" t="n"/>
      <c r="U184" s="145" t="n"/>
      <c r="V184" s="30" t="n"/>
      <c r="W184" s="98" t="n"/>
      <c r="X184" s="23" t="n"/>
      <c r="Y184" s="25" t="n"/>
      <c r="Z184" s="590" t="n"/>
      <c r="AA184" s="25" t="n"/>
      <c r="AB184" s="26" t="n"/>
      <c r="AC184" s="26" t="n"/>
      <c r="AD184" s="26" t="n"/>
      <c r="AE184" s="26" t="n"/>
      <c r="AF184" s="26" t="n"/>
      <c r="AG184" s="26" t="n"/>
      <c r="AH184" s="26" t="n"/>
      <c r="AI184" s="26" t="n"/>
      <c r="AJ184" s="26" t="n"/>
      <c r="AK184" s="101" t="n"/>
      <c r="AL184" s="101" t="n"/>
      <c r="AM184" s="26" t="n"/>
      <c r="AN184" s="26" t="n"/>
      <c r="AO184" s="26" t="n"/>
      <c r="AP184" s="101" t="n"/>
      <c r="AQ184" s="26" t="n"/>
      <c r="AR184" s="101" t="n"/>
      <c r="AS184" s="106" t="n"/>
      <c r="AT184" s="25" t="n"/>
      <c r="AU184" s="25" t="n"/>
      <c r="AV184" s="23" t="n"/>
      <c r="AW184" s="25" t="n"/>
      <c r="AX184" s="26" t="n"/>
      <c r="AY184" s="26" t="n"/>
      <c r="AZ184" s="26" t="n"/>
      <c r="BA184" s="26" t="n"/>
      <c r="BB184" s="26" t="n"/>
      <c r="BC184" s="26" t="n"/>
      <c r="BD184" s="26" t="n"/>
      <c r="BE184" s="26" t="n"/>
      <c r="BF184" s="26" t="n"/>
      <c r="BG184" s="101" t="n"/>
      <c r="BH184" s="101" t="n"/>
      <c r="BI184" s="26" t="n"/>
      <c r="BJ184" s="26" t="n"/>
      <c r="BK184" s="26" t="n"/>
      <c r="BL184" s="101" t="n"/>
      <c r="BM184" s="26" t="n"/>
      <c r="BN184" s="101" t="n"/>
      <c r="BO184" s="591" t="n"/>
      <c r="BP184" s="26" t="n"/>
      <c r="BQ184" s="26" t="n"/>
      <c r="BR184" s="26" t="n"/>
      <c r="BS184" s="26" t="n"/>
      <c r="BT184" s="614" t="n"/>
      <c r="BU184" s="614" t="n"/>
      <c r="BV184" s="593" t="n"/>
      <c r="BW184" s="614" t="n"/>
      <c r="BX184" s="614" t="n"/>
      <c r="BY184" s="615" t="n"/>
      <c r="BZ184" s="614" t="n"/>
      <c r="CA184" s="614" t="n"/>
      <c r="CB184" s="614" t="n"/>
      <c r="CC184" s="614" t="n"/>
      <c r="CD184" s="614" t="n"/>
      <c r="CE184" s="614" t="n"/>
      <c r="CF184" s="614" t="n"/>
    </row>
    <row r="185">
      <c r="A185" s="29" t="n"/>
      <c r="B185" s="29" t="n"/>
      <c r="C185" s="6" t="n"/>
      <c r="E185" s="85" t="n"/>
      <c r="F185" s="85" t="n"/>
      <c r="G185" s="85" t="n"/>
      <c r="H185" s="85" t="n"/>
      <c r="I185" s="85" t="n"/>
      <c r="J185" s="85" t="n"/>
      <c r="K185" s="85" t="n"/>
      <c r="L185" s="85" t="n"/>
      <c r="M185" s="138" t="n"/>
      <c r="N185" s="85" t="n"/>
      <c r="O185" s="85" t="n"/>
      <c r="P185" s="85" t="n"/>
      <c r="Q185" s="85" t="n"/>
      <c r="R185" s="85" t="n"/>
      <c r="S185" s="85" t="n"/>
      <c r="T185" s="85" t="n"/>
      <c r="U185" s="145" t="n"/>
      <c r="V185" s="30" t="n"/>
      <c r="W185" s="98" t="n"/>
      <c r="X185" s="23" t="n"/>
      <c r="Y185" s="25" t="n"/>
      <c r="Z185" s="590" t="n"/>
      <c r="AA185" s="25" t="n"/>
      <c r="AB185" s="26" t="n"/>
      <c r="AC185" s="26" t="n"/>
      <c r="AD185" s="26" t="n"/>
      <c r="AE185" s="26" t="n"/>
      <c r="AF185" s="26" t="n"/>
      <c r="AG185" s="26" t="n"/>
      <c r="AH185" s="26" t="n"/>
      <c r="AI185" s="26" t="n"/>
      <c r="AJ185" s="26" t="n"/>
      <c r="AK185" s="101" t="n"/>
      <c r="AL185" s="101" t="n"/>
      <c r="AM185" s="26" t="n"/>
      <c r="AN185" s="26" t="n"/>
      <c r="AO185" s="26" t="n"/>
      <c r="AP185" s="101" t="n"/>
      <c r="AQ185" s="26" t="n"/>
      <c r="AR185" s="101" t="n"/>
      <c r="AS185" s="106" t="n"/>
      <c r="AT185" s="25" t="n"/>
      <c r="AU185" s="25" t="n"/>
      <c r="AV185" s="23" t="n"/>
      <c r="AW185" s="25" t="n"/>
      <c r="AX185" s="26" t="n"/>
      <c r="AY185" s="26" t="n"/>
      <c r="AZ185" s="26" t="n"/>
      <c r="BA185" s="26" t="n"/>
      <c r="BB185" s="26" t="n"/>
      <c r="BC185" s="26" t="n"/>
      <c r="BD185" s="26" t="n"/>
      <c r="BE185" s="26" t="n"/>
      <c r="BF185" s="26" t="n"/>
      <c r="BG185" s="101" t="n"/>
      <c r="BH185" s="101" t="n"/>
      <c r="BI185" s="26" t="n"/>
      <c r="BJ185" s="26" t="n"/>
      <c r="BK185" s="26" t="n"/>
      <c r="BL185" s="101" t="n"/>
      <c r="BM185" s="26" t="n"/>
      <c r="BN185" s="101" t="n"/>
      <c r="BO185" s="591" t="n"/>
      <c r="BP185" s="26" t="n"/>
      <c r="BQ185" s="26" t="n"/>
      <c r="BR185" s="26" t="n"/>
      <c r="BS185" s="26" t="n"/>
      <c r="BT185" s="614" t="n"/>
      <c r="BU185" s="614" t="n"/>
      <c r="BV185" s="593" t="n"/>
      <c r="BW185" s="614" t="n"/>
      <c r="BX185" s="614" t="n"/>
      <c r="BY185" s="615" t="n"/>
      <c r="BZ185" s="614" t="n"/>
      <c r="CA185" s="614" t="n"/>
      <c r="CB185" s="614" t="n"/>
      <c r="CC185" s="614" t="n"/>
      <c r="CD185" s="614" t="n"/>
      <c r="CE185" s="614" t="n"/>
      <c r="CF185" s="614" t="n"/>
    </row>
    <row r="186">
      <c r="A186" s="29" t="n"/>
      <c r="B186" s="29" t="n"/>
      <c r="C186" s="6" t="n"/>
      <c r="E186" s="85" t="n"/>
      <c r="F186" s="85" t="n"/>
      <c r="G186" s="85" t="n"/>
      <c r="H186" s="85" t="n"/>
      <c r="I186" s="85" t="n"/>
      <c r="J186" s="85" t="n"/>
      <c r="K186" s="85" t="n"/>
      <c r="L186" s="85" t="n"/>
      <c r="M186" s="138" t="n"/>
      <c r="N186" s="85" t="n"/>
      <c r="O186" s="85" t="n"/>
      <c r="P186" s="85" t="n"/>
      <c r="Q186" s="85" t="n"/>
      <c r="R186" s="85" t="n"/>
      <c r="S186" s="85" t="n"/>
      <c r="T186" s="85" t="n"/>
      <c r="U186" s="145" t="n"/>
      <c r="V186" s="30" t="n"/>
      <c r="W186" s="98" t="n"/>
      <c r="X186" s="23" t="n"/>
      <c r="Y186" s="25" t="n"/>
      <c r="Z186" s="590" t="n"/>
      <c r="AA186" s="25" t="n"/>
      <c r="AB186" s="26" t="n"/>
      <c r="AC186" s="26" t="n"/>
      <c r="AD186" s="26" t="n"/>
      <c r="AE186" s="26" t="n"/>
      <c r="AF186" s="26" t="n"/>
      <c r="AG186" s="26" t="n"/>
      <c r="AH186" s="26" t="n"/>
      <c r="AI186" s="26" t="n"/>
      <c r="AJ186" s="26" t="n"/>
      <c r="AK186" s="101" t="n"/>
      <c r="AL186" s="101" t="n"/>
      <c r="AM186" s="26" t="n"/>
      <c r="AN186" s="26" t="n"/>
      <c r="AO186" s="26" t="n"/>
      <c r="AP186" s="101" t="n"/>
      <c r="AQ186" s="26" t="n"/>
      <c r="AR186" s="101" t="n"/>
      <c r="AS186" s="106" t="n"/>
      <c r="AT186" s="25" t="n"/>
      <c r="AU186" s="25" t="n"/>
      <c r="AV186" s="23" t="n"/>
      <c r="AW186" s="25" t="n"/>
      <c r="AX186" s="26" t="n"/>
      <c r="AY186" s="26" t="n"/>
      <c r="AZ186" s="26" t="n"/>
      <c r="BA186" s="26" t="n"/>
      <c r="BB186" s="26" t="n"/>
      <c r="BC186" s="26" t="n"/>
      <c r="BD186" s="26" t="n"/>
      <c r="BE186" s="26" t="n"/>
      <c r="BF186" s="26" t="n"/>
      <c r="BG186" s="101" t="n"/>
      <c r="BH186" s="101" t="n"/>
      <c r="BI186" s="26" t="n"/>
      <c r="BJ186" s="26" t="n"/>
      <c r="BK186" s="26" t="n"/>
      <c r="BL186" s="101" t="n"/>
      <c r="BM186" s="26" t="n"/>
      <c r="BN186" s="101" t="n"/>
      <c r="BO186" s="591" t="n"/>
      <c r="BP186" s="26" t="n"/>
      <c r="BQ186" s="26" t="n"/>
      <c r="BR186" s="26" t="n"/>
      <c r="BS186" s="26" t="n"/>
      <c r="BT186" s="614" t="n"/>
      <c r="BU186" s="614" t="n"/>
      <c r="BV186" s="593" t="n"/>
      <c r="BW186" s="614" t="n"/>
      <c r="BX186" s="614" t="n"/>
      <c r="BY186" s="615" t="n"/>
      <c r="BZ186" s="614" t="n"/>
      <c r="CA186" s="614" t="n"/>
      <c r="CB186" s="614" t="n"/>
      <c r="CC186" s="614" t="n"/>
      <c r="CD186" s="614" t="n"/>
      <c r="CE186" s="614" t="n"/>
      <c r="CF186" s="614" t="n"/>
    </row>
    <row r="187">
      <c r="A187" s="29" t="n"/>
      <c r="B187" s="29" t="n"/>
      <c r="C187" s="6" t="n"/>
      <c r="E187" s="85" t="n"/>
      <c r="F187" s="85" t="n"/>
      <c r="G187" s="85" t="n"/>
      <c r="H187" s="85" t="n"/>
      <c r="I187" s="85" t="n"/>
      <c r="J187" s="85" t="n"/>
      <c r="K187" s="85" t="n"/>
      <c r="L187" s="85" t="n"/>
      <c r="M187" s="138" t="n"/>
      <c r="N187" s="85" t="n"/>
      <c r="O187" s="85" t="n"/>
      <c r="P187" s="85" t="n"/>
      <c r="Q187" s="85" t="n"/>
      <c r="R187" s="85" t="n"/>
      <c r="S187" s="85" t="n"/>
      <c r="T187" s="85" t="n"/>
      <c r="U187" s="145" t="n"/>
      <c r="V187" s="30" t="n"/>
      <c r="W187" s="98" t="n"/>
      <c r="X187" s="23" t="n"/>
      <c r="Y187" s="25" t="n"/>
      <c r="Z187" s="590" t="n"/>
      <c r="AA187" s="25" t="n"/>
      <c r="AB187" s="26" t="n"/>
      <c r="AC187" s="26" t="n"/>
      <c r="AD187" s="26" t="n"/>
      <c r="AE187" s="26" t="n"/>
      <c r="AF187" s="26" t="n"/>
      <c r="AG187" s="26" t="n"/>
      <c r="AH187" s="26" t="n"/>
      <c r="AI187" s="26" t="n"/>
      <c r="AJ187" s="26" t="n"/>
      <c r="AK187" s="101" t="n"/>
      <c r="AL187" s="101" t="n"/>
      <c r="AM187" s="26" t="n"/>
      <c r="AN187" s="26" t="n"/>
      <c r="AO187" s="26" t="n"/>
      <c r="AP187" s="101" t="n"/>
      <c r="AQ187" s="26" t="n"/>
      <c r="AR187" s="101" t="n"/>
      <c r="AS187" s="106" t="n"/>
      <c r="AT187" s="25" t="n"/>
      <c r="AU187" s="25" t="n"/>
      <c r="AV187" s="23" t="n"/>
      <c r="AW187" s="25" t="n"/>
      <c r="AX187" s="26" t="n"/>
      <c r="AY187" s="26" t="n"/>
      <c r="AZ187" s="26" t="n"/>
      <c r="BA187" s="26" t="n"/>
      <c r="BB187" s="26" t="n"/>
      <c r="BC187" s="26" t="n"/>
      <c r="BD187" s="26" t="n"/>
      <c r="BE187" s="26" t="n"/>
      <c r="BF187" s="26" t="n"/>
      <c r="BG187" s="101" t="n"/>
      <c r="BH187" s="101" t="n"/>
      <c r="BI187" s="26" t="n"/>
      <c r="BJ187" s="26" t="n"/>
      <c r="BK187" s="26" t="n"/>
      <c r="BL187" s="101" t="n"/>
      <c r="BM187" s="26" t="n"/>
      <c r="BN187" s="101" t="n"/>
      <c r="BO187" s="591" t="n"/>
      <c r="BP187" s="26" t="n"/>
      <c r="BQ187" s="26" t="n"/>
      <c r="BR187" s="26" t="n"/>
      <c r="BS187" s="26" t="n"/>
      <c r="BT187" s="614" t="n"/>
      <c r="BU187" s="614" t="n"/>
      <c r="BV187" s="593" t="n"/>
      <c r="BW187" s="614" t="n"/>
      <c r="BX187" s="614" t="n"/>
      <c r="BY187" s="615" t="n"/>
      <c r="BZ187" s="614" t="n"/>
      <c r="CA187" s="614" t="n"/>
      <c r="CB187" s="614" t="n"/>
      <c r="CC187" s="614" t="n"/>
      <c r="CD187" s="614" t="n"/>
      <c r="CE187" s="614" t="n"/>
      <c r="CF187" s="614" t="n"/>
    </row>
    <row r="188">
      <c r="A188" s="29" t="n"/>
      <c r="B188" s="29" t="n"/>
      <c r="C188" s="6" t="n"/>
      <c r="E188" s="85" t="n"/>
      <c r="F188" s="85" t="n"/>
      <c r="G188" s="85" t="n"/>
      <c r="H188" s="85" t="n"/>
      <c r="I188" s="85" t="n"/>
      <c r="J188" s="85" t="n"/>
      <c r="K188" s="85" t="n"/>
      <c r="L188" s="85" t="n"/>
      <c r="M188" s="138" t="n"/>
      <c r="N188" s="85" t="n"/>
      <c r="O188" s="85" t="n"/>
      <c r="P188" s="85" t="n"/>
      <c r="Q188" s="85" t="n"/>
      <c r="R188" s="85" t="n"/>
      <c r="S188" s="85" t="n"/>
      <c r="T188" s="85" t="n"/>
      <c r="U188" s="145" t="n"/>
      <c r="V188" s="30" t="n"/>
      <c r="W188" s="98" t="n"/>
      <c r="X188" s="23" t="n"/>
      <c r="Y188" s="25" t="n"/>
      <c r="Z188" s="590" t="n"/>
      <c r="AA188" s="25" t="n"/>
      <c r="AB188" s="26" t="n"/>
      <c r="AC188" s="26" t="n"/>
      <c r="AD188" s="26" t="n"/>
      <c r="AE188" s="26" t="n"/>
      <c r="AF188" s="26" t="n"/>
      <c r="AG188" s="26" t="n"/>
      <c r="AH188" s="26" t="n"/>
      <c r="AI188" s="26" t="n"/>
      <c r="AJ188" s="26" t="n"/>
      <c r="AK188" s="101" t="n"/>
      <c r="AL188" s="101" t="n"/>
      <c r="AM188" s="26" t="n"/>
      <c r="AN188" s="26" t="n"/>
      <c r="AO188" s="26" t="n"/>
      <c r="AP188" s="101" t="n"/>
      <c r="AQ188" s="26" t="n"/>
      <c r="AR188" s="101" t="n"/>
      <c r="AS188" s="106" t="n"/>
      <c r="AT188" s="25" t="n"/>
      <c r="AU188" s="25" t="n"/>
      <c r="AV188" s="23" t="n"/>
      <c r="AW188" s="25" t="n"/>
      <c r="AX188" s="26" t="n"/>
      <c r="AY188" s="26" t="n"/>
      <c r="AZ188" s="26" t="n"/>
      <c r="BA188" s="26" t="n"/>
      <c r="BB188" s="26" t="n"/>
      <c r="BC188" s="26" t="n"/>
      <c r="BD188" s="26" t="n"/>
      <c r="BE188" s="26" t="n"/>
      <c r="BF188" s="26" t="n"/>
      <c r="BG188" s="101" t="n"/>
      <c r="BH188" s="101" t="n"/>
      <c r="BI188" s="26" t="n"/>
      <c r="BJ188" s="26" t="n"/>
      <c r="BK188" s="26" t="n"/>
      <c r="BL188" s="101" t="n"/>
      <c r="BM188" s="26" t="n"/>
      <c r="BN188" s="101" t="n"/>
      <c r="BO188" s="591" t="n"/>
      <c r="BP188" s="26" t="n"/>
      <c r="BQ188" s="26" t="n"/>
      <c r="BR188" s="26" t="n"/>
      <c r="BS188" s="26" t="n"/>
      <c r="BT188" s="614" t="n"/>
      <c r="BU188" s="614" t="n"/>
      <c r="BV188" s="593" t="n"/>
      <c r="BW188" s="614" t="n"/>
      <c r="BX188" s="614" t="n"/>
      <c r="BY188" s="615" t="n"/>
      <c r="BZ188" s="614" t="n"/>
      <c r="CA188" s="614" t="n"/>
      <c r="CB188" s="614" t="n"/>
      <c r="CC188" s="614" t="n"/>
      <c r="CD188" s="614" t="n"/>
      <c r="CE188" s="614" t="n"/>
      <c r="CF188" s="614" t="n"/>
    </row>
    <row r="189">
      <c r="A189" s="29" t="n"/>
      <c r="B189" s="29" t="n"/>
      <c r="C189" s="6" t="n"/>
      <c r="E189" s="85" t="n"/>
      <c r="F189" s="85" t="n"/>
      <c r="G189" s="85" t="n"/>
      <c r="H189" s="85" t="n"/>
      <c r="I189" s="85" t="n"/>
      <c r="J189" s="85" t="n"/>
      <c r="K189" s="85" t="n"/>
      <c r="L189" s="85" t="n"/>
      <c r="M189" s="138" t="n"/>
      <c r="N189" s="85" t="n"/>
      <c r="O189" s="85" t="n"/>
      <c r="P189" s="85" t="n"/>
      <c r="Q189" s="85" t="n"/>
      <c r="R189" s="85" t="n"/>
      <c r="S189" s="85" t="n"/>
      <c r="T189" s="85" t="n"/>
      <c r="U189" s="145" t="n"/>
      <c r="V189" s="30" t="n"/>
      <c r="W189" s="98" t="n"/>
      <c r="X189" s="23" t="n"/>
      <c r="Y189" s="25" t="n"/>
      <c r="Z189" s="590" t="n"/>
      <c r="AA189" s="25" t="n"/>
      <c r="AB189" s="26" t="n"/>
      <c r="AC189" s="26" t="n"/>
      <c r="AD189" s="26" t="n"/>
      <c r="AE189" s="26" t="n"/>
      <c r="AF189" s="26" t="n"/>
      <c r="AG189" s="26" t="n"/>
      <c r="AH189" s="26" t="n"/>
      <c r="AI189" s="26" t="n"/>
      <c r="AJ189" s="26" t="n"/>
      <c r="AK189" s="101" t="n"/>
      <c r="AL189" s="101" t="n"/>
      <c r="AM189" s="26" t="n"/>
      <c r="AN189" s="26" t="n"/>
      <c r="AO189" s="26" t="n"/>
      <c r="AP189" s="101" t="n"/>
      <c r="AQ189" s="26" t="n"/>
      <c r="AR189" s="101" t="n"/>
      <c r="AS189" s="106" t="n"/>
      <c r="AT189" s="25" t="n"/>
      <c r="AU189" s="25" t="n"/>
      <c r="AV189" s="23" t="n"/>
      <c r="AW189" s="25" t="n"/>
      <c r="AX189" s="26" t="n"/>
      <c r="AY189" s="26" t="n"/>
      <c r="AZ189" s="26" t="n"/>
      <c r="BA189" s="26" t="n"/>
      <c r="BB189" s="26" t="n"/>
      <c r="BC189" s="26" t="n"/>
      <c r="BD189" s="26" t="n"/>
      <c r="BE189" s="26" t="n"/>
      <c r="BF189" s="26" t="n"/>
      <c r="BG189" s="101" t="n"/>
      <c r="BH189" s="101" t="n"/>
      <c r="BI189" s="26" t="n"/>
      <c r="BJ189" s="26" t="n"/>
      <c r="BK189" s="26" t="n"/>
      <c r="BL189" s="101" t="n"/>
      <c r="BM189" s="26" t="n"/>
      <c r="BN189" s="101" t="n"/>
      <c r="BO189" s="591" t="n"/>
      <c r="BP189" s="26" t="n"/>
      <c r="BQ189" s="26" t="n"/>
      <c r="BR189" s="26" t="n"/>
      <c r="BS189" s="26" t="n"/>
      <c r="BT189" s="614" t="n"/>
      <c r="BU189" s="614" t="n"/>
      <c r="BV189" s="593" t="n"/>
      <c r="BW189" s="614" t="n"/>
      <c r="BX189" s="614" t="n"/>
      <c r="BY189" s="615" t="n"/>
      <c r="BZ189" s="614" t="n"/>
      <c r="CA189" s="614" t="n"/>
      <c r="CB189" s="614" t="n"/>
      <c r="CC189" s="614" t="n"/>
      <c r="CD189" s="614" t="n"/>
      <c r="CE189" s="614" t="n"/>
      <c r="CF189" s="614" t="n"/>
    </row>
    <row r="190">
      <c r="A190" s="29" t="n"/>
      <c r="B190" s="29" t="n"/>
      <c r="C190" s="6" t="n"/>
      <c r="E190" s="85" t="n"/>
      <c r="F190" s="85" t="n"/>
      <c r="G190" s="85" t="n"/>
      <c r="H190" s="85" t="n"/>
      <c r="I190" s="85" t="n"/>
      <c r="J190" s="85" t="n"/>
      <c r="K190" s="85" t="n"/>
      <c r="L190" s="85" t="n"/>
      <c r="M190" s="138" t="n"/>
      <c r="N190" s="85" t="n"/>
      <c r="O190" s="85" t="n"/>
      <c r="P190" s="85" t="n"/>
      <c r="Q190" s="85" t="n"/>
      <c r="R190" s="85" t="n"/>
      <c r="S190" s="85" t="n"/>
      <c r="T190" s="85" t="n"/>
      <c r="U190" s="145" t="n"/>
      <c r="V190" s="30" t="n"/>
      <c r="W190" s="98" t="n"/>
      <c r="X190" s="23" t="n"/>
      <c r="Y190" s="25" t="n"/>
      <c r="Z190" s="590" t="n"/>
      <c r="AA190" s="25" t="n"/>
      <c r="AB190" s="26" t="n"/>
      <c r="AC190" s="26" t="n"/>
      <c r="AD190" s="26" t="n"/>
      <c r="AE190" s="26" t="n"/>
      <c r="AF190" s="26" t="n"/>
      <c r="AG190" s="26" t="n"/>
      <c r="AH190" s="26" t="n"/>
      <c r="AI190" s="26" t="n"/>
      <c r="AJ190" s="26" t="n"/>
      <c r="AK190" s="101" t="n"/>
      <c r="AL190" s="101" t="n"/>
      <c r="AM190" s="26" t="n"/>
      <c r="AN190" s="26" t="n"/>
      <c r="AO190" s="26" t="n"/>
      <c r="AP190" s="101" t="n"/>
      <c r="AQ190" s="26" t="n"/>
      <c r="AR190" s="101" t="n"/>
      <c r="AS190" s="106" t="n"/>
      <c r="AT190" s="25" t="n"/>
      <c r="AU190" s="25" t="n"/>
      <c r="AV190" s="23" t="n"/>
      <c r="AW190" s="25" t="n"/>
      <c r="AX190" s="26" t="n"/>
      <c r="AY190" s="26" t="n"/>
      <c r="AZ190" s="26" t="n"/>
      <c r="BA190" s="26" t="n"/>
      <c r="BB190" s="26" t="n"/>
      <c r="BC190" s="26" t="n"/>
      <c r="BD190" s="26" t="n"/>
      <c r="BE190" s="26" t="n"/>
      <c r="BF190" s="26" t="n"/>
      <c r="BG190" s="101" t="n"/>
      <c r="BH190" s="101" t="n"/>
      <c r="BI190" s="26" t="n"/>
      <c r="BJ190" s="26" t="n"/>
      <c r="BK190" s="26" t="n"/>
      <c r="BL190" s="101" t="n"/>
      <c r="BM190" s="26" t="n"/>
      <c r="BN190" s="101" t="n"/>
      <c r="BO190" s="591" t="n"/>
      <c r="BP190" s="26" t="n"/>
      <c r="BQ190" s="26" t="n"/>
      <c r="BR190" s="26" t="n"/>
      <c r="BS190" s="26" t="n"/>
      <c r="BT190" s="614" t="n"/>
      <c r="BU190" s="614" t="n"/>
      <c r="BV190" s="593" t="n"/>
      <c r="BW190" s="614" t="n"/>
      <c r="BX190" s="614" t="n"/>
      <c r="BY190" s="615" t="n"/>
      <c r="BZ190" s="614" t="n"/>
      <c r="CA190" s="614" t="n"/>
      <c r="CB190" s="614" t="n"/>
      <c r="CC190" s="614" t="n"/>
      <c r="CD190" s="614" t="n"/>
      <c r="CE190" s="614" t="n"/>
      <c r="CF190" s="614" t="n"/>
    </row>
    <row r="191">
      <c r="A191" s="29" t="n"/>
      <c r="B191" s="29" t="n"/>
      <c r="C191" s="6" t="n"/>
      <c r="E191" s="85" t="n"/>
      <c r="F191" s="85" t="n"/>
      <c r="G191" s="85" t="n"/>
      <c r="H191" s="85" t="n"/>
      <c r="I191" s="85" t="n"/>
      <c r="J191" s="85" t="n"/>
      <c r="K191" s="85" t="n"/>
      <c r="L191" s="85" t="n"/>
      <c r="M191" s="138" t="n"/>
      <c r="N191" s="85" t="n"/>
      <c r="O191" s="85" t="n"/>
      <c r="P191" s="85" t="n"/>
      <c r="Q191" s="85" t="n"/>
      <c r="R191" s="85" t="n"/>
      <c r="S191" s="85" t="n"/>
      <c r="T191" s="85" t="n"/>
      <c r="U191" s="145" t="n"/>
      <c r="V191" s="30" t="n"/>
      <c r="W191" s="98" t="n"/>
      <c r="X191" s="23" t="n"/>
      <c r="Y191" s="25" t="n"/>
      <c r="Z191" s="590" t="n"/>
      <c r="AA191" s="25" t="n"/>
      <c r="AB191" s="26" t="n"/>
      <c r="AC191" s="26" t="n"/>
      <c r="AD191" s="26" t="n"/>
      <c r="AE191" s="26" t="n"/>
      <c r="AF191" s="26" t="n"/>
      <c r="AG191" s="26" t="n"/>
      <c r="AH191" s="26" t="n"/>
      <c r="AI191" s="26" t="n"/>
      <c r="AJ191" s="26" t="n"/>
      <c r="AK191" s="101" t="n"/>
      <c r="AL191" s="101" t="n"/>
      <c r="AM191" s="26" t="n"/>
      <c r="AN191" s="26" t="n"/>
      <c r="AO191" s="26" t="n"/>
      <c r="AP191" s="101" t="n"/>
      <c r="AQ191" s="26" t="n"/>
      <c r="AR191" s="101" t="n"/>
      <c r="AS191" s="106" t="n"/>
      <c r="AT191" s="25" t="n"/>
      <c r="AU191" s="25" t="n"/>
      <c r="AV191" s="23" t="n"/>
      <c r="AW191" s="25" t="n"/>
      <c r="AX191" s="26" t="n"/>
      <c r="AY191" s="26" t="n"/>
      <c r="AZ191" s="26" t="n"/>
      <c r="BA191" s="26" t="n"/>
      <c r="BB191" s="26" t="n"/>
      <c r="BC191" s="26" t="n"/>
      <c r="BD191" s="26" t="n"/>
      <c r="BE191" s="26" t="n"/>
      <c r="BF191" s="26" t="n"/>
      <c r="BG191" s="101" t="n"/>
      <c r="BH191" s="101" t="n"/>
      <c r="BI191" s="26" t="n"/>
      <c r="BJ191" s="26" t="n"/>
      <c r="BK191" s="26" t="n"/>
      <c r="BL191" s="101" t="n"/>
      <c r="BM191" s="26" t="n"/>
      <c r="BN191" s="101" t="n"/>
      <c r="BO191" s="591" t="n"/>
      <c r="BP191" s="26" t="n"/>
      <c r="BQ191" s="26" t="n"/>
      <c r="BR191" s="26" t="n"/>
      <c r="BS191" s="26" t="n"/>
      <c r="BT191" s="614" t="n"/>
      <c r="BU191" s="614" t="n"/>
      <c r="BV191" s="593" t="n"/>
      <c r="BW191" s="614" t="n"/>
      <c r="BX191" s="614" t="n"/>
      <c r="BY191" s="615" t="n"/>
      <c r="BZ191" s="614" t="n"/>
      <c r="CA191" s="614" t="n"/>
      <c r="CB191" s="614" t="n"/>
      <c r="CC191" s="614" t="n"/>
      <c r="CD191" s="614" t="n"/>
      <c r="CE191" s="614" t="n"/>
      <c r="CF191" s="614" t="n"/>
    </row>
    <row r="192">
      <c r="A192" s="29" t="n"/>
      <c r="B192" s="29" t="n"/>
      <c r="C192" s="6" t="n"/>
      <c r="E192" s="85" t="n"/>
      <c r="F192" s="85" t="n"/>
      <c r="G192" s="85" t="n"/>
      <c r="H192" s="85" t="n"/>
      <c r="I192" s="85" t="n"/>
      <c r="J192" s="85" t="n"/>
      <c r="K192" s="85" t="n"/>
      <c r="L192" s="85" t="n"/>
      <c r="M192" s="138" t="n"/>
      <c r="N192" s="85" t="n"/>
      <c r="O192" s="85" t="n"/>
      <c r="P192" s="85" t="n"/>
      <c r="Q192" s="85" t="n"/>
      <c r="R192" s="85" t="n"/>
      <c r="S192" s="85" t="n"/>
      <c r="T192" s="85" t="n"/>
      <c r="U192" s="145" t="n"/>
      <c r="V192" s="30" t="n"/>
      <c r="W192" s="98" t="n"/>
      <c r="X192" s="23" t="n"/>
      <c r="Y192" s="25" t="n"/>
      <c r="Z192" s="590" t="n"/>
      <c r="AA192" s="25" t="n"/>
      <c r="AB192" s="26" t="n"/>
      <c r="AC192" s="26" t="n"/>
      <c r="AD192" s="26" t="n"/>
      <c r="AE192" s="26" t="n"/>
      <c r="AF192" s="26" t="n"/>
      <c r="AG192" s="26" t="n"/>
      <c r="AH192" s="26" t="n"/>
      <c r="AI192" s="26" t="n"/>
      <c r="AJ192" s="26" t="n"/>
      <c r="AK192" s="101" t="n"/>
      <c r="AL192" s="101" t="n"/>
      <c r="AM192" s="26" t="n"/>
      <c r="AN192" s="26" t="n"/>
      <c r="AO192" s="26" t="n"/>
      <c r="AP192" s="101" t="n"/>
      <c r="AQ192" s="26" t="n"/>
      <c r="AR192" s="101" t="n"/>
      <c r="AS192" s="106" t="n"/>
      <c r="AT192" s="25" t="n"/>
      <c r="AU192" s="25" t="n"/>
      <c r="AV192" s="23" t="n"/>
      <c r="AW192" s="25" t="n"/>
      <c r="AX192" s="26" t="n"/>
      <c r="AY192" s="26" t="n"/>
      <c r="AZ192" s="26" t="n"/>
      <c r="BA192" s="26" t="n"/>
      <c r="BB192" s="26" t="n"/>
      <c r="BC192" s="26" t="n"/>
      <c r="BD192" s="26" t="n"/>
      <c r="BE192" s="26" t="n"/>
      <c r="BF192" s="26" t="n"/>
      <c r="BG192" s="101" t="n"/>
      <c r="BH192" s="101" t="n"/>
      <c r="BI192" s="26" t="n"/>
      <c r="BJ192" s="26" t="n"/>
      <c r="BK192" s="26" t="n"/>
      <c r="BL192" s="101" t="n"/>
      <c r="BM192" s="26" t="n"/>
      <c r="BN192" s="101" t="n"/>
      <c r="BO192" s="591" t="n"/>
      <c r="BP192" s="26" t="n"/>
      <c r="BQ192" s="26" t="n"/>
      <c r="BR192" s="26" t="n"/>
      <c r="BS192" s="26" t="n"/>
      <c r="BT192" s="614" t="n"/>
      <c r="BU192" s="614" t="n"/>
      <c r="BV192" s="593" t="n"/>
      <c r="BW192" s="614" t="n"/>
      <c r="BX192" s="614" t="n"/>
      <c r="BY192" s="615" t="n"/>
      <c r="BZ192" s="614" t="n"/>
      <c r="CA192" s="614" t="n"/>
      <c r="CB192" s="614" t="n"/>
      <c r="CC192" s="614" t="n"/>
      <c r="CD192" s="614" t="n"/>
      <c r="CE192" s="614" t="n"/>
      <c r="CF192" s="614" t="n"/>
    </row>
    <row r="193">
      <c r="A193" s="29" t="n"/>
      <c r="B193" s="29" t="n"/>
      <c r="C193" s="6" t="n"/>
      <c r="E193" s="85" t="n"/>
      <c r="F193" s="85" t="n"/>
      <c r="G193" s="85" t="n"/>
      <c r="H193" s="85" t="n"/>
      <c r="I193" s="85" t="n"/>
      <c r="J193" s="85" t="n"/>
      <c r="K193" s="85" t="n"/>
      <c r="L193" s="85" t="n"/>
      <c r="M193" s="138" t="n"/>
      <c r="N193" s="85" t="n"/>
      <c r="O193" s="85" t="n"/>
      <c r="P193" s="85" t="n"/>
      <c r="Q193" s="85" t="n"/>
      <c r="R193" s="85" t="n"/>
      <c r="S193" s="85" t="n"/>
      <c r="T193" s="85" t="n"/>
      <c r="U193" s="145" t="n"/>
      <c r="V193" s="30" t="n"/>
      <c r="W193" s="98" t="n"/>
      <c r="X193" s="23" t="n"/>
      <c r="Y193" s="25" t="n"/>
      <c r="Z193" s="590" t="n"/>
      <c r="AA193" s="25" t="n"/>
      <c r="AB193" s="26" t="n"/>
      <c r="AC193" s="26" t="n"/>
      <c r="AD193" s="26" t="n"/>
      <c r="AE193" s="26" t="n"/>
      <c r="AF193" s="26" t="n"/>
      <c r="AG193" s="26" t="n"/>
      <c r="AH193" s="26" t="n"/>
      <c r="AI193" s="26" t="n"/>
      <c r="AJ193" s="26" t="n"/>
      <c r="AK193" s="101" t="n"/>
      <c r="AL193" s="101" t="n"/>
      <c r="AM193" s="26" t="n"/>
      <c r="AN193" s="26" t="n"/>
      <c r="AO193" s="26" t="n"/>
      <c r="AP193" s="101" t="n"/>
      <c r="AQ193" s="26" t="n"/>
      <c r="AR193" s="101" t="n"/>
      <c r="AS193" s="106" t="n"/>
      <c r="AT193" s="25" t="n"/>
      <c r="AU193" s="25" t="n"/>
      <c r="AV193" s="23" t="n"/>
      <c r="AW193" s="25" t="n"/>
      <c r="AX193" s="26" t="n"/>
      <c r="AY193" s="26" t="n"/>
      <c r="AZ193" s="26" t="n"/>
      <c r="BA193" s="26" t="n"/>
      <c r="BB193" s="26" t="n"/>
      <c r="BC193" s="26" t="n"/>
      <c r="BD193" s="26" t="n"/>
      <c r="BE193" s="26" t="n"/>
      <c r="BF193" s="26" t="n"/>
      <c r="BG193" s="101" t="n"/>
      <c r="BH193" s="101" t="n"/>
      <c r="BI193" s="26" t="n"/>
      <c r="BJ193" s="26" t="n"/>
      <c r="BK193" s="26" t="n"/>
      <c r="BL193" s="101" t="n"/>
      <c r="BM193" s="26" t="n"/>
      <c r="BN193" s="101" t="n"/>
      <c r="BO193" s="591" t="n"/>
      <c r="BP193" s="26" t="n"/>
      <c r="BQ193" s="26" t="n"/>
      <c r="BR193" s="26" t="n"/>
      <c r="BS193" s="26" t="n"/>
      <c r="BT193" s="614" t="n"/>
      <c r="BU193" s="614" t="n"/>
      <c r="BV193" s="593" t="n"/>
      <c r="BW193" s="614" t="n"/>
      <c r="BX193" s="614" t="n"/>
      <c r="BY193" s="615" t="n"/>
      <c r="BZ193" s="614" t="n"/>
      <c r="CA193" s="614" t="n"/>
      <c r="CB193" s="614" t="n"/>
      <c r="CC193" s="614" t="n"/>
      <c r="CD193" s="614" t="n"/>
      <c r="CE193" s="614" t="n"/>
      <c r="CF193" s="614" t="n"/>
    </row>
    <row r="194">
      <c r="A194" s="29" t="n"/>
      <c r="B194" s="29" t="n"/>
      <c r="C194" s="6" t="n"/>
      <c r="E194" s="85" t="n"/>
      <c r="F194" s="85" t="n"/>
      <c r="G194" s="85" t="n"/>
      <c r="H194" s="85" t="n"/>
      <c r="I194" s="85" t="n"/>
      <c r="J194" s="85" t="n"/>
      <c r="K194" s="85" t="n"/>
      <c r="L194" s="85" t="n"/>
      <c r="M194" s="138" t="n"/>
      <c r="N194" s="85" t="n"/>
      <c r="O194" s="85" t="n"/>
      <c r="P194" s="85" t="n"/>
      <c r="Q194" s="85" t="n"/>
      <c r="R194" s="85" t="n"/>
      <c r="S194" s="85" t="n"/>
      <c r="T194" s="85" t="n"/>
      <c r="U194" s="145" t="n"/>
      <c r="V194" s="30" t="n"/>
      <c r="W194" s="98" t="n"/>
      <c r="X194" s="23" t="n"/>
      <c r="Y194" s="25" t="n"/>
      <c r="Z194" s="590" t="n"/>
      <c r="AA194" s="25" t="n"/>
      <c r="AB194" s="26" t="n"/>
      <c r="AC194" s="26" t="n"/>
      <c r="AD194" s="26" t="n"/>
      <c r="AE194" s="26" t="n"/>
      <c r="AF194" s="26" t="n"/>
      <c r="AG194" s="26" t="n"/>
      <c r="AH194" s="26" t="n"/>
      <c r="AI194" s="26" t="n"/>
      <c r="AJ194" s="26" t="n"/>
      <c r="AK194" s="101" t="n"/>
      <c r="AL194" s="101" t="n"/>
      <c r="AM194" s="26" t="n"/>
      <c r="AN194" s="26" t="n"/>
      <c r="AO194" s="26" t="n"/>
      <c r="AP194" s="101" t="n"/>
      <c r="AQ194" s="26" t="n"/>
      <c r="AR194" s="101" t="n"/>
      <c r="AS194" s="106" t="n"/>
      <c r="AT194" s="25" t="n"/>
      <c r="AU194" s="25" t="n"/>
      <c r="AV194" s="23" t="n"/>
      <c r="AW194" s="25" t="n"/>
      <c r="AX194" s="26" t="n"/>
      <c r="AY194" s="26" t="n"/>
      <c r="AZ194" s="26" t="n"/>
      <c r="BA194" s="26" t="n"/>
      <c r="BB194" s="26" t="n"/>
      <c r="BC194" s="26" t="n"/>
      <c r="BD194" s="26" t="n"/>
      <c r="BE194" s="26" t="n"/>
      <c r="BF194" s="26" t="n"/>
      <c r="BG194" s="101" t="n"/>
      <c r="BH194" s="101" t="n"/>
      <c r="BI194" s="26" t="n"/>
      <c r="BJ194" s="26" t="n"/>
      <c r="BK194" s="26" t="n"/>
      <c r="BL194" s="101" t="n"/>
      <c r="BM194" s="26" t="n"/>
      <c r="BN194" s="101" t="n"/>
      <c r="BO194" s="591" t="n"/>
      <c r="BP194" s="26" t="n"/>
      <c r="BQ194" s="26" t="n"/>
      <c r="BR194" s="26" t="n"/>
      <c r="BS194" s="26" t="n"/>
      <c r="BT194" s="614" t="n"/>
      <c r="BU194" s="614" t="n"/>
      <c r="BV194" s="593" t="n"/>
      <c r="BW194" s="614" t="n"/>
      <c r="BX194" s="614" t="n"/>
      <c r="BY194" s="615" t="n"/>
      <c r="BZ194" s="614" t="n"/>
      <c r="CA194" s="614" t="n"/>
      <c r="CB194" s="614" t="n"/>
      <c r="CC194" s="614" t="n"/>
      <c r="CD194" s="614" t="n"/>
      <c r="CE194" s="614" t="n"/>
      <c r="CF194" s="614" t="n"/>
    </row>
    <row r="195">
      <c r="A195" s="29" t="n"/>
      <c r="B195" s="29" t="n"/>
      <c r="C195" s="6" t="n"/>
      <c r="E195" s="85" t="n"/>
      <c r="F195" s="85" t="n"/>
      <c r="G195" s="85" t="n"/>
      <c r="H195" s="85" t="n"/>
      <c r="I195" s="85" t="n"/>
      <c r="J195" s="85" t="n"/>
      <c r="K195" s="85" t="n"/>
      <c r="L195" s="85" t="n"/>
      <c r="M195" s="138" t="n"/>
      <c r="N195" s="85" t="n"/>
      <c r="O195" s="85" t="n"/>
      <c r="P195" s="85" t="n"/>
      <c r="Q195" s="85" t="n"/>
      <c r="R195" s="85" t="n"/>
      <c r="S195" s="85" t="n"/>
      <c r="T195" s="85" t="n"/>
      <c r="U195" s="145" t="n"/>
      <c r="V195" s="30" t="n"/>
      <c r="W195" s="98" t="n"/>
      <c r="X195" s="23" t="n"/>
      <c r="Y195" s="25" t="n"/>
      <c r="Z195" s="590" t="n"/>
      <c r="AA195" s="25" t="n"/>
      <c r="AB195" s="26" t="n"/>
      <c r="AC195" s="26" t="n"/>
      <c r="AD195" s="26" t="n"/>
      <c r="AE195" s="26" t="n"/>
      <c r="AF195" s="26" t="n"/>
      <c r="AG195" s="26" t="n"/>
      <c r="AH195" s="26" t="n"/>
      <c r="AI195" s="26" t="n"/>
      <c r="AJ195" s="26" t="n"/>
      <c r="AK195" s="101" t="n"/>
      <c r="AL195" s="101" t="n"/>
      <c r="AM195" s="26" t="n"/>
      <c r="AN195" s="26" t="n"/>
      <c r="AO195" s="26" t="n"/>
      <c r="AP195" s="101" t="n"/>
      <c r="AQ195" s="26" t="n"/>
      <c r="AR195" s="101" t="n"/>
      <c r="AS195" s="106" t="n"/>
      <c r="AT195" s="25" t="n"/>
      <c r="AU195" s="25" t="n"/>
      <c r="AV195" s="23" t="n"/>
      <c r="AW195" s="25" t="n"/>
      <c r="AX195" s="26" t="n"/>
      <c r="AY195" s="26" t="n"/>
      <c r="AZ195" s="26" t="n"/>
      <c r="BA195" s="26" t="n"/>
      <c r="BB195" s="26" t="n"/>
      <c r="BC195" s="26" t="n"/>
      <c r="BD195" s="26" t="n"/>
      <c r="BE195" s="26" t="n"/>
      <c r="BF195" s="26" t="n"/>
      <c r="BG195" s="101" t="n"/>
      <c r="BH195" s="101" t="n"/>
      <c r="BI195" s="26" t="n"/>
      <c r="BJ195" s="26" t="n"/>
      <c r="BK195" s="26" t="n"/>
      <c r="BL195" s="101" t="n"/>
      <c r="BM195" s="26" t="n"/>
      <c r="BN195" s="101" t="n"/>
      <c r="BO195" s="591" t="n"/>
      <c r="BP195" s="26" t="n"/>
      <c r="BQ195" s="26" t="n"/>
      <c r="BR195" s="26" t="n"/>
      <c r="BS195" s="26" t="n"/>
      <c r="BT195" s="614" t="n"/>
      <c r="BU195" s="614" t="n"/>
      <c r="BV195" s="593" t="n"/>
      <c r="BW195" s="614" t="n"/>
      <c r="BX195" s="614" t="n"/>
      <c r="BY195" s="615" t="n"/>
      <c r="BZ195" s="614" t="n"/>
      <c r="CA195" s="614" t="n"/>
      <c r="CB195" s="614" t="n"/>
      <c r="CC195" s="614" t="n"/>
      <c r="CD195" s="614" t="n"/>
      <c r="CE195" s="614" t="n"/>
      <c r="CF195" s="614" t="n"/>
    </row>
    <row r="196">
      <c r="A196" s="29" t="n"/>
      <c r="B196" s="29" t="n"/>
      <c r="C196" s="6" t="n"/>
      <c r="E196" s="85" t="n"/>
      <c r="F196" s="85" t="n"/>
      <c r="G196" s="85" t="n"/>
      <c r="H196" s="85" t="n"/>
      <c r="I196" s="85" t="n"/>
      <c r="J196" s="85" t="n"/>
      <c r="K196" s="85" t="n"/>
      <c r="L196" s="85" t="n"/>
      <c r="M196" s="138" t="n"/>
      <c r="N196" s="85" t="n"/>
      <c r="O196" s="85" t="n"/>
      <c r="P196" s="85" t="n"/>
      <c r="Q196" s="85" t="n"/>
      <c r="R196" s="85" t="n"/>
      <c r="S196" s="85" t="n"/>
      <c r="T196" s="85" t="n"/>
      <c r="U196" s="145" t="n"/>
      <c r="V196" s="30" t="n"/>
      <c r="W196" s="98" t="n"/>
      <c r="X196" s="23" t="n"/>
      <c r="Y196" s="25" t="n"/>
      <c r="Z196" s="590" t="n"/>
      <c r="AA196" s="25" t="n"/>
      <c r="AB196" s="26" t="n"/>
      <c r="AC196" s="26" t="n"/>
      <c r="AD196" s="26" t="n"/>
      <c r="AE196" s="26" t="n"/>
      <c r="AF196" s="26" t="n"/>
      <c r="AG196" s="26" t="n"/>
      <c r="AH196" s="26" t="n"/>
      <c r="AI196" s="26" t="n"/>
      <c r="AJ196" s="26" t="n"/>
      <c r="AK196" s="101" t="n"/>
      <c r="AL196" s="101" t="n"/>
      <c r="AM196" s="26" t="n"/>
      <c r="AN196" s="26" t="n"/>
      <c r="AO196" s="26" t="n"/>
      <c r="AP196" s="101" t="n"/>
      <c r="AQ196" s="26" t="n"/>
      <c r="AR196" s="101" t="n"/>
      <c r="AS196" s="106" t="n"/>
      <c r="AT196" s="25" t="n"/>
      <c r="AU196" s="25" t="n"/>
      <c r="AV196" s="23" t="n"/>
      <c r="AW196" s="25" t="n"/>
      <c r="AX196" s="26" t="n"/>
      <c r="AY196" s="26" t="n"/>
      <c r="AZ196" s="26" t="n"/>
      <c r="BA196" s="26" t="n"/>
      <c r="BB196" s="26" t="n"/>
      <c r="BC196" s="26" t="n"/>
      <c r="BD196" s="26" t="n"/>
      <c r="BE196" s="26" t="n"/>
      <c r="BF196" s="26" t="n"/>
      <c r="BG196" s="101" t="n"/>
      <c r="BH196" s="101" t="n"/>
      <c r="BI196" s="26" t="n"/>
      <c r="BJ196" s="26" t="n"/>
      <c r="BK196" s="26" t="n"/>
      <c r="BL196" s="101" t="n"/>
      <c r="BM196" s="26" t="n"/>
      <c r="BN196" s="101" t="n"/>
      <c r="BO196" s="591" t="n"/>
      <c r="BP196" s="26" t="n"/>
      <c r="BQ196" s="26" t="n"/>
      <c r="BR196" s="26" t="n"/>
      <c r="BS196" s="26" t="n"/>
      <c r="BT196" s="614" t="n"/>
      <c r="BU196" s="614" t="n"/>
      <c r="BV196" s="593" t="n"/>
      <c r="BW196" s="614" t="n"/>
      <c r="BX196" s="614" t="n"/>
      <c r="BY196" s="615" t="n"/>
      <c r="BZ196" s="614" t="n"/>
      <c r="CA196" s="614" t="n"/>
      <c r="CB196" s="614" t="n"/>
      <c r="CC196" s="614" t="n"/>
      <c r="CD196" s="614" t="n"/>
      <c r="CE196" s="614" t="n"/>
      <c r="CF196" s="614" t="n"/>
    </row>
    <row r="197">
      <c r="A197" s="29" t="n"/>
      <c r="B197" s="29" t="n"/>
      <c r="C197" s="6" t="n"/>
      <c r="E197" s="85" t="n"/>
      <c r="F197" s="85" t="n"/>
      <c r="G197" s="85" t="n"/>
      <c r="H197" s="85" t="n"/>
      <c r="I197" s="85" t="n"/>
      <c r="J197" s="85" t="n"/>
      <c r="K197" s="85" t="n"/>
      <c r="L197" s="85" t="n"/>
      <c r="M197" s="138" t="n"/>
      <c r="N197" s="85" t="n"/>
      <c r="O197" s="85" t="n"/>
      <c r="P197" s="85" t="n"/>
      <c r="Q197" s="85" t="n"/>
      <c r="R197" s="85" t="n"/>
      <c r="S197" s="85" t="n"/>
      <c r="T197" s="85" t="n"/>
      <c r="U197" s="145" t="n"/>
      <c r="V197" s="30" t="n"/>
      <c r="W197" s="98" t="n"/>
      <c r="X197" s="23" t="n"/>
      <c r="Y197" s="25" t="n"/>
      <c r="Z197" s="590" t="n"/>
      <c r="AA197" s="25" t="n"/>
      <c r="AB197" s="26" t="n"/>
      <c r="AC197" s="26" t="n"/>
      <c r="AD197" s="26" t="n"/>
      <c r="AE197" s="26" t="n"/>
      <c r="AF197" s="26" t="n"/>
      <c r="AG197" s="26" t="n"/>
      <c r="AH197" s="26" t="n"/>
      <c r="AI197" s="26" t="n"/>
      <c r="AJ197" s="26" t="n"/>
      <c r="AK197" s="101" t="n"/>
      <c r="AL197" s="101" t="n"/>
      <c r="AM197" s="26" t="n"/>
      <c r="AN197" s="26" t="n"/>
      <c r="AO197" s="26" t="n"/>
      <c r="AP197" s="101" t="n"/>
      <c r="AQ197" s="26" t="n"/>
      <c r="AR197" s="101" t="n"/>
      <c r="AS197" s="106" t="n"/>
      <c r="AT197" s="25" t="n"/>
      <c r="AU197" s="25" t="n"/>
      <c r="AV197" s="23" t="n"/>
      <c r="AW197" s="25" t="n"/>
      <c r="AX197" s="26" t="n"/>
      <c r="AY197" s="26" t="n"/>
      <c r="AZ197" s="26" t="n"/>
      <c r="BA197" s="26" t="n"/>
      <c r="BB197" s="26" t="n"/>
      <c r="BC197" s="26" t="n"/>
      <c r="BD197" s="26" t="n"/>
      <c r="BE197" s="26" t="n"/>
      <c r="BF197" s="26" t="n"/>
      <c r="BG197" s="101" t="n"/>
      <c r="BH197" s="101" t="n"/>
      <c r="BI197" s="26" t="n"/>
      <c r="BJ197" s="26" t="n"/>
      <c r="BK197" s="26" t="n"/>
      <c r="BL197" s="101" t="n"/>
      <c r="BM197" s="26" t="n"/>
      <c r="BN197" s="101" t="n"/>
      <c r="BO197" s="591" t="n"/>
      <c r="BP197" s="26" t="n"/>
      <c r="BQ197" s="26" t="n"/>
      <c r="BR197" s="26" t="n"/>
      <c r="BS197" s="26" t="n"/>
      <c r="BT197" s="614" t="n"/>
      <c r="BU197" s="614" t="n"/>
      <c r="BV197" s="593" t="n"/>
      <c r="BW197" s="614" t="n"/>
      <c r="BX197" s="614" t="n"/>
      <c r="BY197" s="615" t="n"/>
      <c r="BZ197" s="614" t="n"/>
      <c r="CA197" s="614" t="n"/>
      <c r="CB197" s="614" t="n"/>
      <c r="CC197" s="614" t="n"/>
      <c r="CD197" s="614" t="n"/>
      <c r="CE197" s="614" t="n"/>
      <c r="CF197" s="614" t="n"/>
    </row>
    <row r="198">
      <c r="A198" s="29" t="n"/>
      <c r="B198" s="29" t="n"/>
      <c r="C198" s="6" t="n"/>
      <c r="E198" s="85" t="n"/>
      <c r="F198" s="85" t="n"/>
      <c r="G198" s="85" t="n"/>
      <c r="H198" s="85" t="n"/>
      <c r="I198" s="85" t="n"/>
      <c r="J198" s="85" t="n"/>
      <c r="K198" s="85" t="n"/>
      <c r="L198" s="85" t="n"/>
      <c r="M198" s="138" t="n"/>
      <c r="N198" s="85" t="n"/>
      <c r="O198" s="85" t="n"/>
      <c r="P198" s="85" t="n"/>
      <c r="Q198" s="85" t="n"/>
      <c r="R198" s="85" t="n"/>
      <c r="S198" s="85" t="n"/>
      <c r="T198" s="85" t="n"/>
      <c r="U198" s="145" t="n"/>
      <c r="V198" s="30" t="n"/>
      <c r="W198" s="98" t="n"/>
      <c r="X198" s="23" t="n"/>
      <c r="Y198" s="25" t="n"/>
      <c r="Z198" s="590" t="n"/>
      <c r="AA198" s="25" t="n"/>
      <c r="AB198" s="26" t="n"/>
      <c r="AC198" s="26" t="n"/>
      <c r="AD198" s="26" t="n"/>
      <c r="AE198" s="26" t="n"/>
      <c r="AF198" s="26" t="n"/>
      <c r="AG198" s="26" t="n"/>
      <c r="AH198" s="26" t="n"/>
      <c r="AI198" s="26" t="n"/>
      <c r="AJ198" s="26" t="n"/>
      <c r="AK198" s="101" t="n"/>
      <c r="AL198" s="101" t="n"/>
      <c r="AM198" s="26" t="n"/>
      <c r="AN198" s="26" t="n"/>
      <c r="AO198" s="26" t="n"/>
      <c r="AP198" s="101" t="n"/>
      <c r="AQ198" s="26" t="n"/>
      <c r="AR198" s="101" t="n"/>
      <c r="AS198" s="106" t="n"/>
      <c r="AT198" s="25" t="n"/>
      <c r="AU198" s="25" t="n"/>
      <c r="AV198" s="23" t="n"/>
      <c r="AW198" s="25" t="n"/>
      <c r="AX198" s="26" t="n"/>
      <c r="AY198" s="26" t="n"/>
      <c r="AZ198" s="26" t="n"/>
      <c r="BA198" s="26" t="n"/>
      <c r="BB198" s="26" t="n"/>
      <c r="BC198" s="26" t="n"/>
      <c r="BD198" s="26" t="n"/>
      <c r="BE198" s="26" t="n"/>
      <c r="BF198" s="26" t="n"/>
      <c r="BG198" s="101" t="n"/>
      <c r="BH198" s="101" t="n"/>
      <c r="BI198" s="26" t="n"/>
      <c r="BJ198" s="26" t="n"/>
      <c r="BK198" s="26" t="n"/>
      <c r="BL198" s="101" t="n"/>
      <c r="BM198" s="26" t="n"/>
      <c r="BN198" s="101" t="n"/>
      <c r="BO198" s="591" t="n"/>
      <c r="BP198" s="26" t="n"/>
      <c r="BQ198" s="26" t="n"/>
      <c r="BR198" s="26" t="n"/>
      <c r="BS198" s="26" t="n"/>
      <c r="BT198" s="614" t="n"/>
      <c r="BU198" s="614" t="n"/>
      <c r="BV198" s="593" t="n"/>
      <c r="BW198" s="614" t="n"/>
      <c r="BX198" s="614" t="n"/>
      <c r="BY198" s="615" t="n"/>
      <c r="BZ198" s="614" t="n"/>
      <c r="CA198" s="614" t="n"/>
      <c r="CB198" s="614" t="n"/>
      <c r="CC198" s="614" t="n"/>
      <c r="CD198" s="614" t="n"/>
      <c r="CE198" s="614" t="n"/>
      <c r="CF198" s="614" t="n"/>
    </row>
    <row r="199">
      <c r="A199" s="29" t="n"/>
      <c r="B199" s="29" t="n"/>
      <c r="C199" s="6" t="n"/>
      <c r="E199" s="85" t="n"/>
      <c r="F199" s="85" t="n"/>
      <c r="G199" s="85" t="n"/>
      <c r="H199" s="85" t="n"/>
      <c r="I199" s="85" t="n"/>
      <c r="J199" s="85" t="n"/>
      <c r="K199" s="85" t="n"/>
      <c r="L199" s="85" t="n"/>
      <c r="M199" s="138" t="n"/>
      <c r="N199" s="85" t="n"/>
      <c r="O199" s="85" t="n"/>
      <c r="P199" s="85" t="n"/>
      <c r="Q199" s="85" t="n"/>
      <c r="R199" s="85" t="n"/>
      <c r="S199" s="85" t="n"/>
      <c r="T199" s="85" t="n"/>
      <c r="U199" s="145" t="n"/>
      <c r="V199" s="30" t="n"/>
      <c r="W199" s="98" t="n"/>
      <c r="X199" s="23" t="n"/>
      <c r="Y199" s="25" t="n"/>
      <c r="Z199" s="590" t="n"/>
      <c r="AA199" s="25" t="n"/>
      <c r="AB199" s="26" t="n"/>
      <c r="AC199" s="26" t="n"/>
      <c r="AD199" s="26" t="n"/>
      <c r="AE199" s="26" t="n"/>
      <c r="AF199" s="26" t="n"/>
      <c r="AG199" s="26" t="n"/>
      <c r="AH199" s="26" t="n"/>
      <c r="AI199" s="26" t="n"/>
      <c r="AJ199" s="26" t="n"/>
      <c r="AK199" s="101" t="n"/>
      <c r="AL199" s="101" t="n"/>
      <c r="AM199" s="26" t="n"/>
      <c r="AN199" s="26" t="n"/>
      <c r="AO199" s="26" t="n"/>
      <c r="AP199" s="101" t="n"/>
      <c r="AQ199" s="26" t="n"/>
      <c r="AR199" s="101" t="n"/>
      <c r="AS199" s="106" t="n"/>
      <c r="AT199" s="25" t="n"/>
      <c r="AU199" s="25" t="n"/>
      <c r="AV199" s="23" t="n"/>
      <c r="AW199" s="25" t="n"/>
      <c r="AX199" s="26" t="n"/>
      <c r="AY199" s="26" t="n"/>
      <c r="AZ199" s="26" t="n"/>
      <c r="BA199" s="26" t="n"/>
      <c r="BB199" s="26" t="n"/>
      <c r="BC199" s="26" t="n"/>
      <c r="BD199" s="26" t="n"/>
      <c r="BE199" s="26" t="n"/>
      <c r="BF199" s="26" t="n"/>
      <c r="BG199" s="101" t="n"/>
      <c r="BH199" s="101" t="n"/>
      <c r="BI199" s="26" t="n"/>
      <c r="BJ199" s="26" t="n"/>
      <c r="BK199" s="26" t="n"/>
      <c r="BL199" s="101" t="n"/>
      <c r="BM199" s="26" t="n"/>
      <c r="BN199" s="101" t="n"/>
      <c r="BO199" s="591" t="n"/>
      <c r="BP199" s="26" t="n"/>
      <c r="BQ199" s="26" t="n"/>
      <c r="BR199" s="26" t="n"/>
      <c r="BS199" s="26" t="n"/>
      <c r="BT199" s="614" t="n"/>
      <c r="BU199" s="614" t="n"/>
      <c r="BV199" s="593" t="n"/>
      <c r="BW199" s="614" t="n"/>
      <c r="BX199" s="614" t="n"/>
      <c r="BY199" s="615" t="n"/>
      <c r="BZ199" s="614" t="n"/>
      <c r="CA199" s="614" t="n"/>
      <c r="CB199" s="614" t="n"/>
      <c r="CC199" s="614" t="n"/>
      <c r="CD199" s="614" t="n"/>
      <c r="CE199" s="614" t="n"/>
      <c r="CF199" s="614" t="n"/>
    </row>
    <row r="200">
      <c r="A200" s="29" t="n"/>
      <c r="B200" s="29" t="n"/>
      <c r="C200" s="6" t="n"/>
      <c r="E200" s="85" t="n"/>
      <c r="F200" s="85" t="n"/>
      <c r="G200" s="85" t="n"/>
      <c r="H200" s="85" t="n"/>
      <c r="I200" s="85" t="n"/>
      <c r="J200" s="85" t="n"/>
      <c r="K200" s="85" t="n"/>
      <c r="L200" s="85" t="n"/>
      <c r="M200" s="138" t="n"/>
      <c r="N200" s="85" t="n"/>
      <c r="O200" s="85" t="n"/>
      <c r="P200" s="85" t="n"/>
      <c r="Q200" s="85" t="n"/>
      <c r="R200" s="85" t="n"/>
      <c r="S200" s="85" t="n"/>
      <c r="T200" s="85" t="n"/>
      <c r="U200" s="145" t="n"/>
      <c r="V200" s="30" t="n"/>
      <c r="W200" s="98" t="n"/>
      <c r="X200" s="23" t="n"/>
      <c r="Y200" s="25" t="n"/>
      <c r="Z200" s="590" t="n"/>
      <c r="AA200" s="25" t="n"/>
      <c r="AB200" s="26" t="n"/>
      <c r="AC200" s="26" t="n"/>
      <c r="AD200" s="26" t="n"/>
      <c r="AE200" s="26" t="n"/>
      <c r="AF200" s="26" t="n"/>
      <c r="AG200" s="26" t="n"/>
      <c r="AH200" s="26" t="n"/>
      <c r="AI200" s="26" t="n"/>
      <c r="AJ200" s="26" t="n"/>
      <c r="AK200" s="101" t="n"/>
      <c r="AL200" s="101" t="n"/>
      <c r="AM200" s="26" t="n"/>
      <c r="AN200" s="26" t="n"/>
      <c r="AO200" s="26" t="n"/>
      <c r="AP200" s="101" t="n"/>
      <c r="AQ200" s="26" t="n"/>
      <c r="AR200" s="101" t="n"/>
      <c r="AS200" s="106" t="n"/>
      <c r="AT200" s="25" t="n"/>
      <c r="AU200" s="25" t="n"/>
      <c r="AV200" s="23" t="n"/>
      <c r="AW200" s="25" t="n"/>
      <c r="AX200" s="26" t="n"/>
      <c r="AY200" s="26" t="n"/>
      <c r="AZ200" s="26" t="n"/>
      <c r="BA200" s="26" t="n"/>
      <c r="BB200" s="26" t="n"/>
      <c r="BC200" s="26" t="n"/>
      <c r="BD200" s="26" t="n"/>
      <c r="BE200" s="26" t="n"/>
      <c r="BF200" s="26" t="n"/>
      <c r="BG200" s="101" t="n"/>
      <c r="BH200" s="101" t="n"/>
      <c r="BI200" s="26" t="n"/>
      <c r="BJ200" s="26" t="n"/>
      <c r="BK200" s="26" t="n"/>
      <c r="BL200" s="101" t="n"/>
      <c r="BM200" s="26" t="n"/>
      <c r="BN200" s="101" t="n"/>
      <c r="BO200" s="591" t="n"/>
      <c r="BP200" s="26" t="n"/>
      <c r="BQ200" s="26" t="n"/>
      <c r="BR200" s="26" t="n"/>
      <c r="BS200" s="26" t="n"/>
      <c r="BT200" s="614" t="n"/>
      <c r="BU200" s="614" t="n"/>
      <c r="BV200" s="593" t="n"/>
      <c r="BW200" s="614" t="n"/>
      <c r="BX200" s="614" t="n"/>
      <c r="BY200" s="615" t="n"/>
      <c r="BZ200" s="614" t="n"/>
      <c r="CA200" s="614" t="n"/>
      <c r="CB200" s="614" t="n"/>
      <c r="CC200" s="614" t="n"/>
      <c r="CD200" s="614" t="n"/>
      <c r="CE200" s="614" t="n"/>
      <c r="CF200" s="614" t="n"/>
    </row>
    <row r="201">
      <c r="A201" s="29" t="n"/>
      <c r="B201" s="29" t="n"/>
      <c r="C201" s="6" t="n"/>
      <c r="E201" s="85" t="n"/>
      <c r="F201" s="85" t="n"/>
      <c r="G201" s="85" t="n"/>
      <c r="H201" s="85" t="n"/>
      <c r="I201" s="85" t="n"/>
      <c r="J201" s="85" t="n"/>
      <c r="K201" s="85" t="n"/>
      <c r="L201" s="85" t="n"/>
      <c r="M201" s="138" t="n"/>
      <c r="N201" s="85" t="n"/>
      <c r="O201" s="85" t="n"/>
      <c r="P201" s="85" t="n"/>
      <c r="Q201" s="85" t="n"/>
      <c r="R201" s="85" t="n"/>
      <c r="S201" s="85" t="n"/>
      <c r="T201" s="85" t="n"/>
      <c r="U201" s="145" t="n"/>
      <c r="V201" s="30" t="n"/>
      <c r="W201" s="98" t="n"/>
      <c r="X201" s="23" t="n"/>
      <c r="Y201" s="25" t="n"/>
      <c r="Z201" s="590" t="n"/>
      <c r="AA201" s="25" t="n"/>
      <c r="AB201" s="26" t="n"/>
      <c r="AC201" s="26" t="n"/>
      <c r="AD201" s="26" t="n"/>
      <c r="AE201" s="26" t="n"/>
      <c r="AF201" s="26" t="n"/>
      <c r="AG201" s="26" t="n"/>
      <c r="AH201" s="26" t="n"/>
      <c r="AI201" s="26" t="n"/>
      <c r="AJ201" s="26" t="n"/>
      <c r="AK201" s="101" t="n"/>
      <c r="AL201" s="101" t="n"/>
      <c r="AM201" s="26" t="n"/>
      <c r="AN201" s="26" t="n"/>
      <c r="AO201" s="26" t="n"/>
      <c r="AP201" s="101" t="n"/>
      <c r="AQ201" s="26" t="n"/>
      <c r="AR201" s="101" t="n"/>
      <c r="AS201" s="106" t="n"/>
      <c r="AT201" s="25" t="n"/>
      <c r="AU201" s="25" t="n"/>
      <c r="AV201" s="23" t="n"/>
      <c r="AW201" s="25" t="n"/>
      <c r="AX201" s="26" t="n"/>
      <c r="AY201" s="26" t="n"/>
      <c r="AZ201" s="26" t="n"/>
      <c r="BA201" s="26" t="n"/>
      <c r="BB201" s="26" t="n"/>
      <c r="BC201" s="26" t="n"/>
      <c r="BD201" s="26" t="n"/>
      <c r="BE201" s="26" t="n"/>
      <c r="BF201" s="26" t="n"/>
      <c r="BG201" s="101" t="n"/>
      <c r="BH201" s="101" t="n"/>
      <c r="BI201" s="26" t="n"/>
      <c r="BJ201" s="26" t="n"/>
      <c r="BK201" s="26" t="n"/>
      <c r="BL201" s="101" t="n"/>
      <c r="BM201" s="26" t="n"/>
      <c r="BN201" s="101" t="n"/>
      <c r="BO201" s="591" t="n"/>
      <c r="BP201" s="26" t="n"/>
      <c r="BQ201" s="26" t="n"/>
      <c r="BR201" s="26" t="n"/>
      <c r="BS201" s="26" t="n"/>
      <c r="BT201" s="614" t="n"/>
      <c r="BU201" s="614" t="n"/>
      <c r="BV201" s="593" t="n"/>
      <c r="BW201" s="614" t="n"/>
      <c r="BX201" s="614" t="n"/>
      <c r="BY201" s="615" t="n"/>
      <c r="BZ201" s="614" t="n"/>
      <c r="CA201" s="614" t="n"/>
      <c r="CB201" s="614" t="n"/>
      <c r="CC201" s="614" t="n"/>
      <c r="CD201" s="614" t="n"/>
      <c r="CE201" s="614" t="n"/>
      <c r="CF201" s="614" t="n"/>
    </row>
    <row r="202">
      <c r="A202" s="29" t="n"/>
      <c r="B202" s="29" t="n"/>
      <c r="C202" s="6" t="n"/>
      <c r="E202" s="85" t="n"/>
      <c r="F202" s="85" t="n"/>
      <c r="G202" s="85" t="n"/>
      <c r="H202" s="85" t="n"/>
      <c r="I202" s="85" t="n"/>
      <c r="J202" s="85" t="n"/>
      <c r="K202" s="85" t="n"/>
      <c r="L202" s="85" t="n"/>
      <c r="M202" s="138" t="n"/>
      <c r="N202" s="85" t="n"/>
      <c r="O202" s="85" t="n"/>
      <c r="P202" s="85" t="n"/>
      <c r="Q202" s="85" t="n"/>
      <c r="R202" s="85" t="n"/>
      <c r="S202" s="85" t="n"/>
      <c r="T202" s="85" t="n"/>
      <c r="U202" s="145" t="n"/>
      <c r="V202" s="30" t="n"/>
      <c r="W202" s="98" t="n"/>
      <c r="X202" s="23" t="n"/>
      <c r="Y202" s="25" t="n"/>
      <c r="Z202" s="590" t="n"/>
      <c r="AA202" s="25" t="n"/>
      <c r="AB202" s="26" t="n"/>
      <c r="AC202" s="26" t="n"/>
      <c r="AD202" s="26" t="n"/>
      <c r="AE202" s="26" t="n"/>
      <c r="AF202" s="26" t="n"/>
      <c r="AG202" s="26" t="n"/>
      <c r="AH202" s="26" t="n"/>
      <c r="AI202" s="26" t="n"/>
      <c r="AJ202" s="26" t="n"/>
      <c r="AK202" s="101" t="n"/>
      <c r="AL202" s="101" t="n"/>
      <c r="AM202" s="26" t="n"/>
      <c r="AN202" s="26" t="n"/>
      <c r="AO202" s="26" t="n"/>
      <c r="AP202" s="101" t="n"/>
      <c r="AQ202" s="26" t="n"/>
      <c r="AR202" s="101" t="n"/>
      <c r="AS202" s="106" t="n"/>
      <c r="AT202" s="25" t="n"/>
      <c r="AU202" s="25" t="n"/>
      <c r="AV202" s="23" t="n"/>
      <c r="AW202" s="25" t="n"/>
      <c r="AX202" s="26" t="n"/>
      <c r="AY202" s="26" t="n"/>
      <c r="AZ202" s="26" t="n"/>
      <c r="BA202" s="26" t="n"/>
      <c r="BB202" s="26" t="n"/>
      <c r="BC202" s="26" t="n"/>
      <c r="BD202" s="26" t="n"/>
      <c r="BE202" s="26" t="n"/>
      <c r="BF202" s="26" t="n"/>
      <c r="BG202" s="101" t="n"/>
      <c r="BH202" s="101" t="n"/>
      <c r="BI202" s="26" t="n"/>
      <c r="BJ202" s="26" t="n"/>
      <c r="BK202" s="26" t="n"/>
      <c r="BL202" s="101" t="n"/>
      <c r="BM202" s="26" t="n"/>
      <c r="BN202" s="101" t="n"/>
      <c r="BO202" s="591" t="n"/>
      <c r="BP202" s="26" t="n"/>
      <c r="BQ202" s="26" t="n"/>
      <c r="BR202" s="26" t="n"/>
      <c r="BS202" s="26" t="n"/>
      <c r="BT202" s="614" t="n"/>
      <c r="BU202" s="614" t="n"/>
      <c r="BV202" s="593" t="n"/>
      <c r="BW202" s="614" t="n"/>
      <c r="BX202" s="614" t="n"/>
      <c r="BY202" s="615" t="n"/>
      <c r="BZ202" s="614" t="n"/>
      <c r="CA202" s="614" t="n"/>
      <c r="CB202" s="614" t="n"/>
      <c r="CC202" s="614" t="n"/>
      <c r="CD202" s="614" t="n"/>
      <c r="CE202" s="614" t="n"/>
      <c r="CF202" s="614" t="n"/>
    </row>
    <row r="203">
      <c r="A203" s="29" t="n"/>
      <c r="B203" s="29" t="n"/>
      <c r="C203" s="6" t="n"/>
      <c r="E203" s="85" t="n"/>
      <c r="F203" s="85" t="n"/>
      <c r="G203" s="85" t="n"/>
      <c r="H203" s="85" t="n"/>
      <c r="I203" s="85" t="n"/>
      <c r="J203" s="85" t="n"/>
      <c r="K203" s="85" t="n"/>
      <c r="L203" s="85" t="n"/>
      <c r="M203" s="138" t="n"/>
      <c r="N203" s="85" t="n"/>
      <c r="O203" s="85" t="n"/>
      <c r="P203" s="85" t="n"/>
      <c r="Q203" s="85" t="n"/>
      <c r="R203" s="85" t="n"/>
      <c r="S203" s="85" t="n"/>
      <c r="T203" s="85" t="n"/>
      <c r="U203" s="145" t="n"/>
      <c r="V203" s="30" t="n"/>
      <c r="W203" s="98" t="n"/>
      <c r="X203" s="23" t="n"/>
      <c r="Y203" s="25" t="n"/>
      <c r="Z203" s="590" t="n"/>
      <c r="AA203" s="25" t="n"/>
      <c r="AB203" s="26" t="n"/>
      <c r="AC203" s="26" t="n"/>
      <c r="AD203" s="26" t="n"/>
      <c r="AE203" s="26" t="n"/>
      <c r="AF203" s="26" t="n"/>
      <c r="AG203" s="26" t="n"/>
      <c r="AH203" s="26" t="n"/>
      <c r="AI203" s="26" t="n"/>
      <c r="AJ203" s="26" t="n"/>
      <c r="AK203" s="101" t="n"/>
      <c r="AL203" s="101" t="n"/>
      <c r="AM203" s="26" t="n"/>
      <c r="AN203" s="26" t="n"/>
      <c r="AO203" s="26" t="n"/>
      <c r="AP203" s="101" t="n"/>
      <c r="AQ203" s="26" t="n"/>
      <c r="AR203" s="101" t="n"/>
      <c r="AS203" s="106" t="n"/>
      <c r="AT203" s="25" t="n"/>
      <c r="AU203" s="25" t="n"/>
      <c r="AV203" s="23" t="n"/>
      <c r="AW203" s="25" t="n"/>
      <c r="AX203" s="26" t="n"/>
      <c r="AY203" s="26" t="n"/>
      <c r="AZ203" s="26" t="n"/>
      <c r="BA203" s="26" t="n"/>
      <c r="BB203" s="26" t="n"/>
      <c r="BC203" s="26" t="n"/>
      <c r="BD203" s="26" t="n"/>
      <c r="BE203" s="26" t="n"/>
      <c r="BF203" s="26" t="n"/>
      <c r="BG203" s="101" t="n"/>
      <c r="BH203" s="101" t="n"/>
      <c r="BI203" s="26" t="n"/>
      <c r="BJ203" s="26" t="n"/>
      <c r="BK203" s="26" t="n"/>
      <c r="BL203" s="101" t="n"/>
      <c r="BM203" s="26" t="n"/>
      <c r="BN203" s="101" t="n"/>
      <c r="BO203" s="591" t="n"/>
      <c r="BP203" s="26" t="n"/>
      <c r="BQ203" s="26" t="n"/>
      <c r="BR203" s="26" t="n"/>
      <c r="BS203" s="26" t="n"/>
      <c r="BT203" s="614" t="n"/>
      <c r="BU203" s="614" t="n"/>
      <c r="BV203" s="593" t="n"/>
      <c r="BW203" s="614" t="n"/>
      <c r="BX203" s="614" t="n"/>
      <c r="BY203" s="615" t="n"/>
      <c r="BZ203" s="614" t="n"/>
      <c r="CA203" s="614" t="n"/>
      <c r="CB203" s="614" t="n"/>
      <c r="CC203" s="614" t="n"/>
      <c r="CD203" s="614" t="n"/>
      <c r="CE203" s="614" t="n"/>
      <c r="CF203" s="614" t="n"/>
    </row>
    <row r="204">
      <c r="A204" s="29" t="n"/>
      <c r="B204" s="29" t="n"/>
      <c r="C204" s="6" t="n"/>
      <c r="E204" s="85" t="n"/>
      <c r="F204" s="85" t="n"/>
      <c r="G204" s="85" t="n"/>
      <c r="H204" s="85" t="n"/>
      <c r="I204" s="85" t="n"/>
      <c r="J204" s="85" t="n"/>
      <c r="K204" s="85" t="n"/>
      <c r="L204" s="85" t="n"/>
      <c r="M204" s="138" t="n"/>
      <c r="N204" s="85" t="n"/>
      <c r="O204" s="85" t="n"/>
      <c r="P204" s="85" t="n"/>
      <c r="Q204" s="85" t="n"/>
      <c r="R204" s="85" t="n"/>
      <c r="S204" s="85" t="n"/>
      <c r="T204" s="85" t="n"/>
      <c r="U204" s="145" t="n"/>
      <c r="V204" s="30" t="n"/>
      <c r="W204" s="98" t="n"/>
      <c r="X204" s="23" t="n"/>
      <c r="Y204" s="25" t="n"/>
      <c r="Z204" s="590" t="n"/>
      <c r="AA204" s="25" t="n"/>
      <c r="AB204" s="26" t="n"/>
      <c r="AC204" s="26" t="n"/>
      <c r="AD204" s="26" t="n"/>
      <c r="AE204" s="26" t="n"/>
      <c r="AF204" s="26" t="n"/>
      <c r="AG204" s="26" t="n"/>
      <c r="AH204" s="26" t="n"/>
      <c r="AI204" s="26" t="n"/>
      <c r="AJ204" s="26" t="n"/>
      <c r="AK204" s="101" t="n"/>
      <c r="AL204" s="101" t="n"/>
      <c r="AM204" s="26" t="n"/>
      <c r="AN204" s="26" t="n"/>
      <c r="AO204" s="26" t="n"/>
      <c r="AP204" s="101" t="n"/>
      <c r="AQ204" s="26" t="n"/>
      <c r="AR204" s="101" t="n"/>
      <c r="AS204" s="106" t="n"/>
      <c r="AT204" s="25" t="n"/>
      <c r="AU204" s="25" t="n"/>
      <c r="AV204" s="23" t="n"/>
      <c r="AW204" s="25" t="n"/>
      <c r="AX204" s="26" t="n"/>
      <c r="AY204" s="26" t="n"/>
      <c r="AZ204" s="26" t="n"/>
      <c r="BA204" s="26" t="n"/>
      <c r="BB204" s="26" t="n"/>
      <c r="BC204" s="26" t="n"/>
      <c r="BD204" s="26" t="n"/>
      <c r="BE204" s="26" t="n"/>
      <c r="BF204" s="26" t="n"/>
      <c r="BG204" s="101" t="n"/>
      <c r="BH204" s="101" t="n"/>
      <c r="BI204" s="26" t="n"/>
      <c r="BJ204" s="26" t="n"/>
      <c r="BK204" s="26" t="n"/>
      <c r="BL204" s="101" t="n"/>
      <c r="BM204" s="26" t="n"/>
      <c r="BN204" s="101" t="n"/>
      <c r="BO204" s="591" t="n"/>
      <c r="BP204" s="26" t="n"/>
      <c r="BQ204" s="26" t="n"/>
      <c r="BR204" s="26" t="n"/>
      <c r="BS204" s="26" t="n"/>
      <c r="BT204" s="614" t="n"/>
      <c r="BU204" s="614" t="n"/>
      <c r="BV204" s="593" t="n"/>
      <c r="BW204" s="614" t="n"/>
      <c r="BX204" s="614" t="n"/>
      <c r="BY204" s="615" t="n"/>
      <c r="BZ204" s="614" t="n"/>
      <c r="CA204" s="614" t="n"/>
      <c r="CB204" s="614" t="n"/>
      <c r="CC204" s="614" t="n"/>
      <c r="CD204" s="614" t="n"/>
      <c r="CE204" s="614" t="n"/>
      <c r="CF204" s="614" t="n"/>
    </row>
    <row r="205">
      <c r="A205" s="29" t="n"/>
      <c r="B205" s="29" t="n"/>
      <c r="C205" s="6" t="n"/>
      <c r="E205" s="85" t="n"/>
      <c r="F205" s="85" t="n"/>
      <c r="G205" s="85" t="n"/>
      <c r="H205" s="85" t="n"/>
      <c r="I205" s="85" t="n"/>
      <c r="J205" s="85" t="n"/>
      <c r="K205" s="85" t="n"/>
      <c r="L205" s="85" t="n"/>
      <c r="M205" s="138" t="n"/>
      <c r="N205" s="85" t="n"/>
      <c r="O205" s="85" t="n"/>
      <c r="P205" s="85" t="n"/>
      <c r="Q205" s="85" t="n"/>
      <c r="R205" s="85" t="n"/>
      <c r="S205" s="85" t="n"/>
      <c r="T205" s="85" t="n"/>
      <c r="U205" s="145" t="n"/>
      <c r="V205" s="30" t="n"/>
      <c r="W205" s="98" t="n"/>
      <c r="X205" s="23" t="n"/>
      <c r="Y205" s="25" t="n"/>
      <c r="Z205" s="590" t="n"/>
      <c r="AA205" s="25" t="n"/>
      <c r="AB205" s="26" t="n"/>
      <c r="AC205" s="26" t="n"/>
      <c r="AD205" s="26" t="n"/>
      <c r="AE205" s="26" t="n"/>
      <c r="AF205" s="26" t="n"/>
      <c r="AG205" s="26" t="n"/>
      <c r="AH205" s="26" t="n"/>
      <c r="AI205" s="26" t="n"/>
      <c r="AJ205" s="26" t="n"/>
      <c r="AK205" s="101" t="n"/>
      <c r="AL205" s="101" t="n"/>
      <c r="AM205" s="26" t="n"/>
      <c r="AN205" s="26" t="n"/>
      <c r="AO205" s="26" t="n"/>
      <c r="AP205" s="101" t="n"/>
      <c r="AQ205" s="26" t="n"/>
      <c r="AR205" s="101" t="n"/>
      <c r="AS205" s="106" t="n"/>
      <c r="AT205" s="25" t="n"/>
      <c r="AU205" s="25" t="n"/>
      <c r="AV205" s="23" t="n"/>
      <c r="AW205" s="25" t="n"/>
      <c r="AX205" s="26" t="n"/>
      <c r="AY205" s="26" t="n"/>
      <c r="AZ205" s="26" t="n"/>
      <c r="BA205" s="26" t="n"/>
      <c r="BB205" s="26" t="n"/>
      <c r="BC205" s="26" t="n"/>
      <c r="BD205" s="26" t="n"/>
      <c r="BE205" s="26" t="n"/>
      <c r="BF205" s="26" t="n"/>
      <c r="BG205" s="101" t="n"/>
      <c r="BH205" s="101" t="n"/>
      <c r="BI205" s="26" t="n"/>
      <c r="BJ205" s="26" t="n"/>
      <c r="BK205" s="26" t="n"/>
      <c r="BL205" s="101" t="n"/>
      <c r="BM205" s="26" t="n"/>
      <c r="BN205" s="101" t="n"/>
      <c r="BO205" s="591" t="n"/>
      <c r="BP205" s="26" t="n"/>
      <c r="BQ205" s="26" t="n"/>
      <c r="BR205" s="26" t="n"/>
      <c r="BS205" s="26" t="n"/>
      <c r="BT205" s="614" t="n"/>
      <c r="BU205" s="614" t="n"/>
      <c r="BV205" s="593" t="n"/>
      <c r="BW205" s="614" t="n"/>
      <c r="BX205" s="614" t="n"/>
      <c r="BY205" s="615" t="n"/>
      <c r="BZ205" s="614" t="n"/>
      <c r="CA205" s="614" t="n"/>
      <c r="CB205" s="614" t="n"/>
      <c r="CC205" s="614" t="n"/>
      <c r="CD205" s="614" t="n"/>
      <c r="CE205" s="614" t="n"/>
      <c r="CF205" s="614" t="n"/>
    </row>
    <row r="206">
      <c r="A206" s="29" t="n"/>
      <c r="B206" s="29" t="n"/>
      <c r="C206" s="6" t="n"/>
      <c r="E206" s="85" t="n"/>
      <c r="F206" s="85" t="n"/>
      <c r="G206" s="85" t="n"/>
      <c r="H206" s="85" t="n"/>
      <c r="I206" s="85" t="n"/>
      <c r="J206" s="85" t="n"/>
      <c r="K206" s="85" t="n"/>
      <c r="L206" s="85" t="n"/>
      <c r="M206" s="138" t="n"/>
      <c r="N206" s="85" t="n"/>
      <c r="O206" s="85" t="n"/>
      <c r="P206" s="85" t="n"/>
      <c r="Q206" s="85" t="n"/>
      <c r="R206" s="85" t="n"/>
      <c r="S206" s="85" t="n"/>
      <c r="T206" s="85" t="n"/>
      <c r="U206" s="145" t="n"/>
      <c r="V206" s="30" t="n"/>
      <c r="W206" s="98" t="n"/>
      <c r="X206" s="23" t="n"/>
      <c r="Y206" s="25" t="n"/>
      <c r="Z206" s="590" t="n"/>
      <c r="AA206" s="25" t="n"/>
      <c r="AB206" s="26" t="n"/>
      <c r="AC206" s="26" t="n"/>
      <c r="AD206" s="26" t="n"/>
      <c r="AE206" s="26" t="n"/>
      <c r="AF206" s="26" t="n"/>
      <c r="AG206" s="26" t="n"/>
      <c r="AH206" s="26" t="n"/>
      <c r="AI206" s="26" t="n"/>
      <c r="AJ206" s="26" t="n"/>
      <c r="AK206" s="101" t="n"/>
      <c r="AL206" s="101" t="n"/>
      <c r="AM206" s="26" t="n"/>
      <c r="AN206" s="26" t="n"/>
      <c r="AO206" s="26" t="n"/>
      <c r="AP206" s="101" t="n"/>
      <c r="AQ206" s="26" t="n"/>
      <c r="AR206" s="101" t="n"/>
      <c r="AS206" s="106" t="n"/>
      <c r="AT206" s="25" t="n"/>
      <c r="AU206" s="25" t="n"/>
      <c r="AV206" s="23" t="n"/>
      <c r="AW206" s="25" t="n"/>
      <c r="AX206" s="26" t="n"/>
      <c r="AY206" s="26" t="n"/>
      <c r="AZ206" s="26" t="n"/>
      <c r="BA206" s="26" t="n"/>
      <c r="BB206" s="26" t="n"/>
      <c r="BC206" s="26" t="n"/>
      <c r="BD206" s="26" t="n"/>
      <c r="BE206" s="26" t="n"/>
      <c r="BF206" s="26" t="n"/>
      <c r="BG206" s="101" t="n"/>
      <c r="BH206" s="101" t="n"/>
      <c r="BI206" s="26" t="n"/>
      <c r="BJ206" s="26" t="n"/>
      <c r="BK206" s="26" t="n"/>
      <c r="BL206" s="101" t="n"/>
      <c r="BM206" s="26" t="n"/>
      <c r="BN206" s="101" t="n"/>
      <c r="BO206" s="591" t="n"/>
      <c r="BP206" s="26" t="n"/>
      <c r="BQ206" s="26" t="n"/>
      <c r="BR206" s="26" t="n"/>
      <c r="BS206" s="26" t="n"/>
      <c r="BT206" s="614" t="n"/>
      <c r="BU206" s="614" t="n"/>
      <c r="BV206" s="593" t="n"/>
      <c r="BW206" s="614" t="n"/>
      <c r="BX206" s="614" t="n"/>
      <c r="BY206" s="615" t="n"/>
      <c r="BZ206" s="614" t="n"/>
      <c r="CA206" s="614" t="n"/>
      <c r="CB206" s="614" t="n"/>
      <c r="CC206" s="614" t="n"/>
      <c r="CD206" s="614" t="n"/>
      <c r="CE206" s="614" t="n"/>
      <c r="CF206" s="614" t="n"/>
    </row>
    <row r="207">
      <c r="A207" s="29" t="n"/>
      <c r="B207" s="29" t="n"/>
      <c r="C207" s="6" t="n"/>
      <c r="E207" s="85" t="n"/>
      <c r="F207" s="85" t="n"/>
      <c r="G207" s="85" t="n"/>
      <c r="H207" s="85" t="n"/>
      <c r="I207" s="85" t="n"/>
      <c r="J207" s="85" t="n"/>
      <c r="K207" s="85" t="n"/>
      <c r="L207" s="85" t="n"/>
      <c r="M207" s="138" t="n"/>
      <c r="N207" s="85" t="n"/>
      <c r="O207" s="85" t="n"/>
      <c r="P207" s="85" t="n"/>
      <c r="Q207" s="85" t="n"/>
      <c r="R207" s="85" t="n"/>
      <c r="S207" s="85" t="n"/>
      <c r="T207" s="85" t="n"/>
      <c r="U207" s="145" t="n"/>
      <c r="V207" s="30" t="n"/>
      <c r="W207" s="98" t="n"/>
      <c r="X207" s="23" t="n"/>
      <c r="Y207" s="25" t="n"/>
      <c r="Z207" s="590" t="n"/>
      <c r="AA207" s="25" t="n"/>
      <c r="AB207" s="26" t="n"/>
      <c r="AC207" s="26" t="n"/>
      <c r="AD207" s="26" t="n"/>
      <c r="AE207" s="26" t="n"/>
      <c r="AF207" s="26" t="n"/>
      <c r="AG207" s="26" t="n"/>
      <c r="AH207" s="26" t="n"/>
      <c r="AI207" s="26" t="n"/>
      <c r="AJ207" s="26" t="n"/>
      <c r="AK207" s="101" t="n"/>
      <c r="AL207" s="101" t="n"/>
      <c r="AM207" s="26" t="n"/>
      <c r="AN207" s="26" t="n"/>
      <c r="AO207" s="26" t="n"/>
      <c r="AP207" s="101" t="n"/>
      <c r="AQ207" s="26" t="n"/>
      <c r="AR207" s="101" t="n"/>
      <c r="AS207" s="106" t="n"/>
      <c r="AT207" s="25" t="n"/>
      <c r="AU207" s="25" t="n"/>
      <c r="AV207" s="23" t="n"/>
      <c r="AW207" s="25" t="n"/>
      <c r="AX207" s="26" t="n"/>
      <c r="AY207" s="26" t="n"/>
      <c r="AZ207" s="26" t="n"/>
      <c r="BA207" s="26" t="n"/>
      <c r="BB207" s="26" t="n"/>
      <c r="BC207" s="26" t="n"/>
      <c r="BD207" s="26" t="n"/>
      <c r="BE207" s="26" t="n"/>
      <c r="BF207" s="26" t="n"/>
      <c r="BG207" s="101" t="n"/>
      <c r="BH207" s="101" t="n"/>
      <c r="BI207" s="26" t="n"/>
      <c r="BJ207" s="26" t="n"/>
      <c r="BK207" s="26" t="n"/>
      <c r="BL207" s="101" t="n"/>
      <c r="BM207" s="26" t="n"/>
      <c r="BN207" s="101" t="n"/>
      <c r="BO207" s="591" t="n"/>
      <c r="BP207" s="26" t="n"/>
      <c r="BQ207" s="26" t="n"/>
      <c r="BR207" s="26" t="n"/>
      <c r="BS207" s="26" t="n"/>
      <c r="BT207" s="614" t="n"/>
      <c r="BU207" s="614" t="n"/>
      <c r="BV207" s="593" t="n"/>
      <c r="BW207" s="614" t="n"/>
      <c r="BX207" s="614" t="n"/>
      <c r="BY207" s="615" t="n"/>
      <c r="BZ207" s="614" t="n"/>
      <c r="CA207" s="614" t="n"/>
      <c r="CB207" s="614" t="n"/>
      <c r="CC207" s="614" t="n"/>
      <c r="CD207" s="614" t="n"/>
      <c r="CE207" s="614" t="n"/>
      <c r="CF207" s="614" t="n"/>
    </row>
    <row r="208">
      <c r="A208" s="29" t="n"/>
      <c r="B208" s="29" t="n"/>
      <c r="C208" s="6" t="n"/>
      <c r="E208" s="85" t="n"/>
      <c r="F208" s="85" t="n"/>
      <c r="G208" s="85" t="n"/>
      <c r="H208" s="85" t="n"/>
      <c r="I208" s="85" t="n"/>
      <c r="J208" s="85" t="n"/>
      <c r="K208" s="85" t="n"/>
      <c r="L208" s="85" t="n"/>
      <c r="M208" s="138" t="n"/>
      <c r="N208" s="85" t="n"/>
      <c r="O208" s="85" t="n"/>
      <c r="P208" s="85" t="n"/>
      <c r="Q208" s="85" t="n"/>
      <c r="R208" s="85" t="n"/>
      <c r="S208" s="85" t="n"/>
      <c r="T208" s="85" t="n"/>
      <c r="U208" s="145" t="n"/>
      <c r="V208" s="30" t="n"/>
      <c r="W208" s="98" t="n"/>
      <c r="X208" s="23" t="n"/>
      <c r="Y208" s="25" t="n"/>
      <c r="Z208" s="590" t="n"/>
      <c r="AA208" s="25" t="n"/>
      <c r="AB208" s="26" t="n"/>
      <c r="AC208" s="26" t="n"/>
      <c r="AD208" s="26" t="n"/>
      <c r="AE208" s="26" t="n"/>
      <c r="AF208" s="26" t="n"/>
      <c r="AG208" s="26" t="n"/>
      <c r="AH208" s="26" t="n"/>
      <c r="AI208" s="26" t="n"/>
      <c r="AJ208" s="26" t="n"/>
      <c r="AK208" s="101" t="n"/>
      <c r="AL208" s="101" t="n"/>
      <c r="AM208" s="26" t="n"/>
      <c r="AN208" s="26" t="n"/>
      <c r="AO208" s="26" t="n"/>
      <c r="AP208" s="101" t="n"/>
      <c r="AQ208" s="26" t="n"/>
      <c r="AR208" s="101" t="n"/>
      <c r="AS208" s="106" t="n"/>
      <c r="AT208" s="25" t="n"/>
      <c r="AU208" s="25" t="n"/>
      <c r="AV208" s="23" t="n"/>
      <c r="AW208" s="25" t="n"/>
      <c r="AX208" s="26" t="n"/>
      <c r="AY208" s="26" t="n"/>
      <c r="AZ208" s="26" t="n"/>
      <c r="BA208" s="26" t="n"/>
      <c r="BB208" s="26" t="n"/>
      <c r="BC208" s="26" t="n"/>
      <c r="BD208" s="26" t="n"/>
      <c r="BE208" s="26" t="n"/>
      <c r="BF208" s="26" t="n"/>
      <c r="BG208" s="101" t="n"/>
      <c r="BH208" s="101" t="n"/>
      <c r="BI208" s="26" t="n"/>
      <c r="BJ208" s="26" t="n"/>
      <c r="BK208" s="26" t="n"/>
      <c r="BL208" s="101" t="n"/>
      <c r="BM208" s="26" t="n"/>
      <c r="BN208" s="101" t="n"/>
      <c r="BO208" s="591" t="n"/>
      <c r="BP208" s="26" t="n"/>
      <c r="BQ208" s="26" t="n"/>
      <c r="BR208" s="26" t="n"/>
      <c r="BS208" s="26" t="n"/>
      <c r="BT208" s="614" t="n"/>
      <c r="BU208" s="614" t="n"/>
      <c r="BV208" s="593" t="n"/>
      <c r="BW208" s="614" t="n"/>
      <c r="BX208" s="614" t="n"/>
      <c r="BY208" s="615" t="n"/>
      <c r="BZ208" s="614" t="n"/>
      <c r="CA208" s="614" t="n"/>
      <c r="CB208" s="614" t="n"/>
      <c r="CC208" s="614" t="n"/>
      <c r="CD208" s="614" t="n"/>
      <c r="CE208" s="614" t="n"/>
      <c r="CF208" s="614" t="n"/>
    </row>
    <row r="209">
      <c r="A209" s="29" t="n"/>
      <c r="B209" s="29" t="n"/>
      <c r="C209" s="6" t="n"/>
      <c r="E209" s="85" t="n"/>
      <c r="F209" s="85" t="n"/>
      <c r="G209" s="85" t="n"/>
      <c r="H209" s="85" t="n"/>
      <c r="I209" s="85" t="n"/>
      <c r="J209" s="85" t="n"/>
      <c r="K209" s="85" t="n"/>
      <c r="L209" s="85" t="n"/>
      <c r="M209" s="138" t="n"/>
      <c r="N209" s="85" t="n"/>
      <c r="O209" s="85" t="n"/>
      <c r="P209" s="85" t="n"/>
      <c r="Q209" s="85" t="n"/>
      <c r="R209" s="85" t="n"/>
      <c r="S209" s="85" t="n"/>
      <c r="T209" s="85" t="n"/>
      <c r="U209" s="145" t="n"/>
      <c r="V209" s="30" t="n"/>
      <c r="W209" s="98" t="n"/>
      <c r="X209" s="23" t="n"/>
      <c r="Y209" s="25" t="n"/>
      <c r="Z209" s="590" t="n"/>
      <c r="AA209" s="25" t="n"/>
      <c r="AB209" s="26" t="n"/>
      <c r="AC209" s="26" t="n"/>
      <c r="AD209" s="26" t="n"/>
      <c r="AE209" s="26" t="n"/>
      <c r="AF209" s="26" t="n"/>
      <c r="AG209" s="26" t="n"/>
      <c r="AH209" s="26" t="n"/>
      <c r="AI209" s="26" t="n"/>
      <c r="AJ209" s="26" t="n"/>
      <c r="AK209" s="101" t="n"/>
      <c r="AL209" s="101" t="n"/>
      <c r="AM209" s="26" t="n"/>
      <c r="AN209" s="26" t="n"/>
      <c r="AO209" s="26" t="n"/>
      <c r="AP209" s="101" t="n"/>
      <c r="AQ209" s="26" t="n"/>
      <c r="AR209" s="101" t="n"/>
      <c r="AS209" s="106" t="n"/>
      <c r="AT209" s="25" t="n"/>
      <c r="AU209" s="25" t="n"/>
      <c r="AV209" s="23" t="n"/>
      <c r="AW209" s="25" t="n"/>
      <c r="AX209" s="26" t="n"/>
      <c r="AY209" s="26" t="n"/>
      <c r="AZ209" s="26" t="n"/>
      <c r="BA209" s="26" t="n"/>
      <c r="BB209" s="26" t="n"/>
      <c r="BC209" s="26" t="n"/>
      <c r="BD209" s="26" t="n"/>
      <c r="BE209" s="26" t="n"/>
      <c r="BF209" s="26" t="n"/>
      <c r="BG209" s="101" t="n"/>
      <c r="BH209" s="101" t="n"/>
      <c r="BI209" s="26" t="n"/>
      <c r="BJ209" s="26" t="n"/>
      <c r="BK209" s="26" t="n"/>
      <c r="BL209" s="101" t="n"/>
      <c r="BM209" s="26" t="n"/>
      <c r="BN209" s="101" t="n"/>
      <c r="BO209" s="591" t="n"/>
      <c r="BP209" s="26" t="n"/>
      <c r="BQ209" s="26" t="n"/>
      <c r="BR209" s="26" t="n"/>
      <c r="BS209" s="26" t="n"/>
      <c r="BT209" s="614" t="n"/>
      <c r="BU209" s="614" t="n"/>
      <c r="BV209" s="593" t="n"/>
      <c r="BW209" s="614" t="n"/>
      <c r="BX209" s="614" t="n"/>
      <c r="BY209" s="615" t="n"/>
      <c r="BZ209" s="614" t="n"/>
      <c r="CA209" s="614" t="n"/>
      <c r="CB209" s="614" t="n"/>
      <c r="CC209" s="614" t="n"/>
      <c r="CD209" s="614" t="n"/>
      <c r="CE209" s="614" t="n"/>
      <c r="CF209" s="614" t="n"/>
    </row>
    <row r="210">
      <c r="A210" s="29" t="n"/>
      <c r="B210" s="29" t="n"/>
      <c r="C210" s="6" t="n"/>
      <c r="E210" s="85" t="n"/>
      <c r="F210" s="85" t="n"/>
      <c r="G210" s="85" t="n"/>
      <c r="H210" s="85" t="n"/>
      <c r="I210" s="85" t="n"/>
      <c r="J210" s="85" t="n"/>
      <c r="K210" s="85" t="n"/>
      <c r="L210" s="85" t="n"/>
      <c r="M210" s="138" t="n"/>
      <c r="N210" s="85" t="n"/>
      <c r="O210" s="85" t="n"/>
      <c r="P210" s="85" t="n"/>
      <c r="Q210" s="85" t="n"/>
      <c r="R210" s="85" t="n"/>
      <c r="S210" s="85" t="n"/>
      <c r="T210" s="85" t="n"/>
      <c r="U210" s="145" t="n"/>
      <c r="V210" s="30" t="n"/>
      <c r="W210" s="98" t="n"/>
      <c r="X210" s="23" t="n"/>
      <c r="Y210" s="25" t="n"/>
      <c r="Z210" s="590" t="n"/>
      <c r="AA210" s="25" t="n"/>
      <c r="AB210" s="26" t="n"/>
      <c r="AC210" s="26" t="n"/>
      <c r="AD210" s="26" t="n"/>
      <c r="AE210" s="26" t="n"/>
      <c r="AF210" s="26" t="n"/>
      <c r="AG210" s="26" t="n"/>
      <c r="AH210" s="26" t="n"/>
      <c r="AI210" s="26" t="n"/>
      <c r="AJ210" s="26" t="n"/>
      <c r="AK210" s="101" t="n"/>
      <c r="AL210" s="101" t="n"/>
      <c r="AM210" s="26" t="n"/>
      <c r="AN210" s="26" t="n"/>
      <c r="AO210" s="26" t="n"/>
      <c r="AP210" s="101" t="n"/>
      <c r="AQ210" s="26" t="n"/>
      <c r="AR210" s="101" t="n"/>
      <c r="AS210" s="106" t="n"/>
      <c r="AT210" s="25" t="n"/>
      <c r="AU210" s="25" t="n"/>
      <c r="AV210" s="23" t="n"/>
      <c r="AW210" s="25" t="n"/>
      <c r="AX210" s="26" t="n"/>
      <c r="AY210" s="26" t="n"/>
      <c r="AZ210" s="26" t="n"/>
      <c r="BA210" s="26" t="n"/>
      <c r="BB210" s="26" t="n"/>
      <c r="BC210" s="26" t="n"/>
      <c r="BD210" s="26" t="n"/>
      <c r="BE210" s="26" t="n"/>
      <c r="BF210" s="26" t="n"/>
      <c r="BG210" s="101" t="n"/>
      <c r="BH210" s="101" t="n"/>
      <c r="BI210" s="26" t="n"/>
      <c r="BJ210" s="26" t="n"/>
      <c r="BK210" s="26" t="n"/>
      <c r="BL210" s="101" t="n"/>
      <c r="BM210" s="26" t="n"/>
      <c r="BN210" s="101" t="n"/>
      <c r="BO210" s="591" t="n"/>
      <c r="BP210" s="26" t="n"/>
      <c r="BQ210" s="26" t="n"/>
      <c r="BR210" s="26" t="n"/>
      <c r="BS210" s="26" t="n"/>
      <c r="BT210" s="614" t="n"/>
      <c r="BU210" s="614" t="n"/>
      <c r="BV210" s="593" t="n"/>
      <c r="BW210" s="614" t="n"/>
      <c r="BX210" s="614" t="n"/>
      <c r="BY210" s="615" t="n"/>
      <c r="BZ210" s="614" t="n"/>
      <c r="CA210" s="614" t="n"/>
      <c r="CB210" s="614" t="n"/>
      <c r="CC210" s="614" t="n"/>
      <c r="CD210" s="614" t="n"/>
      <c r="CE210" s="614" t="n"/>
      <c r="CF210" s="614" t="n"/>
    </row>
    <row r="211">
      <c r="A211" s="29" t="n"/>
      <c r="B211" s="29" t="n"/>
      <c r="C211" s="6" t="n"/>
      <c r="E211" s="85" t="n"/>
      <c r="F211" s="85" t="n"/>
      <c r="G211" s="85" t="n"/>
      <c r="H211" s="85" t="n"/>
      <c r="I211" s="85" t="n"/>
      <c r="J211" s="85" t="n"/>
      <c r="K211" s="85" t="n"/>
      <c r="L211" s="85" t="n"/>
      <c r="M211" s="138" t="n"/>
      <c r="N211" s="85" t="n"/>
      <c r="O211" s="85" t="n"/>
      <c r="P211" s="85" t="n"/>
      <c r="Q211" s="85" t="n"/>
      <c r="R211" s="85" t="n"/>
      <c r="S211" s="85" t="n"/>
      <c r="T211" s="85" t="n"/>
      <c r="U211" s="145" t="n"/>
      <c r="V211" s="30" t="n"/>
      <c r="W211" s="98" t="n"/>
      <c r="X211" s="23" t="n"/>
      <c r="Y211" s="25" t="n"/>
      <c r="Z211" s="590" t="n"/>
      <c r="AA211" s="25" t="n"/>
      <c r="AB211" s="26" t="n"/>
      <c r="AC211" s="26" t="n"/>
      <c r="AD211" s="26" t="n"/>
      <c r="AE211" s="26" t="n"/>
      <c r="AF211" s="26" t="n"/>
      <c r="AG211" s="26" t="n"/>
      <c r="AH211" s="26" t="n"/>
      <c r="AI211" s="26" t="n"/>
      <c r="AJ211" s="26" t="n"/>
      <c r="AK211" s="101" t="n"/>
      <c r="AL211" s="101" t="n"/>
      <c r="AM211" s="26" t="n"/>
      <c r="AN211" s="26" t="n"/>
      <c r="AO211" s="26" t="n"/>
      <c r="AP211" s="101" t="n"/>
      <c r="AQ211" s="26" t="n"/>
      <c r="AR211" s="101" t="n"/>
      <c r="AS211" s="106" t="n"/>
      <c r="AT211" s="25" t="n"/>
      <c r="AU211" s="25" t="n"/>
      <c r="AV211" s="23" t="n"/>
      <c r="AW211" s="25" t="n"/>
      <c r="AX211" s="26" t="n"/>
      <c r="AY211" s="26" t="n"/>
      <c r="AZ211" s="26" t="n"/>
      <c r="BA211" s="26" t="n"/>
      <c r="BB211" s="26" t="n"/>
      <c r="BC211" s="26" t="n"/>
      <c r="BD211" s="26" t="n"/>
      <c r="BE211" s="26" t="n"/>
      <c r="BF211" s="26" t="n"/>
      <c r="BG211" s="101" t="n"/>
      <c r="BH211" s="101" t="n"/>
      <c r="BI211" s="26" t="n"/>
      <c r="BJ211" s="26" t="n"/>
      <c r="BK211" s="26" t="n"/>
      <c r="BL211" s="101" t="n"/>
      <c r="BM211" s="26" t="n"/>
      <c r="BN211" s="101" t="n"/>
      <c r="BO211" s="591" t="n"/>
      <c r="BP211" s="26" t="n"/>
      <c r="BQ211" s="26" t="n"/>
      <c r="BR211" s="26" t="n"/>
      <c r="BS211" s="26" t="n"/>
      <c r="BT211" s="614" t="n"/>
      <c r="BU211" s="614" t="n"/>
      <c r="BV211" s="593" t="n"/>
      <c r="BW211" s="614" t="n"/>
      <c r="BX211" s="614" t="n"/>
      <c r="BY211" s="615" t="n"/>
      <c r="BZ211" s="614" t="n"/>
      <c r="CA211" s="614" t="n"/>
      <c r="CB211" s="614" t="n"/>
      <c r="CC211" s="614" t="n"/>
      <c r="CD211" s="614" t="n"/>
      <c r="CE211" s="614" t="n"/>
      <c r="CF211" s="614" t="n"/>
    </row>
    <row r="212">
      <c r="A212" s="29" t="n"/>
      <c r="B212" s="29" t="n"/>
      <c r="C212" s="6" t="n"/>
      <c r="E212" s="85" t="n"/>
      <c r="F212" s="85" t="n"/>
      <c r="G212" s="85" t="n"/>
      <c r="H212" s="85" t="n"/>
      <c r="I212" s="85" t="n"/>
      <c r="J212" s="85" t="n"/>
      <c r="K212" s="85" t="n"/>
      <c r="L212" s="85" t="n"/>
      <c r="M212" s="138" t="n"/>
      <c r="N212" s="85" t="n"/>
      <c r="O212" s="85" t="n"/>
      <c r="P212" s="85" t="n"/>
      <c r="Q212" s="85" t="n"/>
      <c r="R212" s="85" t="n"/>
      <c r="S212" s="85" t="n"/>
      <c r="T212" s="85" t="n"/>
      <c r="U212" s="145" t="n"/>
      <c r="V212" s="30" t="n"/>
      <c r="W212" s="98" t="n"/>
      <c r="X212" s="23" t="n"/>
      <c r="Y212" s="25" t="n"/>
      <c r="Z212" s="590" t="n"/>
      <c r="AA212" s="25" t="n"/>
      <c r="AB212" s="26" t="n"/>
      <c r="AC212" s="26" t="n"/>
      <c r="AD212" s="26" t="n"/>
      <c r="AE212" s="26" t="n"/>
      <c r="AF212" s="26" t="n"/>
      <c r="AG212" s="26" t="n"/>
      <c r="AH212" s="26" t="n"/>
      <c r="AI212" s="26" t="n"/>
      <c r="AJ212" s="26" t="n"/>
      <c r="AK212" s="101" t="n"/>
      <c r="AL212" s="101" t="n"/>
      <c r="AM212" s="26" t="n"/>
      <c r="AN212" s="26" t="n"/>
      <c r="AO212" s="26" t="n"/>
      <c r="AP212" s="101" t="n"/>
      <c r="AQ212" s="26" t="n"/>
      <c r="AR212" s="101" t="n"/>
      <c r="AS212" s="106" t="n"/>
      <c r="AT212" s="25" t="n"/>
      <c r="AU212" s="25" t="n"/>
      <c r="AV212" s="23" t="n"/>
      <c r="AW212" s="25" t="n"/>
      <c r="AX212" s="26" t="n"/>
      <c r="AY212" s="26" t="n"/>
      <c r="AZ212" s="26" t="n"/>
      <c r="BA212" s="26" t="n"/>
      <c r="BB212" s="26" t="n"/>
      <c r="BC212" s="26" t="n"/>
      <c r="BD212" s="26" t="n"/>
      <c r="BE212" s="26" t="n"/>
      <c r="BF212" s="26" t="n"/>
      <c r="BG212" s="101" t="n"/>
      <c r="BH212" s="101" t="n"/>
      <c r="BI212" s="26" t="n"/>
      <c r="BJ212" s="26" t="n"/>
      <c r="BK212" s="26" t="n"/>
      <c r="BL212" s="101" t="n"/>
      <c r="BM212" s="26" t="n"/>
      <c r="BN212" s="101" t="n"/>
      <c r="BO212" s="591" t="n"/>
      <c r="BP212" s="26" t="n"/>
      <c r="BQ212" s="26" t="n"/>
      <c r="BR212" s="26" t="n"/>
      <c r="BS212" s="26" t="n"/>
      <c r="BT212" s="614" t="n"/>
      <c r="BU212" s="614" t="n"/>
      <c r="BV212" s="593" t="n"/>
      <c r="BW212" s="614" t="n"/>
      <c r="BX212" s="614" t="n"/>
      <c r="BY212" s="615" t="n"/>
      <c r="BZ212" s="614" t="n"/>
      <c r="CA212" s="614" t="n"/>
      <c r="CB212" s="614" t="n"/>
      <c r="CC212" s="614" t="n"/>
      <c r="CD212" s="614" t="n"/>
      <c r="CE212" s="614" t="n"/>
      <c r="CF212" s="614" t="n"/>
    </row>
    <row r="213">
      <c r="A213" s="29" t="n"/>
      <c r="B213" s="29" t="n"/>
      <c r="C213" s="6" t="n"/>
      <c r="E213" s="85" t="n"/>
      <c r="F213" s="85" t="n"/>
      <c r="G213" s="85" t="n"/>
      <c r="H213" s="85" t="n"/>
      <c r="I213" s="85" t="n"/>
      <c r="J213" s="85" t="n"/>
      <c r="K213" s="85" t="n"/>
      <c r="L213" s="85" t="n"/>
      <c r="M213" s="138" t="n"/>
      <c r="N213" s="85" t="n"/>
      <c r="O213" s="85" t="n"/>
      <c r="P213" s="85" t="n"/>
      <c r="Q213" s="85" t="n"/>
      <c r="R213" s="85" t="n"/>
      <c r="S213" s="85" t="n"/>
      <c r="T213" s="85" t="n"/>
      <c r="U213" s="145" t="n"/>
      <c r="V213" s="30" t="n"/>
      <c r="W213" s="98" t="n"/>
      <c r="X213" s="23" t="n"/>
      <c r="Y213" s="25" t="n"/>
      <c r="Z213" s="590" t="n"/>
      <c r="AA213" s="25" t="n"/>
      <c r="AB213" s="26" t="n"/>
      <c r="AC213" s="26" t="n"/>
      <c r="AD213" s="26" t="n"/>
      <c r="AE213" s="26" t="n"/>
      <c r="AF213" s="26" t="n"/>
      <c r="AG213" s="26" t="n"/>
      <c r="AH213" s="26" t="n"/>
      <c r="AI213" s="26" t="n"/>
      <c r="AJ213" s="26" t="n"/>
      <c r="AK213" s="101" t="n"/>
      <c r="AL213" s="101" t="n"/>
      <c r="AM213" s="26" t="n"/>
      <c r="AN213" s="26" t="n"/>
      <c r="AO213" s="26" t="n"/>
      <c r="AP213" s="101" t="n"/>
      <c r="AQ213" s="26" t="n"/>
      <c r="AR213" s="101" t="n"/>
      <c r="AS213" s="106" t="n"/>
      <c r="AT213" s="25" t="n"/>
      <c r="AU213" s="25" t="n"/>
      <c r="AV213" s="23" t="n"/>
      <c r="AW213" s="25" t="n"/>
      <c r="AX213" s="26" t="n"/>
      <c r="AY213" s="26" t="n"/>
      <c r="AZ213" s="26" t="n"/>
      <c r="BA213" s="26" t="n"/>
      <c r="BB213" s="26" t="n"/>
      <c r="BC213" s="26" t="n"/>
      <c r="BD213" s="26" t="n"/>
      <c r="BE213" s="26" t="n"/>
      <c r="BF213" s="26" t="n"/>
      <c r="BG213" s="101" t="n"/>
      <c r="BH213" s="101" t="n"/>
      <c r="BI213" s="26" t="n"/>
      <c r="BJ213" s="26" t="n"/>
      <c r="BK213" s="26" t="n"/>
      <c r="BL213" s="101" t="n"/>
      <c r="BM213" s="26" t="n"/>
      <c r="BN213" s="101" t="n"/>
      <c r="BO213" s="591" t="n"/>
      <c r="BP213" s="26" t="n"/>
      <c r="BQ213" s="26" t="n"/>
      <c r="BR213" s="26" t="n"/>
      <c r="BS213" s="26" t="n"/>
      <c r="BT213" s="614" t="n"/>
      <c r="BU213" s="614" t="n"/>
      <c r="BV213" s="593" t="n"/>
      <c r="BW213" s="614" t="n"/>
      <c r="BX213" s="614" t="n"/>
      <c r="BY213" s="615" t="n"/>
      <c r="BZ213" s="614" t="n"/>
      <c r="CA213" s="614" t="n"/>
      <c r="CB213" s="614" t="n"/>
      <c r="CC213" s="614" t="n"/>
      <c r="CD213" s="614" t="n"/>
      <c r="CE213" s="614" t="n"/>
      <c r="CF213" s="614" t="n"/>
    </row>
    <row r="214">
      <c r="A214" s="29" t="n"/>
      <c r="B214" s="29" t="n"/>
      <c r="C214" s="6" t="n"/>
      <c r="E214" s="85" t="n"/>
      <c r="F214" s="85" t="n"/>
      <c r="G214" s="85" t="n"/>
      <c r="H214" s="85" t="n"/>
      <c r="I214" s="85" t="n"/>
      <c r="J214" s="85" t="n"/>
      <c r="K214" s="85" t="n"/>
      <c r="L214" s="85" t="n"/>
      <c r="M214" s="138" t="n"/>
      <c r="N214" s="85" t="n"/>
      <c r="O214" s="85" t="n"/>
      <c r="P214" s="85" t="n"/>
      <c r="Q214" s="85" t="n"/>
      <c r="R214" s="85" t="n"/>
      <c r="S214" s="85" t="n"/>
      <c r="T214" s="85" t="n"/>
      <c r="U214" s="145" t="n"/>
      <c r="V214" s="30" t="n"/>
      <c r="W214" s="98" t="n"/>
      <c r="X214" s="23" t="n"/>
      <c r="Y214" s="25" t="n"/>
      <c r="Z214" s="590" t="n"/>
      <c r="AA214" s="25" t="n"/>
      <c r="AB214" s="26" t="n"/>
      <c r="AC214" s="26" t="n"/>
      <c r="AD214" s="26" t="n"/>
      <c r="AE214" s="26" t="n"/>
      <c r="AF214" s="26" t="n"/>
      <c r="AG214" s="26" t="n"/>
      <c r="AH214" s="26" t="n"/>
      <c r="AI214" s="26" t="n"/>
      <c r="AJ214" s="26" t="n"/>
      <c r="AK214" s="101" t="n"/>
      <c r="AL214" s="101" t="n"/>
      <c r="AM214" s="26" t="n"/>
      <c r="AN214" s="26" t="n"/>
      <c r="AO214" s="26" t="n"/>
      <c r="AP214" s="101" t="n"/>
      <c r="AQ214" s="26" t="n"/>
      <c r="AR214" s="101" t="n"/>
      <c r="AS214" s="106" t="n"/>
      <c r="AT214" s="25" t="n"/>
      <c r="AU214" s="25" t="n"/>
      <c r="AV214" s="23" t="n"/>
      <c r="AW214" s="25" t="n"/>
      <c r="AX214" s="26" t="n"/>
      <c r="AY214" s="26" t="n"/>
      <c r="AZ214" s="26" t="n"/>
      <c r="BA214" s="26" t="n"/>
      <c r="BB214" s="26" t="n"/>
      <c r="BC214" s="26" t="n"/>
      <c r="BD214" s="26" t="n"/>
      <c r="BE214" s="26" t="n"/>
      <c r="BF214" s="26" t="n"/>
      <c r="BG214" s="101" t="n"/>
      <c r="BH214" s="101" t="n"/>
      <c r="BI214" s="26" t="n"/>
      <c r="BJ214" s="26" t="n"/>
      <c r="BK214" s="26" t="n"/>
      <c r="BL214" s="101" t="n"/>
      <c r="BM214" s="26" t="n"/>
      <c r="BN214" s="101" t="n"/>
      <c r="BO214" s="591" t="n"/>
      <c r="BP214" s="26" t="n"/>
      <c r="BQ214" s="26" t="n"/>
      <c r="BR214" s="26" t="n"/>
      <c r="BS214" s="26" t="n"/>
      <c r="BT214" s="614" t="n"/>
      <c r="BU214" s="614" t="n"/>
      <c r="BV214" s="593" t="n"/>
      <c r="BW214" s="614" t="n"/>
      <c r="BX214" s="614" t="n"/>
      <c r="BY214" s="615" t="n"/>
      <c r="BZ214" s="614" t="n"/>
      <c r="CA214" s="614" t="n"/>
      <c r="CB214" s="614" t="n"/>
      <c r="CC214" s="614" t="n"/>
      <c r="CD214" s="614" t="n"/>
      <c r="CE214" s="614" t="n"/>
      <c r="CF214" s="614" t="n"/>
    </row>
    <row r="215">
      <c r="A215" s="29" t="n"/>
      <c r="B215" s="29" t="n"/>
      <c r="C215" s="6" t="n"/>
      <c r="E215" s="85" t="n"/>
      <c r="F215" s="85" t="n"/>
      <c r="G215" s="85" t="n"/>
      <c r="H215" s="85" t="n"/>
      <c r="I215" s="85" t="n"/>
      <c r="J215" s="85" t="n"/>
      <c r="K215" s="85" t="n"/>
      <c r="L215" s="85" t="n"/>
      <c r="M215" s="138" t="n"/>
      <c r="N215" s="85" t="n"/>
      <c r="O215" s="85" t="n"/>
      <c r="P215" s="85" t="n"/>
      <c r="Q215" s="85" t="n"/>
      <c r="R215" s="85" t="n"/>
      <c r="S215" s="85" t="n"/>
      <c r="T215" s="85" t="n"/>
      <c r="U215" s="145" t="n"/>
      <c r="V215" s="30" t="n"/>
      <c r="W215" s="98" t="n"/>
      <c r="X215" s="23" t="n"/>
      <c r="Y215" s="25" t="n"/>
      <c r="Z215" s="590" t="n"/>
      <c r="AA215" s="25" t="n"/>
      <c r="AB215" s="26" t="n"/>
      <c r="AC215" s="26" t="n"/>
      <c r="AD215" s="26" t="n"/>
      <c r="AE215" s="26" t="n"/>
      <c r="AF215" s="26" t="n"/>
      <c r="AG215" s="26" t="n"/>
      <c r="AH215" s="26" t="n"/>
      <c r="AI215" s="26" t="n"/>
      <c r="AJ215" s="26" t="n"/>
      <c r="AK215" s="101" t="n"/>
      <c r="AL215" s="101" t="n"/>
      <c r="AM215" s="26" t="n"/>
      <c r="AN215" s="26" t="n"/>
      <c r="AO215" s="26" t="n"/>
      <c r="AP215" s="101" t="n"/>
      <c r="AQ215" s="26" t="n"/>
      <c r="AR215" s="101" t="n"/>
      <c r="AS215" s="106" t="n"/>
      <c r="AT215" s="25" t="n"/>
      <c r="AU215" s="25" t="n"/>
      <c r="AV215" s="23" t="n"/>
      <c r="AW215" s="25" t="n"/>
      <c r="AX215" s="26" t="n"/>
      <c r="AY215" s="26" t="n"/>
      <c r="AZ215" s="26" t="n"/>
      <c r="BA215" s="26" t="n"/>
      <c r="BB215" s="26" t="n"/>
      <c r="BC215" s="26" t="n"/>
      <c r="BD215" s="26" t="n"/>
      <c r="BE215" s="26" t="n"/>
      <c r="BF215" s="26" t="n"/>
      <c r="BG215" s="101" t="n"/>
      <c r="BH215" s="101" t="n"/>
      <c r="BI215" s="26" t="n"/>
      <c r="BJ215" s="26" t="n"/>
      <c r="BK215" s="26" t="n"/>
      <c r="BL215" s="101" t="n"/>
      <c r="BM215" s="26" t="n"/>
      <c r="BN215" s="101" t="n"/>
      <c r="BO215" s="591" t="n"/>
      <c r="BP215" s="26" t="n"/>
      <c r="BQ215" s="26" t="n"/>
      <c r="BR215" s="26" t="n"/>
      <c r="BS215" s="26" t="n"/>
      <c r="BT215" s="614" t="n"/>
      <c r="BU215" s="614" t="n"/>
      <c r="BV215" s="593" t="n"/>
      <c r="BW215" s="614" t="n"/>
      <c r="BX215" s="614" t="n"/>
      <c r="BY215" s="615" t="n"/>
      <c r="BZ215" s="614" t="n"/>
      <c r="CA215" s="614" t="n"/>
      <c r="CB215" s="614" t="n"/>
      <c r="CC215" s="614" t="n"/>
      <c r="CD215" s="614" t="n"/>
      <c r="CE215" s="614" t="n"/>
      <c r="CF215" s="614" t="n"/>
    </row>
    <row r="216">
      <c r="A216" s="29" t="n"/>
      <c r="B216" s="29" t="n"/>
      <c r="C216" s="6" t="n"/>
      <c r="E216" s="85" t="n"/>
      <c r="F216" s="85" t="n"/>
      <c r="G216" s="85" t="n"/>
      <c r="H216" s="85" t="n"/>
      <c r="I216" s="85" t="n"/>
      <c r="J216" s="85" t="n"/>
      <c r="K216" s="85" t="n"/>
      <c r="L216" s="85" t="n"/>
      <c r="M216" s="138" t="n"/>
      <c r="N216" s="85" t="n"/>
      <c r="O216" s="85" t="n"/>
      <c r="P216" s="85" t="n"/>
      <c r="Q216" s="85" t="n"/>
      <c r="R216" s="85" t="n"/>
      <c r="S216" s="85" t="n"/>
      <c r="T216" s="85" t="n"/>
      <c r="U216" s="145" t="n"/>
      <c r="V216" s="30" t="n"/>
      <c r="W216" s="98" t="n"/>
      <c r="X216" s="23" t="n"/>
      <c r="Y216" s="25" t="n"/>
      <c r="Z216" s="590" t="n"/>
      <c r="AA216" s="25" t="n"/>
      <c r="AB216" s="26" t="n"/>
      <c r="AC216" s="26" t="n"/>
      <c r="AD216" s="26" t="n"/>
      <c r="AE216" s="26" t="n"/>
      <c r="AF216" s="26" t="n"/>
      <c r="AG216" s="26" t="n"/>
      <c r="AH216" s="26" t="n"/>
      <c r="AI216" s="26" t="n"/>
      <c r="AJ216" s="26" t="n"/>
      <c r="AK216" s="101" t="n"/>
      <c r="AL216" s="101" t="n"/>
      <c r="AM216" s="26" t="n"/>
      <c r="AN216" s="26" t="n"/>
      <c r="AO216" s="26" t="n"/>
      <c r="AP216" s="101" t="n"/>
      <c r="AQ216" s="26" t="n"/>
      <c r="AR216" s="101" t="n"/>
      <c r="AS216" s="106" t="n"/>
      <c r="AT216" s="25" t="n"/>
      <c r="AU216" s="25" t="n"/>
      <c r="AV216" s="23" t="n"/>
      <c r="AW216" s="25" t="n"/>
      <c r="AX216" s="26" t="n"/>
      <c r="AY216" s="26" t="n"/>
      <c r="AZ216" s="26" t="n"/>
      <c r="BA216" s="26" t="n"/>
      <c r="BB216" s="26" t="n"/>
      <c r="BC216" s="26" t="n"/>
      <c r="BD216" s="26" t="n"/>
      <c r="BE216" s="26" t="n"/>
      <c r="BF216" s="26" t="n"/>
      <c r="BG216" s="101" t="n"/>
      <c r="BH216" s="101" t="n"/>
      <c r="BI216" s="26" t="n"/>
      <c r="BJ216" s="26" t="n"/>
      <c r="BK216" s="26" t="n"/>
      <c r="BL216" s="101" t="n"/>
      <c r="BM216" s="26" t="n"/>
      <c r="BN216" s="101" t="n"/>
      <c r="BO216" s="591" t="n"/>
      <c r="BP216" s="26" t="n"/>
      <c r="BQ216" s="26" t="n"/>
      <c r="BR216" s="26" t="n"/>
      <c r="BS216" s="26" t="n"/>
      <c r="BT216" s="614" t="n"/>
      <c r="BU216" s="614" t="n"/>
      <c r="BV216" s="593" t="n"/>
      <c r="BW216" s="614" t="n"/>
      <c r="BX216" s="614" t="n"/>
      <c r="BY216" s="615" t="n"/>
      <c r="BZ216" s="614" t="n"/>
      <c r="CA216" s="614" t="n"/>
      <c r="CB216" s="614" t="n"/>
      <c r="CC216" s="614" t="n"/>
      <c r="CD216" s="614" t="n"/>
      <c r="CE216" s="614" t="n"/>
      <c r="CF216" s="614" t="n"/>
    </row>
    <row r="217">
      <c r="A217" s="29" t="n"/>
      <c r="B217" s="29" t="n"/>
      <c r="C217" s="6" t="n"/>
      <c r="E217" s="85" t="n"/>
      <c r="F217" s="85" t="n"/>
      <c r="G217" s="85" t="n"/>
      <c r="H217" s="85" t="n"/>
      <c r="I217" s="85" t="n"/>
      <c r="J217" s="85" t="n"/>
      <c r="K217" s="85" t="n"/>
      <c r="L217" s="85" t="n"/>
      <c r="M217" s="138" t="n"/>
      <c r="N217" s="85" t="n"/>
      <c r="O217" s="85" t="n"/>
      <c r="P217" s="85" t="n"/>
      <c r="Q217" s="85" t="n"/>
      <c r="R217" s="85" t="n"/>
      <c r="S217" s="85" t="n"/>
      <c r="T217" s="85" t="n"/>
      <c r="U217" s="145" t="n"/>
      <c r="V217" s="30" t="n"/>
      <c r="W217" s="98" t="n"/>
      <c r="X217" s="23" t="n"/>
      <c r="Y217" s="25" t="n"/>
      <c r="Z217" s="590" t="n"/>
      <c r="AA217" s="25" t="n"/>
      <c r="AB217" s="26" t="n"/>
      <c r="AC217" s="26" t="n"/>
      <c r="AD217" s="26" t="n"/>
      <c r="AE217" s="26" t="n"/>
      <c r="AF217" s="26" t="n"/>
      <c r="AG217" s="26" t="n"/>
      <c r="AH217" s="26" t="n"/>
      <c r="AI217" s="26" t="n"/>
      <c r="AJ217" s="26" t="n"/>
      <c r="AK217" s="101" t="n"/>
      <c r="AL217" s="101" t="n"/>
      <c r="AM217" s="26" t="n"/>
      <c r="AN217" s="26" t="n"/>
      <c r="AO217" s="26" t="n"/>
      <c r="AP217" s="101" t="n"/>
      <c r="AQ217" s="26" t="n"/>
      <c r="AR217" s="101" t="n"/>
      <c r="AS217" s="106" t="n"/>
      <c r="AT217" s="25" t="n"/>
      <c r="AU217" s="25" t="n"/>
      <c r="AV217" s="23" t="n"/>
      <c r="AW217" s="25" t="n"/>
      <c r="AX217" s="26" t="n"/>
      <c r="AY217" s="26" t="n"/>
      <c r="AZ217" s="26" t="n"/>
      <c r="BA217" s="26" t="n"/>
      <c r="BB217" s="26" t="n"/>
      <c r="BC217" s="26" t="n"/>
      <c r="BD217" s="26" t="n"/>
      <c r="BE217" s="26" t="n"/>
      <c r="BF217" s="26" t="n"/>
      <c r="BG217" s="101" t="n"/>
      <c r="BH217" s="101" t="n"/>
      <c r="BI217" s="26" t="n"/>
      <c r="BJ217" s="26" t="n"/>
      <c r="BK217" s="26" t="n"/>
      <c r="BL217" s="101" t="n"/>
      <c r="BM217" s="26" t="n"/>
      <c r="BN217" s="101" t="n"/>
      <c r="BO217" s="591" t="n"/>
      <c r="BP217" s="26" t="n"/>
      <c r="BQ217" s="26" t="n"/>
      <c r="BR217" s="26" t="n"/>
      <c r="BS217" s="26" t="n"/>
      <c r="BT217" s="614" t="n"/>
      <c r="BU217" s="614" t="n"/>
      <c r="BV217" s="593" t="n"/>
      <c r="BW217" s="614" t="n"/>
      <c r="BX217" s="614" t="n"/>
      <c r="BY217" s="615" t="n"/>
      <c r="BZ217" s="614" t="n"/>
      <c r="CA217" s="614" t="n"/>
      <c r="CB217" s="614" t="n"/>
      <c r="CC217" s="614" t="n"/>
      <c r="CD217" s="614" t="n"/>
      <c r="CE217" s="614" t="n"/>
      <c r="CF217" s="614" t="n"/>
    </row>
    <row r="218">
      <c r="A218" s="29" t="n"/>
      <c r="B218" s="29" t="n"/>
      <c r="C218" s="6" t="n"/>
      <c r="E218" s="85" t="n"/>
      <c r="F218" s="85" t="n"/>
      <c r="G218" s="85" t="n"/>
      <c r="H218" s="85" t="n"/>
      <c r="I218" s="85" t="n"/>
      <c r="J218" s="85" t="n"/>
      <c r="K218" s="85" t="n"/>
      <c r="L218" s="85" t="n"/>
      <c r="M218" s="138" t="n"/>
      <c r="N218" s="85" t="n"/>
      <c r="O218" s="85" t="n"/>
      <c r="P218" s="85" t="n"/>
      <c r="Q218" s="85" t="n"/>
      <c r="R218" s="85" t="n"/>
      <c r="S218" s="85" t="n"/>
      <c r="T218" s="85" t="n"/>
      <c r="U218" s="145" t="n"/>
      <c r="V218" s="30" t="n"/>
      <c r="W218" s="98" t="n"/>
      <c r="X218" s="23" t="n"/>
      <c r="Y218" s="25" t="n"/>
      <c r="Z218" s="590" t="n"/>
      <c r="AA218" s="25" t="n"/>
      <c r="AB218" s="26" t="n"/>
      <c r="AC218" s="26" t="n"/>
      <c r="AD218" s="26" t="n"/>
      <c r="AE218" s="26" t="n"/>
      <c r="AF218" s="26" t="n"/>
      <c r="AG218" s="26" t="n"/>
      <c r="AH218" s="26" t="n"/>
      <c r="AI218" s="26" t="n"/>
      <c r="AJ218" s="26" t="n"/>
      <c r="AK218" s="101" t="n"/>
      <c r="AL218" s="101" t="n"/>
      <c r="AM218" s="26" t="n"/>
      <c r="AN218" s="26" t="n"/>
      <c r="AO218" s="26" t="n"/>
      <c r="AP218" s="101" t="n"/>
      <c r="AQ218" s="26" t="n"/>
      <c r="AR218" s="101" t="n"/>
      <c r="AS218" s="106" t="n"/>
      <c r="AT218" s="25" t="n"/>
      <c r="AU218" s="25" t="n"/>
      <c r="AV218" s="23" t="n"/>
      <c r="AW218" s="25" t="n"/>
      <c r="AX218" s="26" t="n"/>
      <c r="AY218" s="26" t="n"/>
      <c r="AZ218" s="26" t="n"/>
      <c r="BA218" s="26" t="n"/>
      <c r="BB218" s="26" t="n"/>
      <c r="BC218" s="26" t="n"/>
      <c r="BD218" s="26" t="n"/>
      <c r="BE218" s="26" t="n"/>
      <c r="BF218" s="26" t="n"/>
      <c r="BG218" s="101" t="n"/>
      <c r="BH218" s="101" t="n"/>
      <c r="BI218" s="26" t="n"/>
      <c r="BJ218" s="26" t="n"/>
      <c r="BK218" s="26" t="n"/>
      <c r="BL218" s="101" t="n"/>
      <c r="BM218" s="26" t="n"/>
      <c r="BN218" s="101" t="n"/>
      <c r="BO218" s="591" t="n"/>
      <c r="BP218" s="26" t="n"/>
      <c r="BQ218" s="26" t="n"/>
      <c r="BR218" s="26" t="n"/>
      <c r="BS218" s="26" t="n"/>
      <c r="BT218" s="614" t="n"/>
      <c r="BU218" s="614" t="n"/>
      <c r="BV218" s="593" t="n"/>
      <c r="BW218" s="614" t="n"/>
      <c r="BX218" s="614" t="n"/>
      <c r="BY218" s="615" t="n"/>
      <c r="BZ218" s="614" t="n"/>
      <c r="CA218" s="614" t="n"/>
      <c r="CB218" s="614" t="n"/>
      <c r="CC218" s="614" t="n"/>
      <c r="CD218" s="614" t="n"/>
      <c r="CE218" s="614" t="n"/>
      <c r="CF218" s="614" t="n"/>
    </row>
    <row r="219">
      <c r="A219" s="29" t="n"/>
      <c r="B219" s="29" t="n"/>
      <c r="C219" s="6" t="n"/>
      <c r="E219" s="85" t="n"/>
      <c r="F219" s="85" t="n"/>
      <c r="G219" s="85" t="n"/>
      <c r="H219" s="85" t="n"/>
      <c r="I219" s="85" t="n"/>
      <c r="J219" s="85" t="n"/>
      <c r="K219" s="85" t="n"/>
      <c r="L219" s="85" t="n"/>
      <c r="M219" s="138" t="n"/>
      <c r="N219" s="85" t="n"/>
      <c r="O219" s="85" t="n"/>
      <c r="P219" s="85" t="n"/>
      <c r="Q219" s="85" t="n"/>
      <c r="R219" s="85" t="n"/>
      <c r="S219" s="85" t="n"/>
      <c r="T219" s="85" t="n"/>
      <c r="U219" s="145" t="n"/>
      <c r="V219" s="30" t="n"/>
      <c r="W219" s="98" t="n"/>
      <c r="X219" s="23" t="n"/>
      <c r="Y219" s="25" t="n"/>
      <c r="Z219" s="590" t="n"/>
      <c r="AA219" s="25" t="n"/>
      <c r="AB219" s="26" t="n"/>
      <c r="AC219" s="26" t="n"/>
      <c r="AD219" s="26" t="n"/>
      <c r="AE219" s="26" t="n"/>
      <c r="AF219" s="26" t="n"/>
      <c r="AG219" s="26" t="n"/>
      <c r="AH219" s="26" t="n"/>
      <c r="AI219" s="26" t="n"/>
      <c r="AJ219" s="26" t="n"/>
      <c r="AK219" s="101" t="n"/>
      <c r="AL219" s="101" t="n"/>
      <c r="AM219" s="26" t="n"/>
      <c r="AN219" s="26" t="n"/>
      <c r="AO219" s="26" t="n"/>
      <c r="AP219" s="101" t="n"/>
      <c r="AQ219" s="26" t="n"/>
      <c r="AR219" s="101" t="n"/>
      <c r="AS219" s="106" t="n"/>
      <c r="AT219" s="25" t="n"/>
      <c r="AU219" s="25" t="n"/>
      <c r="AV219" s="23" t="n"/>
      <c r="AW219" s="25" t="n"/>
      <c r="AX219" s="26" t="n"/>
      <c r="AY219" s="26" t="n"/>
      <c r="AZ219" s="26" t="n"/>
      <c r="BA219" s="26" t="n"/>
      <c r="BB219" s="26" t="n"/>
      <c r="BC219" s="26" t="n"/>
      <c r="BD219" s="26" t="n"/>
      <c r="BE219" s="26" t="n"/>
      <c r="BF219" s="26" t="n"/>
      <c r="BG219" s="101" t="n"/>
      <c r="BH219" s="101" t="n"/>
      <c r="BI219" s="26" t="n"/>
      <c r="BJ219" s="26" t="n"/>
      <c r="BK219" s="26" t="n"/>
      <c r="BL219" s="101" t="n"/>
      <c r="BM219" s="26" t="n"/>
      <c r="BN219" s="101" t="n"/>
      <c r="BO219" s="591" t="n"/>
      <c r="BP219" s="26" t="n"/>
      <c r="BQ219" s="26" t="n"/>
      <c r="BR219" s="26" t="n"/>
      <c r="BS219" s="26" t="n"/>
      <c r="BT219" s="614" t="n"/>
      <c r="BU219" s="614" t="n"/>
      <c r="BV219" s="593" t="n"/>
      <c r="BW219" s="614" t="n"/>
      <c r="BX219" s="614" t="n"/>
      <c r="BY219" s="615" t="n"/>
      <c r="BZ219" s="614" t="n"/>
      <c r="CA219" s="614" t="n"/>
      <c r="CB219" s="614" t="n"/>
      <c r="CC219" s="614" t="n"/>
      <c r="CD219" s="614" t="n"/>
      <c r="CE219" s="614" t="n"/>
      <c r="CF219" s="614" t="n"/>
    </row>
    <row r="220">
      <c r="A220" s="29" t="n"/>
      <c r="B220" s="29" t="n"/>
      <c r="C220" s="6" t="n"/>
      <c r="E220" s="85" t="n"/>
      <c r="F220" s="85" t="n"/>
      <c r="G220" s="85" t="n"/>
      <c r="H220" s="85" t="n"/>
      <c r="I220" s="85" t="n"/>
      <c r="J220" s="85" t="n"/>
      <c r="K220" s="85" t="n"/>
      <c r="L220" s="85" t="n"/>
      <c r="M220" s="138" t="n"/>
      <c r="N220" s="85" t="n"/>
      <c r="O220" s="85" t="n"/>
      <c r="P220" s="85" t="n"/>
      <c r="Q220" s="85" t="n"/>
      <c r="R220" s="85" t="n"/>
      <c r="S220" s="85" t="n"/>
      <c r="T220" s="85" t="n"/>
      <c r="U220" s="145" t="n"/>
      <c r="V220" s="30" t="n"/>
      <c r="W220" s="98" t="n"/>
      <c r="X220" s="23" t="n"/>
      <c r="Y220" s="25" t="n"/>
      <c r="Z220" s="590" t="n"/>
      <c r="AA220" s="25" t="n"/>
      <c r="AB220" s="26" t="n"/>
      <c r="AC220" s="26" t="n"/>
      <c r="AD220" s="26" t="n"/>
      <c r="AE220" s="26" t="n"/>
      <c r="AF220" s="26" t="n"/>
      <c r="AG220" s="26" t="n"/>
      <c r="AH220" s="26" t="n"/>
      <c r="AI220" s="26" t="n"/>
      <c r="AJ220" s="26" t="n"/>
      <c r="AK220" s="101" t="n"/>
      <c r="AL220" s="101" t="n"/>
      <c r="AM220" s="26" t="n"/>
      <c r="AN220" s="26" t="n"/>
      <c r="AO220" s="26" t="n"/>
      <c r="AP220" s="101" t="n"/>
      <c r="AQ220" s="26" t="n"/>
      <c r="AR220" s="101" t="n"/>
      <c r="AS220" s="106" t="n"/>
      <c r="AT220" s="25" t="n"/>
      <c r="AU220" s="25" t="n"/>
      <c r="AV220" s="23" t="n"/>
      <c r="AW220" s="25" t="n"/>
      <c r="AX220" s="26" t="n"/>
      <c r="AY220" s="26" t="n"/>
      <c r="AZ220" s="26" t="n"/>
      <c r="BA220" s="26" t="n"/>
      <c r="BB220" s="26" t="n"/>
      <c r="BC220" s="26" t="n"/>
      <c r="BD220" s="26" t="n"/>
      <c r="BE220" s="26" t="n"/>
      <c r="BF220" s="26" t="n"/>
      <c r="BG220" s="101" t="n"/>
      <c r="BH220" s="101" t="n"/>
      <c r="BI220" s="26" t="n"/>
      <c r="BJ220" s="26" t="n"/>
      <c r="BK220" s="26" t="n"/>
      <c r="BL220" s="101" t="n"/>
      <c r="BM220" s="26" t="n"/>
      <c r="BN220" s="101" t="n"/>
      <c r="BO220" s="591" t="n"/>
      <c r="BP220" s="26" t="n"/>
      <c r="BQ220" s="26" t="n"/>
      <c r="BR220" s="26" t="n"/>
      <c r="BS220" s="26" t="n"/>
      <c r="BT220" s="614" t="n"/>
      <c r="BU220" s="614" t="n"/>
      <c r="BV220" s="593" t="n"/>
      <c r="BW220" s="614" t="n"/>
      <c r="BX220" s="614" t="n"/>
      <c r="BY220" s="615" t="n"/>
      <c r="BZ220" s="614" t="n"/>
      <c r="CA220" s="614" t="n"/>
      <c r="CB220" s="614" t="n"/>
      <c r="CC220" s="614" t="n"/>
      <c r="CD220" s="614" t="n"/>
      <c r="CE220" s="614" t="n"/>
      <c r="CF220" s="614" t="n"/>
    </row>
    <row r="221">
      <c r="A221" s="29" t="n"/>
      <c r="B221" s="29" t="n"/>
      <c r="C221" s="6" t="n"/>
      <c r="E221" s="85" t="n"/>
      <c r="F221" s="85" t="n"/>
      <c r="G221" s="85" t="n"/>
      <c r="H221" s="85" t="n"/>
      <c r="I221" s="85" t="n"/>
      <c r="J221" s="85" t="n"/>
      <c r="K221" s="85" t="n"/>
      <c r="L221" s="85" t="n"/>
      <c r="M221" s="138" t="n"/>
      <c r="N221" s="85" t="n"/>
      <c r="O221" s="85" t="n"/>
      <c r="P221" s="85" t="n"/>
      <c r="Q221" s="85" t="n"/>
      <c r="R221" s="85" t="n"/>
      <c r="S221" s="85" t="n"/>
      <c r="T221" s="85" t="n"/>
      <c r="U221" s="145" t="n"/>
      <c r="V221" s="30" t="n"/>
      <c r="W221" s="98" t="n"/>
      <c r="X221" s="23" t="n"/>
      <c r="Y221" s="25" t="n"/>
      <c r="Z221" s="590" t="n"/>
      <c r="AA221" s="25" t="n"/>
      <c r="AB221" s="26" t="n"/>
      <c r="AC221" s="26" t="n"/>
      <c r="AD221" s="26" t="n"/>
      <c r="AE221" s="26" t="n"/>
      <c r="AF221" s="26" t="n"/>
      <c r="AG221" s="26" t="n"/>
      <c r="AH221" s="26" t="n"/>
      <c r="AI221" s="26" t="n"/>
      <c r="AJ221" s="26" t="n"/>
      <c r="AK221" s="101" t="n"/>
      <c r="AL221" s="101" t="n"/>
      <c r="AM221" s="26" t="n"/>
      <c r="AN221" s="26" t="n"/>
      <c r="AO221" s="26" t="n"/>
      <c r="AP221" s="101" t="n"/>
      <c r="AQ221" s="26" t="n"/>
      <c r="AR221" s="101" t="n"/>
      <c r="AS221" s="106" t="n"/>
      <c r="AT221" s="25" t="n"/>
      <c r="AU221" s="25" t="n"/>
      <c r="AV221" s="23" t="n"/>
      <c r="AW221" s="25" t="n"/>
      <c r="AX221" s="26" t="n"/>
      <c r="AY221" s="26" t="n"/>
      <c r="AZ221" s="26" t="n"/>
      <c r="BA221" s="26" t="n"/>
      <c r="BB221" s="26" t="n"/>
      <c r="BC221" s="26" t="n"/>
      <c r="BD221" s="26" t="n"/>
      <c r="BE221" s="26" t="n"/>
      <c r="BF221" s="26" t="n"/>
      <c r="BG221" s="101" t="n"/>
      <c r="BH221" s="101" t="n"/>
      <c r="BI221" s="26" t="n"/>
      <c r="BJ221" s="26" t="n"/>
      <c r="BK221" s="26" t="n"/>
      <c r="BL221" s="101" t="n"/>
      <c r="BM221" s="26" t="n"/>
      <c r="BN221" s="101" t="n"/>
      <c r="BO221" s="591" t="n"/>
      <c r="BP221" s="26" t="n"/>
      <c r="BQ221" s="26" t="n"/>
      <c r="BR221" s="26" t="n"/>
      <c r="BS221" s="26" t="n"/>
      <c r="BT221" s="614" t="n"/>
      <c r="BU221" s="614" t="n"/>
      <c r="BV221" s="593" t="n"/>
      <c r="BW221" s="614" t="n"/>
      <c r="BX221" s="614" t="n"/>
      <c r="BY221" s="615" t="n"/>
      <c r="BZ221" s="614" t="n"/>
      <c r="CA221" s="614" t="n"/>
      <c r="CB221" s="614" t="n"/>
      <c r="CC221" s="614" t="n"/>
      <c r="CD221" s="614" t="n"/>
      <c r="CE221" s="614" t="n"/>
      <c r="CF221" s="614" t="n"/>
    </row>
    <row r="222">
      <c r="A222" s="29" t="n"/>
      <c r="B222" s="29" t="n"/>
      <c r="C222" s="6" t="n"/>
      <c r="E222" s="85" t="n"/>
      <c r="F222" s="85" t="n"/>
      <c r="G222" s="85" t="n"/>
      <c r="H222" s="85" t="n"/>
      <c r="I222" s="85" t="n"/>
      <c r="J222" s="85" t="n"/>
      <c r="K222" s="85" t="n"/>
      <c r="L222" s="85" t="n"/>
      <c r="M222" s="138" t="n"/>
      <c r="N222" s="85" t="n"/>
      <c r="O222" s="85" t="n"/>
      <c r="P222" s="85" t="n"/>
      <c r="Q222" s="85" t="n"/>
      <c r="R222" s="85" t="n"/>
      <c r="S222" s="85" t="n"/>
      <c r="T222" s="85" t="n"/>
      <c r="U222" s="145" t="n"/>
      <c r="V222" s="30" t="n"/>
      <c r="W222" s="98" t="n"/>
      <c r="X222" s="23" t="n"/>
      <c r="Y222" s="25" t="n"/>
      <c r="Z222" s="590" t="n"/>
      <c r="AA222" s="25" t="n"/>
      <c r="AB222" s="26" t="n"/>
      <c r="AC222" s="26" t="n"/>
      <c r="AD222" s="26" t="n"/>
      <c r="AE222" s="26" t="n"/>
      <c r="AF222" s="26" t="n"/>
      <c r="AG222" s="26" t="n"/>
      <c r="AH222" s="26" t="n"/>
      <c r="AI222" s="26" t="n"/>
      <c r="AJ222" s="26" t="n"/>
      <c r="AK222" s="101" t="n"/>
      <c r="AL222" s="101" t="n"/>
      <c r="AM222" s="26" t="n"/>
      <c r="AN222" s="26" t="n"/>
      <c r="AO222" s="26" t="n"/>
      <c r="AP222" s="101" t="n"/>
      <c r="AQ222" s="26" t="n"/>
      <c r="AR222" s="101" t="n"/>
      <c r="AS222" s="106" t="n"/>
      <c r="AT222" s="25" t="n"/>
      <c r="AU222" s="25" t="n"/>
      <c r="AV222" s="23" t="n"/>
      <c r="AW222" s="25" t="n"/>
      <c r="AX222" s="26" t="n"/>
      <c r="AY222" s="26" t="n"/>
      <c r="AZ222" s="26" t="n"/>
      <c r="BA222" s="26" t="n"/>
      <c r="BB222" s="26" t="n"/>
      <c r="BC222" s="26" t="n"/>
      <c r="BD222" s="26" t="n"/>
      <c r="BE222" s="26" t="n"/>
      <c r="BF222" s="26" t="n"/>
      <c r="BG222" s="101" t="n"/>
      <c r="BH222" s="101" t="n"/>
      <c r="BI222" s="26" t="n"/>
      <c r="BJ222" s="26" t="n"/>
      <c r="BK222" s="26" t="n"/>
      <c r="BL222" s="101" t="n"/>
      <c r="BM222" s="26" t="n"/>
      <c r="BN222" s="101" t="n"/>
      <c r="BO222" s="591" t="n"/>
      <c r="BP222" s="26" t="n"/>
      <c r="BQ222" s="26" t="n"/>
      <c r="BR222" s="26" t="n"/>
      <c r="BS222" s="26" t="n"/>
      <c r="BT222" s="614" t="n"/>
      <c r="BU222" s="614" t="n"/>
      <c r="BV222" s="593" t="n"/>
      <c r="BW222" s="614" t="n"/>
      <c r="BX222" s="614" t="n"/>
      <c r="BY222" s="615" t="n"/>
      <c r="BZ222" s="614" t="n"/>
      <c r="CA222" s="614" t="n"/>
      <c r="CB222" s="614" t="n"/>
      <c r="CC222" s="614" t="n"/>
      <c r="CD222" s="614" t="n"/>
      <c r="CE222" s="614" t="n"/>
      <c r="CF222" s="614" t="n"/>
    </row>
    <row r="223">
      <c r="Y223" s="25" t="n"/>
      <c r="Z223" s="616" t="n"/>
      <c r="AA223" s="617" t="n"/>
      <c r="AW223" s="25" t="n"/>
      <c r="BT223" s="614" t="n"/>
      <c r="BW223" s="614" t="n"/>
    </row>
    <row r="224">
      <c r="Y224" s="25" t="n"/>
      <c r="Z224" s="41" t="n"/>
      <c r="AA224" s="596" t="n"/>
      <c r="AW224" s="25" t="n"/>
      <c r="BT224" s="614" t="n"/>
      <c r="BW224" s="614" t="n"/>
    </row>
    <row r="225">
      <c r="V225" s="618" t="n"/>
      <c r="Y225" s="25" t="n"/>
      <c r="Z225" s="41" t="n"/>
      <c r="AW225" s="25" t="n"/>
      <c r="BT225" s="614" t="n"/>
      <c r="BW225" s="614" t="n"/>
    </row>
    <row r="226">
      <c r="Y226" s="25" t="n"/>
      <c r="Z226" s="41" t="n"/>
      <c r="AW226" s="25" t="n"/>
      <c r="BT226" s="614" t="n"/>
      <c r="BW226" s="614" t="n"/>
    </row>
    <row r="227">
      <c r="Y227" s="25" t="n"/>
      <c r="Z227" s="41" t="n"/>
      <c r="AW227" s="25" t="n"/>
      <c r="BT227" s="614" t="n"/>
      <c r="BW227" s="614" t="n"/>
    </row>
    <row r="228">
      <c r="Y228" s="25" t="n"/>
      <c r="Z228" s="41" t="n"/>
      <c r="AW228" s="25" t="n"/>
      <c r="BT228" s="614" t="n"/>
      <c r="BW228" s="614" t="n"/>
    </row>
    <row r="229">
      <c r="Y229" s="25" t="n"/>
      <c r="Z229" s="41" t="n"/>
      <c r="AW229" s="25" t="n"/>
      <c r="BT229" s="614" t="n"/>
      <c r="BW229" s="614" t="n"/>
    </row>
    <row r="230">
      <c r="Y230" s="25" t="n"/>
      <c r="Z230" s="41" t="n"/>
      <c r="AW230" s="25" t="n"/>
    </row>
    <row r="231">
      <c r="Y231" s="25" t="n"/>
      <c r="Z231" s="41" t="n"/>
      <c r="AW231" s="25" t="n"/>
    </row>
    <row r="232">
      <c r="Y232" s="25" t="n"/>
      <c r="Z232" s="41" t="n"/>
      <c r="AW232" s="25" t="n"/>
    </row>
    <row r="233">
      <c r="Y233" s="25" t="n"/>
      <c r="Z233" s="41" t="n"/>
      <c r="AW233" s="25" t="n"/>
    </row>
    <row r="234">
      <c r="Y234" s="25" t="n"/>
      <c r="Z234" s="41" t="n"/>
      <c r="AW234" s="25" t="n"/>
    </row>
    <row r="235">
      <c r="Y235" s="25" t="n"/>
      <c r="Z235" s="41" t="n"/>
      <c r="AW235" s="25" t="n"/>
    </row>
    <row r="236">
      <c r="Y236" s="25" t="n"/>
      <c r="Z236" s="41" t="n"/>
      <c r="AW236" s="25" t="n"/>
    </row>
    <row r="237">
      <c r="Y237" s="25" t="n"/>
      <c r="Z237" s="41" t="n"/>
      <c r="AW237" s="25" t="n"/>
    </row>
    <row r="238">
      <c r="Y238" s="25" t="n"/>
      <c r="Z238" s="41" t="n"/>
      <c r="AW238" s="25" t="n"/>
    </row>
    <row r="239">
      <c r="Y239" s="25" t="n"/>
      <c r="Z239" s="41" t="n"/>
      <c r="AW239" s="25" t="n"/>
    </row>
    <row r="240">
      <c r="Y240" s="25" t="n"/>
      <c r="Z240" s="41" t="n"/>
      <c r="AW240" s="25" t="n"/>
    </row>
    <row r="241">
      <c r="Y241" s="25" t="n"/>
      <c r="Z241" s="41" t="n"/>
      <c r="AW241" s="25" t="n"/>
    </row>
    <row r="242">
      <c r="Y242" s="25" t="n"/>
      <c r="Z242" s="41" t="n"/>
      <c r="AW242" s="25" t="n"/>
    </row>
    <row r="243">
      <c r="Y243" s="25" t="n"/>
      <c r="Z243" s="41" t="n"/>
      <c r="AW243" s="25" t="n"/>
    </row>
    <row r="244">
      <c r="Y244" s="25" t="n"/>
      <c r="Z244" s="41" t="n"/>
      <c r="AW244" s="25" t="n"/>
    </row>
    <row r="245">
      <c r="Y245" s="25" t="n"/>
      <c r="Z245" s="41" t="n"/>
      <c r="AW245" s="25" t="n"/>
    </row>
    <row r="246">
      <c r="Y246" s="25" t="n"/>
      <c r="Z246" s="41" t="n"/>
      <c r="AW246" s="25" t="n"/>
    </row>
    <row r="247">
      <c r="Y247" s="25" t="n"/>
      <c r="Z247" s="41" t="n"/>
      <c r="AW247" s="25" t="n"/>
    </row>
    <row r="248">
      <c r="Y248" s="25" t="n"/>
      <c r="Z248" s="41" t="n"/>
      <c r="AW248" s="25" t="n"/>
    </row>
    <row r="249">
      <c r="Y249" s="25" t="n"/>
      <c r="Z249" s="41" t="n"/>
      <c r="AW249" s="25" t="n"/>
    </row>
    <row r="250">
      <c r="Y250" s="25" t="n"/>
      <c r="Z250" s="41" t="n"/>
      <c r="AW250" s="25" t="n"/>
    </row>
    <row r="251">
      <c r="Y251" s="25" t="n"/>
      <c r="Z251" s="41" t="n"/>
      <c r="AW251" s="25" t="n"/>
    </row>
    <row r="252">
      <c r="Y252" s="25" t="n"/>
      <c r="Z252" s="41" t="n"/>
      <c r="AW252" s="25" t="n"/>
    </row>
    <row r="253">
      <c r="Y253" s="25" t="n"/>
      <c r="Z253" s="41" t="n"/>
      <c r="AW253" s="25" t="n"/>
    </row>
    <row r="254">
      <c r="Y254" s="25" t="n"/>
      <c r="Z254" s="41" t="n"/>
      <c r="AW254" s="25" t="n"/>
    </row>
    <row r="255">
      <c r="Y255" s="25" t="n"/>
      <c r="Z255" s="41" t="n"/>
      <c r="AW255" s="25" t="n"/>
    </row>
    <row r="256">
      <c r="Y256" s="25" t="n"/>
      <c r="Z256" s="41" t="n"/>
      <c r="AW256" s="25" t="n"/>
    </row>
    <row r="257">
      <c r="Y257" s="25" t="n"/>
      <c r="Z257" s="41" t="n"/>
      <c r="AW257" s="25" t="n"/>
    </row>
    <row r="258">
      <c r="Y258" s="25" t="n"/>
      <c r="Z258" s="41" t="n"/>
      <c r="AW258" s="25" t="n"/>
    </row>
    <row r="259">
      <c r="Y259" s="25" t="n"/>
      <c r="Z259" s="41" t="n"/>
      <c r="AW259" s="25" t="n"/>
    </row>
    <row r="260">
      <c r="Y260" s="25" t="n"/>
      <c r="Z260" s="41" t="n"/>
      <c r="AW260" s="25" t="n"/>
    </row>
    <row r="261">
      <c r="Y261" s="25" t="n"/>
      <c r="Z261" s="41" t="n"/>
      <c r="AW261" s="25" t="n"/>
    </row>
    <row r="262">
      <c r="Y262" s="25" t="n"/>
      <c r="Z262" s="41" t="n"/>
      <c r="AW262" s="25" t="n"/>
    </row>
    <row r="263">
      <c r="Y263" s="25" t="n"/>
      <c r="Z263" s="41" t="n"/>
      <c r="AW263" s="25" t="n"/>
    </row>
    <row r="264">
      <c r="Y264" s="25" t="n"/>
      <c r="Z264" s="41" t="n"/>
      <c r="AW264" s="25" t="n"/>
    </row>
    <row r="265">
      <c r="Y265" s="25" t="n"/>
      <c r="Z265" s="41" t="n"/>
      <c r="AW265" s="25" t="n"/>
    </row>
    <row r="266">
      <c r="Y266" s="25" t="n"/>
      <c r="Z266" s="41" t="n"/>
      <c r="AW266" s="25" t="n"/>
    </row>
    <row r="267">
      <c r="Y267" s="25" t="n"/>
      <c r="Z267" s="41" t="n"/>
      <c r="AW267" s="25" t="n"/>
    </row>
    <row r="268">
      <c r="Y268" s="25" t="n"/>
      <c r="Z268" s="41" t="n"/>
      <c r="AW268" s="25" t="n"/>
    </row>
    <row r="269">
      <c r="Y269" s="25" t="n"/>
      <c r="Z269" s="41" t="n"/>
      <c r="AW269" s="25" t="n"/>
    </row>
    <row r="270">
      <c r="Y270" s="25" t="n"/>
      <c r="Z270" s="41" t="n"/>
      <c r="AW270" s="25" t="n"/>
    </row>
    <row r="271">
      <c r="Y271" s="25" t="n"/>
      <c r="Z271" s="41" t="n"/>
      <c r="AW271" s="25" t="n"/>
    </row>
    <row r="272">
      <c r="Y272" s="25" t="n"/>
      <c r="Z272" s="41" t="n"/>
      <c r="AW272" s="25" t="n"/>
    </row>
    <row r="273">
      <c r="Y273" s="25" t="n"/>
      <c r="Z273" s="41" t="n"/>
      <c r="AW273" s="25" t="n"/>
    </row>
    <row r="274">
      <c r="Y274" s="25" t="n"/>
      <c r="Z274" s="41" t="n"/>
      <c r="AW274" s="25" t="n"/>
    </row>
    <row r="275">
      <c r="Y275" s="25" t="n"/>
      <c r="Z275" s="41" t="n"/>
      <c r="AW275" s="25" t="n"/>
    </row>
    <row r="276">
      <c r="Y276" s="25" t="n"/>
      <c r="Z276" s="41" t="n"/>
      <c r="AW276" s="25" t="n"/>
    </row>
    <row r="277">
      <c r="Y277" s="25" t="n"/>
      <c r="Z277" s="41" t="n"/>
      <c r="AW277" s="25" t="n"/>
    </row>
    <row r="278">
      <c r="Y278" s="25" t="n"/>
      <c r="Z278" s="41" t="n"/>
      <c r="AW278" s="25" t="n"/>
    </row>
    <row r="279">
      <c r="Y279" s="25" t="n"/>
      <c r="Z279" s="41" t="n"/>
      <c r="AW279" s="25" t="n"/>
    </row>
    <row r="280">
      <c r="Y280" s="25" t="n"/>
      <c r="Z280" s="41" t="n"/>
      <c r="AW280" s="25" t="n"/>
    </row>
    <row r="281">
      <c r="Y281" s="25" t="n"/>
      <c r="Z281" s="41" t="n"/>
      <c r="AW281" s="25" t="n"/>
    </row>
    <row r="282">
      <c r="Y282" s="25" t="n"/>
      <c r="Z282" s="41" t="n"/>
      <c r="AW282" s="25" t="n"/>
    </row>
    <row r="283">
      <c r="Y283" s="25" t="n"/>
      <c r="Z283" s="41" t="n"/>
      <c r="AW283" s="25" t="n"/>
    </row>
    <row r="284">
      <c r="Y284" s="25" t="n"/>
      <c r="Z284" s="41" t="n"/>
      <c r="AW284" s="25" t="n"/>
    </row>
    <row r="285">
      <c r="Y285" s="25" t="n"/>
      <c r="Z285" s="41" t="n"/>
      <c r="AW285" s="25" t="n"/>
    </row>
  </sheetData>
  <mergeCells count="8">
    <mergeCell ref="O8:S8"/>
    <mergeCell ref="AB8:AR8"/>
    <mergeCell ref="EA8:EC8"/>
    <mergeCell ref="AX8:BN8"/>
    <mergeCell ref="DO8:DV8"/>
    <mergeCell ref="BW6:BX6"/>
    <mergeCell ref="BT6:BU6"/>
    <mergeCell ref="G8:K8"/>
  </mergeCells>
  <conditionalFormatting sqref="X11:X85">
    <cfRule type="cellIs" priority="4" operator="lessThan" dxfId="0">
      <formula>1</formula>
    </cfRule>
  </conditionalFormatting>
  <conditionalFormatting sqref="X11:X1048576">
    <cfRule type="cellIs" priority="3" operator="lessThan" dxfId="0">
      <formula>1</formula>
    </cfRule>
  </conditionalFormatting>
  <conditionalFormatting sqref="AV19:AV85">
    <cfRule type="cellIs" priority="2" operator="lessThan" dxfId="0">
      <formula>1</formula>
    </cfRule>
  </conditionalFormatting>
  <conditionalFormatting sqref="AV11:AV1048576">
    <cfRule type="cellIs" priority="1" operator="lessThan" dxfId="0">
      <formula>1</formula>
    </cfRule>
  </conditionalFormatting>
  <dataValidations count="1">
    <dataValidation sqref="L11:L85 T11:T85" showDropDown="0" showInputMessage="1" showErrorMessage="1" allowBlank="1" type="list">
      <formula1>"Linear,Flat"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B4:T134"/>
  <sheetViews>
    <sheetView topLeftCell="A116" workbookViewId="0">
      <selection activeCell="H124" sqref="H124"/>
    </sheetView>
  </sheetViews>
  <sheetFormatPr baseColWidth="8" defaultColWidth="8.88671875" defaultRowHeight="13.2"/>
  <cols>
    <col width="10.44140625" customWidth="1" style="92" min="2" max="2"/>
    <col width="19" bestFit="1" customWidth="1" style="51" min="3" max="3"/>
    <col width="14.109375" bestFit="1" customWidth="1" style="49" min="4" max="4"/>
    <col width="11.88671875" bestFit="1" customWidth="1" min="5" max="5"/>
    <col width="10.44140625" customWidth="1" min="7" max="7"/>
    <col width="12.5546875" customWidth="1" min="8" max="8"/>
    <col width="11.5546875" customWidth="1" min="9" max="9"/>
    <col width="17.6640625" bestFit="1" customWidth="1" min="10" max="10"/>
    <col width="10.44140625" customWidth="1" min="12" max="13"/>
    <col width="16.88671875" customWidth="1" min="14" max="14"/>
    <col width="16.44140625" customWidth="1" min="15" max="15"/>
    <col width="24.88671875" bestFit="1" customWidth="1" min="17" max="17"/>
    <col width="11.33203125" bestFit="1" customWidth="1" min="20" max="20"/>
  </cols>
  <sheetData>
    <row r="4">
      <c r="B4" s="92" t="inlineStr">
        <is>
          <t>Tax Year</t>
        </is>
      </c>
      <c r="C4" s="418" t="inlineStr">
        <is>
          <t>Limits</t>
        </is>
      </c>
      <c r="D4" s="419" t="inlineStr">
        <is>
          <t>Percentages</t>
        </is>
      </c>
      <c r="E4" s="92" t="inlineStr">
        <is>
          <t>Tax</t>
        </is>
      </c>
      <c r="G4" s="88" t="inlineStr">
        <is>
          <t>Tax Year</t>
        </is>
      </c>
      <c r="H4" s="88" t="inlineStr">
        <is>
          <t>&lt;65</t>
        </is>
      </c>
      <c r="I4" s="88" t="inlineStr">
        <is>
          <t>&lt;75</t>
        </is>
      </c>
      <c r="J4" s="88" t="inlineStr">
        <is>
          <t>&gt;75</t>
        </is>
      </c>
      <c r="L4" s="88" t="inlineStr">
        <is>
          <t>Tax Year</t>
        </is>
      </c>
      <c r="M4" t="inlineStr">
        <is>
          <t>Principal</t>
        </is>
      </c>
      <c r="N4" t="inlineStr">
        <is>
          <t>First Dependant</t>
        </is>
      </c>
      <c r="O4" t="inlineStr">
        <is>
          <t>Each Additional</t>
        </is>
      </c>
    </row>
    <row r="5">
      <c r="B5" s="92" t="inlineStr">
        <is>
          <t>2008</t>
        </is>
      </c>
      <c r="C5" s="619" t="n">
        <v>0</v>
      </c>
      <c r="D5" s="210" t="n">
        <v>0.18</v>
      </c>
      <c r="E5" s="620" t="n"/>
      <c r="G5" t="n">
        <v>2008</v>
      </c>
      <c r="H5" t="n">
        <v>7740</v>
      </c>
      <c r="L5" t="n">
        <v>2008</v>
      </c>
      <c r="M5" t="n">
        <v>530</v>
      </c>
      <c r="N5" t="n">
        <v>530</v>
      </c>
      <c r="O5" t="n">
        <v>320</v>
      </c>
    </row>
    <row r="6">
      <c r="B6" s="92">
        <f>B5</f>
        <v/>
      </c>
      <c r="C6" s="619" t="n">
        <v>112500</v>
      </c>
      <c r="D6" s="210" t="n">
        <v>0.25</v>
      </c>
      <c r="E6" s="620">
        <f>D5*C6</f>
        <v/>
      </c>
      <c r="G6" t="n">
        <v>2009</v>
      </c>
      <c r="H6" t="n">
        <v>8280</v>
      </c>
      <c r="L6">
        <f>L5+1</f>
        <v/>
      </c>
      <c r="M6" t="n">
        <v>570</v>
      </c>
      <c r="N6" t="n">
        <v>570</v>
      </c>
      <c r="O6" t="n">
        <v>345</v>
      </c>
    </row>
    <row r="7">
      <c r="B7" s="92">
        <f>B6</f>
        <v/>
      </c>
      <c r="C7" s="619" t="n">
        <v>180000</v>
      </c>
      <c r="D7" s="210" t="n">
        <v>0.3</v>
      </c>
      <c r="E7" s="620">
        <f>E6+D6*(C7-C6)</f>
        <v/>
      </c>
      <c r="G7" t="n">
        <v>2010</v>
      </c>
      <c r="H7" t="n">
        <v>9756</v>
      </c>
      <c r="L7">
        <f>L6+1</f>
        <v/>
      </c>
      <c r="M7" t="n">
        <v>670</v>
      </c>
      <c r="N7" t="n">
        <v>670</v>
      </c>
      <c r="O7" t="n">
        <v>410</v>
      </c>
      <c r="T7" s="50" t="n"/>
    </row>
    <row r="8">
      <c r="B8" s="92">
        <f>B7</f>
        <v/>
      </c>
      <c r="C8" s="619" t="n">
        <v>250000</v>
      </c>
      <c r="D8" s="210" t="n">
        <v>0.35</v>
      </c>
      <c r="E8" s="620">
        <f>E7+D7*(C8-C7)</f>
        <v/>
      </c>
      <c r="G8" t="n">
        <v>2011</v>
      </c>
      <c r="H8" t="n">
        <v>10260</v>
      </c>
      <c r="L8">
        <f>L7+1</f>
        <v/>
      </c>
      <c r="M8" t="n">
        <v>670</v>
      </c>
      <c r="N8" t="n">
        <v>670</v>
      </c>
      <c r="O8" t="n">
        <v>410</v>
      </c>
    </row>
    <row r="9">
      <c r="B9" s="92">
        <f>B8</f>
        <v/>
      </c>
      <c r="C9" s="619" t="n">
        <v>350000</v>
      </c>
      <c r="D9" s="210" t="n">
        <v>0.38</v>
      </c>
      <c r="E9" s="620">
        <f>E8+D8*(C9-C8)</f>
        <v/>
      </c>
      <c r="G9" t="n">
        <v>2012</v>
      </c>
      <c r="H9" t="n">
        <v>10755</v>
      </c>
      <c r="L9">
        <f>L8+1</f>
        <v/>
      </c>
      <c r="M9" t="n">
        <v>720</v>
      </c>
      <c r="N9" t="n">
        <v>720</v>
      </c>
      <c r="O9" t="n">
        <v>440</v>
      </c>
      <c r="T9" s="50" t="n"/>
    </row>
    <row r="10">
      <c r="B10" s="92">
        <f>B9</f>
        <v/>
      </c>
      <c r="C10" s="619" t="n">
        <v>450000</v>
      </c>
      <c r="D10" s="210">
        <f>40/100</f>
        <v/>
      </c>
      <c r="E10" s="620">
        <f>E9+D9*(C10-C9)</f>
        <v/>
      </c>
      <c r="G10" t="n">
        <v>2013</v>
      </c>
      <c r="H10" t="n">
        <v>11440</v>
      </c>
      <c r="L10">
        <f>L9+1</f>
        <v/>
      </c>
      <c r="M10" t="n">
        <v>230</v>
      </c>
      <c r="N10" t="n">
        <v>230</v>
      </c>
      <c r="O10" t="n">
        <v>154</v>
      </c>
      <c r="T10" s="50" t="n"/>
    </row>
    <row r="11">
      <c r="B11" s="421" t="inlineStr">
        <is>
          <t>2009</t>
        </is>
      </c>
      <c r="C11" s="621" t="n">
        <v>0</v>
      </c>
      <c r="D11" s="423">
        <f>18/100</f>
        <v/>
      </c>
      <c r="E11" s="622" t="n"/>
      <c r="G11" t="n">
        <v>2014</v>
      </c>
      <c r="H11" t="n">
        <v>12080</v>
      </c>
      <c r="L11">
        <f>L10+1</f>
        <v/>
      </c>
      <c r="M11" t="n">
        <v>242</v>
      </c>
      <c r="N11" t="n">
        <v>242</v>
      </c>
      <c r="O11" t="n">
        <v>162</v>
      </c>
      <c r="T11" s="50" t="n"/>
    </row>
    <row r="12">
      <c r="B12" s="421">
        <f>B11</f>
        <v/>
      </c>
      <c r="C12" s="621" t="n">
        <v>122000</v>
      </c>
      <c r="D12" s="423" t="n">
        <v>0.25</v>
      </c>
      <c r="E12" s="622">
        <f>D11*C12</f>
        <v/>
      </c>
      <c r="G12" t="n">
        <v>2015</v>
      </c>
      <c r="H12" t="n">
        <v>12726</v>
      </c>
      <c r="I12" t="n">
        <v>19836</v>
      </c>
      <c r="J12" t="n">
        <v>22203</v>
      </c>
      <c r="L12">
        <f>L11+1</f>
        <v/>
      </c>
      <c r="M12" t="n">
        <v>257</v>
      </c>
      <c r="N12" t="n">
        <v>257</v>
      </c>
      <c r="O12" t="n">
        <v>172</v>
      </c>
    </row>
    <row r="13">
      <c r="B13" s="421">
        <f>B12</f>
        <v/>
      </c>
      <c r="C13" s="621" t="n">
        <v>195000</v>
      </c>
      <c r="D13" s="423" t="n">
        <v>0.3</v>
      </c>
      <c r="E13" s="622">
        <f>E12+D12*(C13-C12)</f>
        <v/>
      </c>
      <c r="G13" t="n">
        <v>2016</v>
      </c>
      <c r="H13" t="n">
        <v>13257</v>
      </c>
      <c r="I13" t="n">
        <v>20664</v>
      </c>
      <c r="J13" t="n">
        <v>23130</v>
      </c>
      <c r="L13">
        <f>L12+1</f>
        <v/>
      </c>
      <c r="M13" t="n">
        <v>270</v>
      </c>
      <c r="N13" t="n">
        <v>270</v>
      </c>
      <c r="O13" t="n">
        <v>181</v>
      </c>
      <c r="T13" s="50" t="n"/>
    </row>
    <row r="14">
      <c r="B14" s="421">
        <f>B13</f>
        <v/>
      </c>
      <c r="C14" s="621" t="n">
        <v>270000</v>
      </c>
      <c r="D14" s="423" t="n">
        <v>0.35</v>
      </c>
      <c r="E14" s="622">
        <f>E13+D13*(C14-C13)</f>
        <v/>
      </c>
      <c r="G14" t="n">
        <v>2017</v>
      </c>
      <c r="H14" t="n">
        <v>13500</v>
      </c>
      <c r="I14" t="n">
        <v>20907</v>
      </c>
      <c r="J14" t="n">
        <v>23373</v>
      </c>
      <c r="L14">
        <f>L13+1</f>
        <v/>
      </c>
      <c r="M14" t="n">
        <v>286</v>
      </c>
      <c r="N14" t="n">
        <v>286</v>
      </c>
      <c r="O14" t="n">
        <v>192</v>
      </c>
      <c r="T14" s="50" t="n"/>
    </row>
    <row r="15">
      <c r="B15" s="421">
        <f>B14</f>
        <v/>
      </c>
      <c r="C15" s="621" t="n">
        <v>380000</v>
      </c>
      <c r="D15" s="423" t="n">
        <v>0.38</v>
      </c>
      <c r="E15" s="622">
        <f>E14+D14*(C15-C14)</f>
        <v/>
      </c>
      <c r="G15" t="n">
        <v>2018</v>
      </c>
      <c r="H15" t="n">
        <v>13635</v>
      </c>
      <c r="I15" t="n">
        <v>21114</v>
      </c>
      <c r="J15" t="n">
        <v>23607</v>
      </c>
      <c r="L15">
        <f>L14+1</f>
        <v/>
      </c>
      <c r="M15" t="n">
        <v>303</v>
      </c>
      <c r="N15" t="n">
        <v>303</v>
      </c>
      <c r="O15" t="n">
        <v>204</v>
      </c>
      <c r="T15" s="50" t="n"/>
    </row>
    <row r="16">
      <c r="B16" s="421">
        <f>B15</f>
        <v/>
      </c>
      <c r="C16" s="621" t="n">
        <v>490000</v>
      </c>
      <c r="D16" s="423" t="n">
        <v>0.4</v>
      </c>
      <c r="E16" s="622">
        <f>E15+D15*(C16-C15)</f>
        <v/>
      </c>
      <c r="G16" t="n">
        <v>2019</v>
      </c>
      <c r="H16" t="n">
        <v>14067</v>
      </c>
      <c r="I16" t="n">
        <v>21780</v>
      </c>
      <c r="J16" t="n">
        <v>23607</v>
      </c>
      <c r="L16">
        <f>L15+1</f>
        <v/>
      </c>
      <c r="M16" t="n">
        <v>310</v>
      </c>
      <c r="N16" t="n">
        <v>310</v>
      </c>
      <c r="O16" t="n">
        <v>209</v>
      </c>
      <c r="T16" s="50" t="n"/>
    </row>
    <row r="17">
      <c r="B17" s="425" t="inlineStr">
        <is>
          <t>2010</t>
        </is>
      </c>
      <c r="C17" s="623" t="n">
        <v>0</v>
      </c>
      <c r="D17" s="427">
        <f>18/100</f>
        <v/>
      </c>
      <c r="E17" s="624" t="n"/>
      <c r="G17" t="n">
        <v>2020</v>
      </c>
      <c r="H17" s="50" t="n">
        <v>14220</v>
      </c>
      <c r="I17" t="n">
        <v>22014</v>
      </c>
      <c r="J17" s="50" t="n">
        <v>24615</v>
      </c>
      <c r="L17">
        <f>L16+1</f>
        <v/>
      </c>
      <c r="M17" t="n">
        <v>310</v>
      </c>
      <c r="N17" t="n">
        <v>310</v>
      </c>
      <c r="O17" t="n">
        <v>209</v>
      </c>
      <c r="T17" s="210" t="n"/>
    </row>
    <row r="18">
      <c r="B18" s="425">
        <f>B17</f>
        <v/>
      </c>
      <c r="C18" s="623" t="n">
        <v>132000</v>
      </c>
      <c r="D18" s="427" t="n">
        <v>0.25</v>
      </c>
      <c r="E18" s="624">
        <f>D17*C18</f>
        <v/>
      </c>
      <c r="G18" t="n">
        <v>2021</v>
      </c>
      <c r="H18" s="50" t="n">
        <v>14958</v>
      </c>
      <c r="I18" s="50" t="n">
        <v>23157</v>
      </c>
      <c r="J18" s="50" t="n">
        <v>25893</v>
      </c>
      <c r="L18">
        <f>L17+1</f>
        <v/>
      </c>
      <c r="M18" t="n">
        <v>319</v>
      </c>
      <c r="N18" t="n">
        <v>319</v>
      </c>
      <c r="O18" t="n">
        <v>215</v>
      </c>
    </row>
    <row r="19">
      <c r="B19" s="425">
        <f>B18</f>
        <v/>
      </c>
      <c r="C19" s="623" t="n">
        <v>210000</v>
      </c>
      <c r="D19" s="427" t="n">
        <v>0.3</v>
      </c>
      <c r="E19" s="624">
        <f>E18+D18*(C19-C18)</f>
        <v/>
      </c>
      <c r="G19" t="n">
        <v>2022</v>
      </c>
      <c r="H19" t="n">
        <v>15714</v>
      </c>
      <c r="I19" t="n">
        <v>24327</v>
      </c>
      <c r="J19" t="n">
        <v>27180</v>
      </c>
      <c r="L19">
        <f>L18+1</f>
        <v/>
      </c>
      <c r="M19" t="n">
        <v>332</v>
      </c>
      <c r="N19" t="n">
        <v>332</v>
      </c>
      <c r="O19" t="n">
        <v>224</v>
      </c>
      <c r="T19" s="50" t="n"/>
    </row>
    <row r="20">
      <c r="B20" s="425">
        <f>B19</f>
        <v/>
      </c>
      <c r="C20" s="623" t="n">
        <v>290000</v>
      </c>
      <c r="D20" s="427" t="n">
        <v>0.35</v>
      </c>
      <c r="E20" s="624">
        <f>E19+D19*(C20-C19)</f>
        <v/>
      </c>
      <c r="G20" t="n">
        <v>2023</v>
      </c>
      <c r="H20" t="n">
        <v>16425</v>
      </c>
      <c r="I20" t="n">
        <v>25425</v>
      </c>
      <c r="J20" t="n">
        <v>28422</v>
      </c>
      <c r="L20">
        <f>L19+1</f>
        <v/>
      </c>
      <c r="M20" t="n">
        <v>347</v>
      </c>
      <c r="N20" t="n">
        <v>347</v>
      </c>
      <c r="O20" t="n">
        <v>234</v>
      </c>
    </row>
    <row r="21">
      <c r="B21" s="425">
        <f>B20</f>
        <v/>
      </c>
      <c r="C21" s="623" t="n">
        <v>410000</v>
      </c>
      <c r="D21" s="427" t="n">
        <v>0.38</v>
      </c>
      <c r="E21" s="624">
        <f>E20+D20*(C21-C20)</f>
        <v/>
      </c>
      <c r="G21" t="n">
        <v>2024</v>
      </c>
      <c r="H21" t="n">
        <v>17235</v>
      </c>
      <c r="I21">
        <f>Rebate[[#This Row],[&lt;65]]+9444</f>
        <v/>
      </c>
      <c r="J21">
        <f>Rebate[[#This Row],[&lt;75]]+3145</f>
        <v/>
      </c>
      <c r="L21">
        <f>L20+1</f>
        <v/>
      </c>
      <c r="M21" t="n">
        <v>364</v>
      </c>
      <c r="N21" t="n">
        <v>364</v>
      </c>
      <c r="O21" t="n">
        <v>246</v>
      </c>
      <c r="T21" s="50" t="n"/>
    </row>
    <row r="22">
      <c r="B22" s="425">
        <f>B21</f>
        <v/>
      </c>
      <c r="C22" s="623" t="n">
        <v>525000</v>
      </c>
      <c r="D22" s="427" t="n">
        <v>0.4</v>
      </c>
      <c r="E22" s="624">
        <f>E21+D21*(C22-C21)</f>
        <v/>
      </c>
      <c r="G22" t="n">
        <v>2025</v>
      </c>
      <c r="H22" t="n">
        <v>17235</v>
      </c>
      <c r="I22">
        <f>Rebate[[#This Row],[&lt;65]]+9444</f>
        <v/>
      </c>
      <c r="J22">
        <f>Rebate[[#This Row],[&lt;75]]+3145</f>
        <v/>
      </c>
      <c r="L22">
        <f>L21+1</f>
        <v/>
      </c>
      <c r="M22" t="n">
        <v>364</v>
      </c>
      <c r="N22" t="n">
        <v>364</v>
      </c>
      <c r="O22" t="n">
        <v>246</v>
      </c>
      <c r="T22" s="50" t="n"/>
    </row>
    <row r="23">
      <c r="B23" s="429" t="inlineStr">
        <is>
          <t>2011</t>
        </is>
      </c>
      <c r="C23" s="625" t="n">
        <v>0</v>
      </c>
      <c r="D23" s="431">
        <f>18/100</f>
        <v/>
      </c>
      <c r="E23" s="626" t="n"/>
      <c r="G23" t="n">
        <v>2026</v>
      </c>
      <c r="H23" t="n">
        <v>17235</v>
      </c>
      <c r="I23">
        <f>Rebate[[#This Row],[&lt;65]]+9444</f>
        <v/>
      </c>
      <c r="J23">
        <f>Rebate[[#This Row],[&lt;75]]+3145</f>
        <v/>
      </c>
      <c r="L23">
        <f>L22+1</f>
        <v/>
      </c>
      <c r="M23" t="n">
        <v>364</v>
      </c>
      <c r="N23" t="n">
        <v>364</v>
      </c>
      <c r="O23" t="n">
        <v>246</v>
      </c>
      <c r="T23" s="50" t="n"/>
    </row>
    <row r="24">
      <c r="B24" s="429">
        <f>B23</f>
        <v/>
      </c>
      <c r="C24" s="625" t="n">
        <v>140000</v>
      </c>
      <c r="D24" s="431" t="n">
        <v>0.25</v>
      </c>
      <c r="E24" s="626">
        <f>D23*C24</f>
        <v/>
      </c>
      <c r="G24" t="n">
        <v>2027</v>
      </c>
      <c r="H24" t="n">
        <v>17820</v>
      </c>
      <c r="I24">
        <f>Rebate[[#This Row],[&lt;65]]+9765</f>
        <v/>
      </c>
      <c r="J24">
        <f>Rebate[[#This Row],[&lt;75]]+3249</f>
        <v/>
      </c>
      <c r="L24">
        <f>L23+1</f>
        <v/>
      </c>
      <c r="M24" t="n">
        <v>376</v>
      </c>
      <c r="N24" t="n">
        <v>376</v>
      </c>
      <c r="O24" t="n">
        <v>254</v>
      </c>
    </row>
    <row r="25">
      <c r="B25" s="429">
        <f>B24</f>
        <v/>
      </c>
      <c r="C25" s="625" t="n">
        <v>221000</v>
      </c>
      <c r="D25" s="431" t="n">
        <v>0.3</v>
      </c>
      <c r="E25" s="626">
        <f>E24+D24*(C25-C24)</f>
        <v/>
      </c>
      <c r="T25" s="50" t="n"/>
    </row>
    <row r="26">
      <c r="B26" s="429">
        <f>B25</f>
        <v/>
      </c>
      <c r="C26" s="625" t="n">
        <v>305000</v>
      </c>
      <c r="D26" s="431" t="n">
        <v>0.35</v>
      </c>
      <c r="E26" s="626">
        <f>E25+D25*(C26-C25)</f>
        <v/>
      </c>
      <c r="T26" s="50" t="n"/>
    </row>
    <row r="27">
      <c r="B27" s="429">
        <f>B26</f>
        <v/>
      </c>
      <c r="C27" s="625" t="n">
        <v>431000</v>
      </c>
      <c r="D27" s="431" t="n">
        <v>0.38</v>
      </c>
      <c r="E27" s="626">
        <f>E26+D26*(C27-C26)</f>
        <v/>
      </c>
      <c r="T27" s="50" t="n"/>
    </row>
    <row r="28">
      <c r="B28" s="429">
        <f>B27</f>
        <v/>
      </c>
      <c r="C28" s="625" t="n">
        <v>552000</v>
      </c>
      <c r="D28" s="431" t="n">
        <v>0.4</v>
      </c>
      <c r="E28" s="626">
        <f>E27+D27*(C28-C27)</f>
        <v/>
      </c>
      <c r="T28" s="50" t="n"/>
    </row>
    <row r="29">
      <c r="B29" s="433" t="inlineStr">
        <is>
          <t>2012</t>
        </is>
      </c>
      <c r="C29" s="627" t="n">
        <v>0</v>
      </c>
      <c r="D29" s="435">
        <f>18/100</f>
        <v/>
      </c>
      <c r="E29" s="628" t="n"/>
      <c r="T29" s="50" t="n"/>
    </row>
    <row r="30">
      <c r="B30" s="433">
        <f>B29</f>
        <v/>
      </c>
      <c r="C30" s="627" t="n">
        <v>150000</v>
      </c>
      <c r="D30" s="435" t="n">
        <v>0.25</v>
      </c>
      <c r="E30" s="628">
        <f>D29*C30</f>
        <v/>
      </c>
      <c r="I30" s="72" t="n"/>
      <c r="J30" s="49" t="n"/>
    </row>
    <row r="31">
      <c r="B31" s="433">
        <f>B30</f>
        <v/>
      </c>
      <c r="C31" s="627" t="n">
        <v>235000</v>
      </c>
      <c r="D31" s="435" t="n">
        <v>0.3</v>
      </c>
      <c r="E31" s="628">
        <f>E30+D30*(C31-C30)</f>
        <v/>
      </c>
      <c r="I31" s="72" t="n"/>
    </row>
    <row r="32">
      <c r="B32" s="433">
        <f>B31</f>
        <v/>
      </c>
      <c r="C32" s="627" t="n">
        <v>325000</v>
      </c>
      <c r="D32" s="435" t="n">
        <v>0.35</v>
      </c>
      <c r="E32" s="628">
        <f>E31+D31*(C32-C31)</f>
        <v/>
      </c>
      <c r="I32" s="72" t="n"/>
    </row>
    <row r="33">
      <c r="B33" s="433">
        <f>B32</f>
        <v/>
      </c>
      <c r="C33" s="627" t="n">
        <v>455000</v>
      </c>
      <c r="D33" s="435" t="n">
        <v>0.38</v>
      </c>
      <c r="E33" s="628">
        <f>E32+D32*(C33-C32)</f>
        <v/>
      </c>
    </row>
    <row r="34">
      <c r="B34" s="433">
        <f>B33</f>
        <v/>
      </c>
      <c r="C34" s="627" t="n">
        <v>580000</v>
      </c>
      <c r="D34" s="435" t="n">
        <v>0.4</v>
      </c>
      <c r="E34" s="628">
        <f>E33+D33*(C34-C33)</f>
        <v/>
      </c>
    </row>
    <row r="35">
      <c r="B35" s="437" t="n">
        <v>2013</v>
      </c>
      <c r="C35" s="629" t="n">
        <v>0</v>
      </c>
      <c r="D35" s="439">
        <f>18/100</f>
        <v/>
      </c>
      <c r="E35" s="630" t="n"/>
    </row>
    <row r="36">
      <c r="B36" s="437">
        <f>B35</f>
        <v/>
      </c>
      <c r="C36" s="629" t="n">
        <v>160000</v>
      </c>
      <c r="D36" s="439" t="n">
        <v>0.25</v>
      </c>
      <c r="E36" s="630">
        <f>D35*C36</f>
        <v/>
      </c>
      <c r="T36" s="50" t="n"/>
    </row>
    <row r="37">
      <c r="B37" s="437">
        <f>B36</f>
        <v/>
      </c>
      <c r="C37" s="629" t="n">
        <v>250000</v>
      </c>
      <c r="D37" s="439" t="n">
        <v>0.3</v>
      </c>
      <c r="E37" s="630">
        <f>E36+D36*(C37-C36)</f>
        <v/>
      </c>
      <c r="T37" s="620" t="n"/>
    </row>
    <row r="38">
      <c r="B38" s="437">
        <f>B37</f>
        <v/>
      </c>
      <c r="C38" s="629" t="n">
        <v>346000</v>
      </c>
      <c r="D38" s="439" t="n">
        <v>0.35</v>
      </c>
      <c r="E38" s="630">
        <f>E37+D37*(C38-C37)</f>
        <v/>
      </c>
      <c r="T38" s="620" t="n"/>
    </row>
    <row r="39">
      <c r="B39" s="437">
        <f>B38</f>
        <v/>
      </c>
      <c r="C39" s="629" t="n">
        <v>484000</v>
      </c>
      <c r="D39" s="439" t="n">
        <v>0.38</v>
      </c>
      <c r="E39" s="630">
        <f>E38+D38*(C39-C38)</f>
        <v/>
      </c>
      <c r="T39" s="620" t="n"/>
    </row>
    <row r="40">
      <c r="B40" s="437">
        <f>B39</f>
        <v/>
      </c>
      <c r="C40" s="629" t="n">
        <v>617000</v>
      </c>
      <c r="D40" s="439" t="n">
        <v>0.4</v>
      </c>
      <c r="E40" s="630">
        <f>E39+D39*(C40-C39)</f>
        <v/>
      </c>
      <c r="T40" s="620" t="n"/>
    </row>
    <row r="41">
      <c r="B41" s="441" t="n">
        <v>2014</v>
      </c>
      <c r="C41" s="631" t="n">
        <v>0</v>
      </c>
      <c r="D41" s="443">
        <f>18/100</f>
        <v/>
      </c>
      <c r="E41" s="632" t="n"/>
      <c r="T41" s="620" t="n"/>
    </row>
    <row r="42">
      <c r="B42" s="441">
        <f>B41</f>
        <v/>
      </c>
      <c r="C42" s="631" t="n">
        <v>165600</v>
      </c>
      <c r="D42" s="443" t="n">
        <v>0.25</v>
      </c>
      <c r="E42" s="632">
        <f>D41*C42</f>
        <v/>
      </c>
      <c r="F42" s="72" t="n"/>
      <c r="T42" s="50" t="n"/>
    </row>
    <row r="43">
      <c r="B43" s="441">
        <f>B42</f>
        <v/>
      </c>
      <c r="C43" s="631" t="n">
        <v>258750</v>
      </c>
      <c r="D43" s="443" t="n">
        <v>0.3</v>
      </c>
      <c r="E43" s="632">
        <f>E42+D42*(C43-C42)</f>
        <v/>
      </c>
      <c r="F43" s="72" t="n"/>
      <c r="T43" s="50" t="n"/>
    </row>
    <row r="44">
      <c r="B44" s="441">
        <f>B43</f>
        <v/>
      </c>
      <c r="C44" s="631" t="n">
        <v>358110</v>
      </c>
      <c r="D44" s="443" t="n">
        <v>0.35</v>
      </c>
      <c r="E44" s="632">
        <f>E43+D43*(C44-C43)</f>
        <v/>
      </c>
      <c r="F44" s="72" t="n"/>
      <c r="T44" s="50" t="n"/>
    </row>
    <row r="45">
      <c r="B45" s="441">
        <f>B44</f>
        <v/>
      </c>
      <c r="C45" s="631" t="n">
        <v>500940</v>
      </c>
      <c r="D45" s="443" t="n">
        <v>0.38</v>
      </c>
      <c r="E45" s="632">
        <f>E44+D44*(C45-C44)</f>
        <v/>
      </c>
      <c r="F45" s="72" t="n"/>
      <c r="T45" s="50" t="n"/>
    </row>
    <row r="46">
      <c r="B46" s="441">
        <f>B45</f>
        <v/>
      </c>
      <c r="C46" s="631" t="n">
        <v>638600</v>
      </c>
      <c r="D46" s="443" t="n">
        <v>0.4</v>
      </c>
      <c r="E46" s="632">
        <f>E45+D45*(C46-C45)</f>
        <v/>
      </c>
      <c r="F46" s="72" t="n"/>
      <c r="T46" s="50" t="n"/>
    </row>
    <row r="47">
      <c r="B47" s="445" t="n">
        <v>2015</v>
      </c>
      <c r="C47" s="633" t="n">
        <v>0</v>
      </c>
      <c r="D47" s="447" t="n">
        <v>0.18</v>
      </c>
      <c r="E47" s="634" t="n"/>
    </row>
    <row r="48">
      <c r="B48" s="445" t="n">
        <v>2015</v>
      </c>
      <c r="C48" s="635" t="n">
        <v>174550</v>
      </c>
      <c r="D48" s="447" t="n">
        <v>0.25</v>
      </c>
      <c r="E48" s="634">
        <f>D47*C48</f>
        <v/>
      </c>
      <c r="F48" s="50" t="n"/>
    </row>
    <row r="49">
      <c r="B49" s="445" t="n">
        <v>2015</v>
      </c>
      <c r="C49" s="635" t="n">
        <v>272700</v>
      </c>
      <c r="D49" s="447" t="n">
        <v>0.3</v>
      </c>
      <c r="E49" s="634">
        <f>E48+D48*(C49-C48)</f>
        <v/>
      </c>
      <c r="F49" s="72" t="n"/>
    </row>
    <row r="50">
      <c r="B50" s="445" t="n">
        <v>2015</v>
      </c>
      <c r="C50" s="635" t="n">
        <v>377450</v>
      </c>
      <c r="D50" s="447" t="n">
        <v>0.35</v>
      </c>
      <c r="E50" s="634">
        <f>E49+D49*(C50-C49)</f>
        <v/>
      </c>
      <c r="F50" s="72" t="n"/>
    </row>
    <row r="51">
      <c r="B51" s="445" t="n">
        <v>2015</v>
      </c>
      <c r="C51" s="635" t="n">
        <v>528000</v>
      </c>
      <c r="D51" s="447" t="n">
        <v>0.38</v>
      </c>
      <c r="E51" s="634">
        <f>E50+D50*(C51-C50)</f>
        <v/>
      </c>
      <c r="F51" s="72" t="n"/>
    </row>
    <row r="52">
      <c r="B52" s="445" t="n">
        <v>2015</v>
      </c>
      <c r="C52" s="635" t="n">
        <v>673100</v>
      </c>
      <c r="D52" s="447" t="n">
        <v>0.4</v>
      </c>
      <c r="E52" s="634">
        <f>E51+D51*(C52-C51)</f>
        <v/>
      </c>
      <c r="F52" s="72" t="n"/>
    </row>
    <row r="53">
      <c r="B53" s="450" t="n">
        <v>2016</v>
      </c>
      <c r="C53" s="636" t="n">
        <v>0</v>
      </c>
      <c r="D53" s="452" t="n">
        <v>0.18</v>
      </c>
      <c r="E53" s="637" t="n"/>
    </row>
    <row r="54">
      <c r="B54" s="450" t="n">
        <v>2016</v>
      </c>
      <c r="C54" s="638" t="n">
        <v>181900</v>
      </c>
      <c r="D54" s="452" t="n">
        <v>0.26</v>
      </c>
      <c r="E54" s="637">
        <f>D53*C54</f>
        <v/>
      </c>
      <c r="F54" s="50" t="n"/>
    </row>
    <row r="55">
      <c r="B55" s="450" t="n">
        <v>2016</v>
      </c>
      <c r="C55" s="638" t="n">
        <v>284100</v>
      </c>
      <c r="D55" s="452" t="n">
        <v>0.31</v>
      </c>
      <c r="E55" s="637">
        <f>E54+D54*(C55-C54)</f>
        <v/>
      </c>
      <c r="F55" s="72" t="n"/>
    </row>
    <row r="56">
      <c r="B56" s="450" t="n">
        <v>2016</v>
      </c>
      <c r="C56" s="638" t="n">
        <v>393200</v>
      </c>
      <c r="D56" s="452" t="n">
        <v>0.36</v>
      </c>
      <c r="E56" s="637">
        <f>E55+D55*(C56-C55)</f>
        <v/>
      </c>
      <c r="F56" s="72" t="n"/>
    </row>
    <row r="57">
      <c r="B57" s="450" t="n">
        <v>2016</v>
      </c>
      <c r="C57" s="638" t="n">
        <v>550100</v>
      </c>
      <c r="D57" s="452" t="n">
        <v>0.39</v>
      </c>
      <c r="E57" s="637">
        <f>E56+D56*(C57-C56)</f>
        <v/>
      </c>
      <c r="F57" s="72" t="n"/>
    </row>
    <row r="58">
      <c r="B58" s="450" t="n">
        <v>2016</v>
      </c>
      <c r="C58" s="638" t="n">
        <v>701300</v>
      </c>
      <c r="D58" s="452" t="n">
        <v>0.41</v>
      </c>
      <c r="E58" s="637">
        <f>E57+D57*(C58-C57)</f>
        <v/>
      </c>
      <c r="F58" s="72" t="n"/>
    </row>
    <row r="59">
      <c r="B59" s="455" t="n">
        <v>2017</v>
      </c>
      <c r="C59" s="639" t="n">
        <v>0</v>
      </c>
      <c r="D59" s="457" t="n">
        <v>0.18</v>
      </c>
      <c r="E59" s="640" t="n"/>
    </row>
    <row r="60">
      <c r="B60" s="455" t="n">
        <v>2017</v>
      </c>
      <c r="C60" s="641" t="n">
        <v>188000</v>
      </c>
      <c r="D60" s="457" t="n">
        <v>0.26</v>
      </c>
      <c r="E60" s="640">
        <f>D59*C60</f>
        <v/>
      </c>
      <c r="F60" s="50" t="n"/>
    </row>
    <row r="61">
      <c r="B61" s="455" t="n">
        <v>2017</v>
      </c>
      <c r="C61" s="641" t="n">
        <v>293600</v>
      </c>
      <c r="D61" s="457" t="n">
        <v>0.31</v>
      </c>
      <c r="E61" s="640">
        <f>E60+D60*(C61-C60)</f>
        <v/>
      </c>
      <c r="F61" s="72" t="n"/>
    </row>
    <row r="62">
      <c r="B62" s="455" t="n">
        <v>2017</v>
      </c>
      <c r="C62" s="641" t="n">
        <v>406400</v>
      </c>
      <c r="D62" s="457" t="n">
        <v>0.36</v>
      </c>
      <c r="E62" s="640">
        <f>E61+D61*(C62-C61)</f>
        <v/>
      </c>
      <c r="F62" s="72" t="n"/>
    </row>
    <row r="63">
      <c r="B63" s="455" t="n">
        <v>2017</v>
      </c>
      <c r="C63" s="641" t="n">
        <v>550100</v>
      </c>
      <c r="D63" s="457" t="n">
        <v>0.39</v>
      </c>
      <c r="E63" s="640">
        <f>E62+D62*(C63-C62)</f>
        <v/>
      </c>
      <c r="F63" s="72" t="n"/>
    </row>
    <row r="64">
      <c r="B64" s="455" t="n">
        <v>2017</v>
      </c>
      <c r="C64" s="641" t="n">
        <v>701300</v>
      </c>
      <c r="D64" s="457" t="n">
        <v>0.41</v>
      </c>
      <c r="E64" s="640">
        <f>E63+D63*(C64-C63)</f>
        <v/>
      </c>
      <c r="F64" s="72" t="n"/>
    </row>
    <row r="65">
      <c r="B65" s="460" t="n">
        <v>2018</v>
      </c>
      <c r="C65" s="642" t="n">
        <v>0</v>
      </c>
      <c r="D65" s="462" t="n">
        <v>0.18</v>
      </c>
      <c r="E65" s="643" t="n"/>
      <c r="F65" s="50" t="n"/>
    </row>
    <row r="66">
      <c r="B66" s="460" t="n">
        <v>2018</v>
      </c>
      <c r="C66" s="644" t="n">
        <v>189880</v>
      </c>
      <c r="D66" s="462" t="n">
        <v>0.26</v>
      </c>
      <c r="E66" s="643">
        <f>D65*C66</f>
        <v/>
      </c>
      <c r="F66" s="72" t="n"/>
    </row>
    <row r="67">
      <c r="B67" s="460" t="n">
        <v>2018</v>
      </c>
      <c r="C67" s="644" t="n">
        <v>296540</v>
      </c>
      <c r="D67" s="462" t="n">
        <v>0.31</v>
      </c>
      <c r="E67" s="643">
        <f>E66+D66*(C67-C66)</f>
        <v/>
      </c>
      <c r="F67" s="72" t="n"/>
    </row>
    <row r="68">
      <c r="B68" s="460" t="n">
        <v>2018</v>
      </c>
      <c r="C68" s="644" t="n">
        <v>410460</v>
      </c>
      <c r="D68" s="462" t="n">
        <v>0.36</v>
      </c>
      <c r="E68" s="643">
        <f>E67+D67*(C68-C67)</f>
        <v/>
      </c>
      <c r="F68" s="72" t="n"/>
    </row>
    <row r="69">
      <c r="B69" s="460" t="n">
        <v>2018</v>
      </c>
      <c r="C69" s="644" t="n">
        <v>555600</v>
      </c>
      <c r="D69" s="462" t="n">
        <v>0.39</v>
      </c>
      <c r="E69" s="643">
        <f>E68+D68*(C69-C68)</f>
        <v/>
      </c>
      <c r="F69" s="72" t="n"/>
    </row>
    <row r="70">
      <c r="B70" s="460" t="n">
        <v>2018</v>
      </c>
      <c r="C70" s="644" t="n">
        <v>708310</v>
      </c>
      <c r="D70" s="462" t="n">
        <v>0.41</v>
      </c>
      <c r="E70" s="643">
        <f>E69+D69*(C70-C69)</f>
        <v/>
      </c>
      <c r="F70" s="72" t="n"/>
    </row>
    <row r="71">
      <c r="B71" s="460" t="n">
        <v>2018</v>
      </c>
      <c r="C71" s="644" t="n">
        <v>1500000</v>
      </c>
      <c r="D71" s="462" t="n">
        <v>0.45</v>
      </c>
      <c r="E71" s="643">
        <f>E70+D70*(C71-C70)</f>
        <v/>
      </c>
      <c r="F71" s="72" t="n"/>
    </row>
    <row r="72">
      <c r="B72" s="465" t="n">
        <v>2019</v>
      </c>
      <c r="C72" s="645" t="n">
        <v>0</v>
      </c>
      <c r="D72" s="467" t="n">
        <v>0.18</v>
      </c>
      <c r="E72" s="646" t="n"/>
    </row>
    <row r="73">
      <c r="B73" s="465" t="n">
        <v>2019</v>
      </c>
      <c r="C73" s="647" t="n">
        <v>195850</v>
      </c>
      <c r="D73" s="467" t="n">
        <v>0.26</v>
      </c>
      <c r="E73" s="646">
        <f>D72*C73</f>
        <v/>
      </c>
      <c r="F73" s="50" t="n"/>
    </row>
    <row r="74">
      <c r="B74" s="465" t="n">
        <v>2019</v>
      </c>
      <c r="C74" s="647" t="n">
        <v>305850</v>
      </c>
      <c r="D74" s="467" t="n">
        <v>0.31</v>
      </c>
      <c r="E74" s="646">
        <f>E73+D73*(C74-C73)</f>
        <v/>
      </c>
      <c r="F74" s="72" t="n"/>
    </row>
    <row r="75">
      <c r="B75" s="465" t="n">
        <v>2019</v>
      </c>
      <c r="C75" s="647" t="n">
        <v>423300</v>
      </c>
      <c r="D75" s="467" t="n">
        <v>0.36</v>
      </c>
      <c r="E75" s="646">
        <f>E74+D74*(C75-C74)</f>
        <v/>
      </c>
      <c r="F75" s="72" t="n"/>
    </row>
    <row r="76">
      <c r="B76" s="465" t="n">
        <v>2019</v>
      </c>
      <c r="C76" s="647" t="n">
        <v>555600</v>
      </c>
      <c r="D76" s="467" t="n">
        <v>0.39</v>
      </c>
      <c r="E76" s="646">
        <f>E75+D75*(C76-C75)</f>
        <v/>
      </c>
      <c r="F76" s="72" t="n"/>
    </row>
    <row r="77">
      <c r="B77" s="465" t="n">
        <v>2019</v>
      </c>
      <c r="C77" s="647" t="n">
        <v>708310</v>
      </c>
      <c r="D77" s="467" t="n">
        <v>0.41</v>
      </c>
      <c r="E77" s="646">
        <f>E76+D76*(C77-C76)</f>
        <v/>
      </c>
      <c r="F77" s="72" t="n"/>
    </row>
    <row r="78">
      <c r="B78" s="465" t="n">
        <v>2019</v>
      </c>
      <c r="C78" s="647" t="n">
        <v>1500000</v>
      </c>
      <c r="D78" s="467" t="n">
        <v>0.45</v>
      </c>
      <c r="E78" s="646">
        <f>E77+D77*(C78-C77)</f>
        <v/>
      </c>
      <c r="F78" s="72" t="n"/>
    </row>
    <row r="79">
      <c r="B79" s="470" t="n">
        <v>2020</v>
      </c>
      <c r="C79" s="633" t="n">
        <v>0</v>
      </c>
      <c r="D79" s="447" t="n">
        <v>0.18</v>
      </c>
      <c r="E79" s="634" t="n"/>
    </row>
    <row r="80">
      <c r="B80" s="470" t="n">
        <v>2020</v>
      </c>
      <c r="C80" s="635" t="n">
        <v>195850</v>
      </c>
      <c r="D80" s="447" t="n">
        <v>0.26</v>
      </c>
      <c r="E80" s="634">
        <f>D79*C80</f>
        <v/>
      </c>
    </row>
    <row r="81">
      <c r="B81" s="470" t="n">
        <v>2020</v>
      </c>
      <c r="C81" s="635" t="n">
        <v>305850</v>
      </c>
      <c r="D81" s="447" t="n">
        <v>0.31</v>
      </c>
      <c r="E81" s="634">
        <f>E80+D80*(C81-C80)</f>
        <v/>
      </c>
      <c r="F81" s="50" t="n"/>
    </row>
    <row r="82">
      <c r="B82" s="470" t="n">
        <v>2020</v>
      </c>
      <c r="C82" s="635" t="n">
        <v>423300</v>
      </c>
      <c r="D82" s="447" t="n">
        <v>0.36</v>
      </c>
      <c r="E82" s="634">
        <f>E81+D81*(C82-C81)</f>
        <v/>
      </c>
      <c r="F82" s="72" t="n"/>
    </row>
    <row r="83">
      <c r="B83" s="470" t="n">
        <v>2020</v>
      </c>
      <c r="C83" s="635" t="n">
        <v>555600</v>
      </c>
      <c r="D83" s="447" t="n">
        <v>0.39</v>
      </c>
      <c r="E83" s="634">
        <f>E82+D82*(C83-C82)</f>
        <v/>
      </c>
      <c r="F83" s="72" t="n"/>
    </row>
    <row r="84">
      <c r="B84" s="470" t="n">
        <v>2020</v>
      </c>
      <c r="C84" s="635" t="n">
        <v>708310</v>
      </c>
      <c r="D84" s="447" t="n">
        <v>0.41</v>
      </c>
      <c r="E84" s="634">
        <f>E83+D83*(C84-C83)</f>
        <v/>
      </c>
      <c r="F84" s="72" t="n"/>
    </row>
    <row r="85">
      <c r="B85" s="470" t="n">
        <v>2020</v>
      </c>
      <c r="C85" s="635" t="n">
        <v>1500000</v>
      </c>
      <c r="D85" s="447" t="n">
        <v>0.45</v>
      </c>
      <c r="E85" s="634">
        <f>E84+D84*(C85-C84)</f>
        <v/>
      </c>
      <c r="F85" s="72" t="n"/>
    </row>
    <row r="86">
      <c r="B86" s="441" t="n">
        <v>2021</v>
      </c>
      <c r="C86" s="631" t="n">
        <v>0</v>
      </c>
      <c r="D86" s="443" t="n">
        <v>0.18</v>
      </c>
      <c r="E86" s="632" t="n"/>
      <c r="F86" s="72" t="n"/>
    </row>
    <row r="87">
      <c r="B87" s="441" t="n">
        <v>2021</v>
      </c>
      <c r="C87" s="648" t="n">
        <v>205900</v>
      </c>
      <c r="D87" s="443" t="n">
        <v>0.26</v>
      </c>
      <c r="E87" s="632">
        <f>D86*C87</f>
        <v/>
      </c>
      <c r="F87" s="72" t="n"/>
    </row>
    <row r="88">
      <c r="B88" s="441" t="n">
        <v>2021</v>
      </c>
      <c r="C88" s="648" t="n">
        <v>321600</v>
      </c>
      <c r="D88" s="443" t="n">
        <v>0.31</v>
      </c>
      <c r="E88" s="632">
        <f>E87+D87*(C88-C87)</f>
        <v/>
      </c>
    </row>
    <row r="89">
      <c r="B89" s="441" t="n">
        <v>2021</v>
      </c>
      <c r="C89" s="648" t="n">
        <v>445100</v>
      </c>
      <c r="D89" s="443" t="n">
        <v>0.36</v>
      </c>
      <c r="E89" s="632">
        <f>E88+D88*(C89-C88)</f>
        <v/>
      </c>
    </row>
    <row r="90">
      <c r="B90" s="441" t="n">
        <v>2021</v>
      </c>
      <c r="C90" s="648" t="n">
        <v>584200</v>
      </c>
      <c r="D90" s="443" t="n">
        <v>0.39</v>
      </c>
      <c r="E90" s="632">
        <f>E89+D89*(C90-C89)</f>
        <v/>
      </c>
      <c r="F90" s="50" t="n"/>
    </row>
    <row r="91">
      <c r="B91" s="441" t="n">
        <v>2021</v>
      </c>
      <c r="C91" s="648" t="n">
        <v>744800</v>
      </c>
      <c r="D91" s="443" t="n">
        <v>0.41</v>
      </c>
      <c r="E91" s="632">
        <f>E90+D90*(C91-C90)</f>
        <v/>
      </c>
      <c r="F91" s="72" t="n"/>
    </row>
    <row r="92">
      <c r="B92" s="441" t="n">
        <v>2021</v>
      </c>
      <c r="C92" s="648" t="n">
        <v>1577300</v>
      </c>
      <c r="D92" s="443" t="n">
        <v>0.45</v>
      </c>
      <c r="E92" s="632">
        <f>E91+D91*(C92-C91)</f>
        <v/>
      </c>
      <c r="F92" s="72" t="n"/>
    </row>
    <row r="93">
      <c r="B93" s="472" t="n">
        <v>2022</v>
      </c>
      <c r="C93" s="649" t="n">
        <v>0</v>
      </c>
      <c r="D93" s="474" t="n">
        <v>0.18</v>
      </c>
      <c r="E93" s="650" t="n"/>
      <c r="F93" s="72" t="n"/>
    </row>
    <row r="94">
      <c r="B94" s="472" t="n">
        <v>2022</v>
      </c>
      <c r="C94" s="651" t="n">
        <v>216201</v>
      </c>
      <c r="D94" s="474" t="n">
        <v>0.26</v>
      </c>
      <c r="E94" s="650">
        <f>D93*C94</f>
        <v/>
      </c>
      <c r="F94" s="72" t="n"/>
    </row>
    <row r="95">
      <c r="B95" s="472" t="n">
        <v>2022</v>
      </c>
      <c r="C95" s="651" t="n">
        <v>337800</v>
      </c>
      <c r="D95" s="474" t="n">
        <v>0.31</v>
      </c>
      <c r="E95" s="650">
        <f>E94+D94*(C95-C94)</f>
        <v/>
      </c>
      <c r="F95" s="72" t="n"/>
    </row>
    <row r="96">
      <c r="B96" s="472" t="n">
        <v>2022</v>
      </c>
      <c r="C96" s="651" t="n">
        <v>467500</v>
      </c>
      <c r="D96" s="474" t="n">
        <v>0.36</v>
      </c>
      <c r="E96" s="650">
        <f>E95+D95*(C96-C95)</f>
        <v/>
      </c>
      <c r="F96" s="72" t="n"/>
    </row>
    <row r="97">
      <c r="B97" s="472" t="n">
        <v>2022</v>
      </c>
      <c r="C97" s="651" t="n">
        <v>613600</v>
      </c>
      <c r="D97" s="474" t="n">
        <v>0.39</v>
      </c>
      <c r="E97" s="650">
        <f>E96+D96*(C97-C96)</f>
        <v/>
      </c>
    </row>
    <row r="98">
      <c r="B98" s="472" t="n">
        <v>2022</v>
      </c>
      <c r="C98" s="651" t="n">
        <v>782200</v>
      </c>
      <c r="D98" s="474" t="n">
        <v>0.41</v>
      </c>
      <c r="E98" s="650">
        <f>E97+D97*(C98-C97)</f>
        <v/>
      </c>
    </row>
    <row r="99">
      <c r="B99" s="472" t="n">
        <v>2022</v>
      </c>
      <c r="C99" s="651" t="n">
        <v>1656600</v>
      </c>
      <c r="D99" s="474" t="n">
        <v>0.45</v>
      </c>
      <c r="E99" s="650">
        <f>E98+D98*(C99-C98)</f>
        <v/>
      </c>
      <c r="F99" s="50" t="n"/>
      <c r="I99" s="49" t="n"/>
    </row>
    <row r="100">
      <c r="B100" s="477" t="n">
        <v>2023</v>
      </c>
      <c r="C100" s="652" t="n">
        <v>0</v>
      </c>
      <c r="D100" s="423" t="n">
        <v>0.18</v>
      </c>
      <c r="E100" s="622" t="n"/>
      <c r="F100" s="72" t="n"/>
    </row>
    <row r="101">
      <c r="B101" s="477" t="n">
        <v>2023</v>
      </c>
      <c r="C101" s="652" t="n">
        <v>226001</v>
      </c>
      <c r="D101" s="423" t="n">
        <v>0.26</v>
      </c>
      <c r="E101" s="622">
        <f>D100*C101</f>
        <v/>
      </c>
      <c r="F101" s="72" t="n"/>
    </row>
    <row r="102">
      <c r="B102" s="477" t="n">
        <v>2023</v>
      </c>
      <c r="C102" s="652" t="n">
        <v>353101</v>
      </c>
      <c r="D102" s="423" t="n">
        <v>0.31</v>
      </c>
      <c r="E102" s="622">
        <f>E101+D101*(C102-C101)</f>
        <v/>
      </c>
      <c r="F102" s="72" t="n"/>
    </row>
    <row r="103">
      <c r="B103" s="477" t="n">
        <v>2023</v>
      </c>
      <c r="C103" s="652" t="n">
        <v>488700</v>
      </c>
      <c r="D103" s="423" t="n">
        <v>0.36</v>
      </c>
      <c r="E103" s="622">
        <f>E102+D102*(C103-C102)</f>
        <v/>
      </c>
      <c r="F103" s="72" t="n"/>
    </row>
    <row r="104">
      <c r="B104" s="477" t="n">
        <v>2023</v>
      </c>
      <c r="C104" s="652" t="n">
        <v>641401</v>
      </c>
      <c r="D104" s="423" t="n">
        <v>0.39</v>
      </c>
      <c r="E104" s="622">
        <f>E103+D103*(C104-C103)</f>
        <v/>
      </c>
      <c r="F104" s="72" t="n"/>
    </row>
    <row r="105">
      <c r="B105" s="477" t="n">
        <v>2023</v>
      </c>
      <c r="C105" s="652" t="n">
        <v>817601</v>
      </c>
      <c r="D105" s="423" t="n">
        <v>0.41</v>
      </c>
      <c r="E105" s="622">
        <f>E104+D104*(C105-C104)</f>
        <v/>
      </c>
      <c r="F105" s="72" t="n"/>
    </row>
    <row r="106">
      <c r="B106" s="477" t="n">
        <v>2023</v>
      </c>
      <c r="C106" s="652" t="n">
        <v>1731601</v>
      </c>
      <c r="D106" s="423" t="n">
        <v>0.45</v>
      </c>
      <c r="E106" s="622">
        <f>E105+D105*(C106-C105)</f>
        <v/>
      </c>
    </row>
    <row r="107">
      <c r="B107" s="479" t="n">
        <v>2024</v>
      </c>
      <c r="C107" s="653" t="n">
        <v>0</v>
      </c>
      <c r="D107" s="481" t="n">
        <v>0.18</v>
      </c>
      <c r="E107" s="654" t="n">
        <v>0</v>
      </c>
    </row>
    <row r="108">
      <c r="B108" s="479" t="n">
        <v>2024</v>
      </c>
      <c r="C108" s="653" t="n">
        <v>237101</v>
      </c>
      <c r="D108" s="481" t="n">
        <v>0.26</v>
      </c>
      <c r="E108" s="654">
        <f>D107*C108</f>
        <v/>
      </c>
    </row>
    <row r="109">
      <c r="B109" s="479" t="n">
        <v>2024</v>
      </c>
      <c r="C109" s="653" t="n">
        <v>370501</v>
      </c>
      <c r="D109" s="481" t="n">
        <v>0.31</v>
      </c>
      <c r="E109" s="654">
        <f>E108+D108*(C109-C108)</f>
        <v/>
      </c>
    </row>
    <row r="110">
      <c r="B110" s="479" t="n">
        <v>2024</v>
      </c>
      <c r="C110" s="653" t="n">
        <v>512801</v>
      </c>
      <c r="D110" s="481" t="n">
        <v>0.36</v>
      </c>
      <c r="E110" s="654">
        <f>E109+D109*(C110-C109)</f>
        <v/>
      </c>
    </row>
    <row r="111">
      <c r="B111" s="479" t="n">
        <v>2024</v>
      </c>
      <c r="C111" s="653" t="n">
        <v>673001</v>
      </c>
      <c r="D111" s="481" t="n">
        <v>0.39</v>
      </c>
      <c r="E111" s="654">
        <f>E110+D110*(C111-C110)</f>
        <v/>
      </c>
    </row>
    <row r="112">
      <c r="B112" s="479" t="n">
        <v>2024</v>
      </c>
      <c r="C112" s="653" t="n">
        <v>857901</v>
      </c>
      <c r="D112" s="481" t="n">
        <v>0.41</v>
      </c>
      <c r="E112" s="654">
        <f>E111+D111*(C112-C111)</f>
        <v/>
      </c>
    </row>
    <row r="113">
      <c r="B113" s="479" t="n">
        <v>2024</v>
      </c>
      <c r="C113" s="653" t="n">
        <v>1817001</v>
      </c>
      <c r="D113" s="481" t="n">
        <v>0.45</v>
      </c>
      <c r="E113" s="654">
        <f>E112+D112*(C113-C112)</f>
        <v/>
      </c>
    </row>
    <row r="114">
      <c r="B114" s="472" t="n">
        <v>2025</v>
      </c>
      <c r="C114" s="651" t="n">
        <v>0</v>
      </c>
      <c r="D114" s="474" t="n">
        <v>0.18</v>
      </c>
      <c r="E114" s="650" t="n">
        <v>0</v>
      </c>
    </row>
    <row r="115">
      <c r="B115" s="472" t="n">
        <v>2025</v>
      </c>
      <c r="C115" s="651" t="n">
        <v>237101</v>
      </c>
      <c r="D115" s="474" t="n">
        <v>0.26</v>
      </c>
      <c r="E115" s="650">
        <f>D114*C115</f>
        <v/>
      </c>
    </row>
    <row r="116">
      <c r="B116" s="472" t="n">
        <v>2025</v>
      </c>
      <c r="C116" s="651" t="n">
        <v>370501</v>
      </c>
      <c r="D116" s="474" t="n">
        <v>0.31</v>
      </c>
      <c r="E116" s="650">
        <f>E115+D115*(C116-C115)</f>
        <v/>
      </c>
    </row>
    <row r="117">
      <c r="B117" s="472" t="n">
        <v>2025</v>
      </c>
      <c r="C117" s="651" t="n">
        <v>512801</v>
      </c>
      <c r="D117" s="474" t="n">
        <v>0.36</v>
      </c>
      <c r="E117" s="650">
        <f>E116+D116*(C117-C116)</f>
        <v/>
      </c>
    </row>
    <row r="118">
      <c r="B118" s="472" t="n">
        <v>2025</v>
      </c>
      <c r="C118" s="651" t="n">
        <v>673001</v>
      </c>
      <c r="D118" s="474" t="n">
        <v>0.39</v>
      </c>
      <c r="E118" s="650">
        <f>E117+D117*(C118-C117)</f>
        <v/>
      </c>
    </row>
    <row r="119">
      <c r="B119" s="472" t="n">
        <v>2025</v>
      </c>
      <c r="C119" s="651" t="n">
        <v>857901</v>
      </c>
      <c r="D119" s="474" t="n">
        <v>0.41</v>
      </c>
      <c r="E119" s="650">
        <f>E118+D118*(C119-C118)</f>
        <v/>
      </c>
    </row>
    <row r="120">
      <c r="B120" s="472" t="n">
        <v>2025</v>
      </c>
      <c r="C120" s="651" t="n">
        <v>1817001</v>
      </c>
      <c r="D120" s="474" t="n">
        <v>0.45</v>
      </c>
      <c r="E120" s="650">
        <f>E119+D119*(C120-C119)</f>
        <v/>
      </c>
    </row>
    <row r="121">
      <c r="B121" s="441" t="n">
        <v>2026</v>
      </c>
      <c r="C121" s="648" t="n">
        <v>0</v>
      </c>
      <c r="D121" s="443" t="n">
        <v>0.18</v>
      </c>
      <c r="E121" s="632" t="n">
        <v>0</v>
      </c>
    </row>
    <row r="122">
      <c r="B122" s="441" t="n">
        <v>2026</v>
      </c>
      <c r="C122" s="648" t="n">
        <v>237101</v>
      </c>
      <c r="D122" s="443" t="n">
        <v>0.26</v>
      </c>
      <c r="E122" s="632">
        <f>D121*C122</f>
        <v/>
      </c>
    </row>
    <row r="123">
      <c r="B123" s="441" t="n">
        <v>2026</v>
      </c>
      <c r="C123" s="648" t="n">
        <v>370501</v>
      </c>
      <c r="D123" s="443" t="n">
        <v>0.31</v>
      </c>
      <c r="E123" s="632">
        <f>E122+D122*(C123-C122)</f>
        <v/>
      </c>
    </row>
    <row r="124">
      <c r="B124" s="441" t="n">
        <v>2026</v>
      </c>
      <c r="C124" s="648" t="n">
        <v>512801</v>
      </c>
      <c r="D124" s="443" t="n">
        <v>0.36</v>
      </c>
      <c r="E124" s="632">
        <f>E123+D123*(C124-C123)</f>
        <v/>
      </c>
    </row>
    <row r="125">
      <c r="B125" s="441" t="n">
        <v>2026</v>
      </c>
      <c r="C125" s="648" t="n">
        <v>673001</v>
      </c>
      <c r="D125" s="443" t="n">
        <v>0.39</v>
      </c>
      <c r="E125" s="632">
        <f>E124+D124*(C125-C124)</f>
        <v/>
      </c>
    </row>
    <row r="126">
      <c r="B126" s="441" t="n">
        <v>2026</v>
      </c>
      <c r="C126" s="648" t="n">
        <v>857901</v>
      </c>
      <c r="D126" s="443" t="n">
        <v>0.41</v>
      </c>
      <c r="E126" s="632">
        <f>E125+D125*(C126-C125)</f>
        <v/>
      </c>
    </row>
    <row r="127">
      <c r="B127" s="441" t="n">
        <v>2026</v>
      </c>
      <c r="C127" s="648" t="n">
        <v>1817001</v>
      </c>
      <c r="D127" s="443" t="n">
        <v>0.45</v>
      </c>
      <c r="E127" s="632">
        <f>E126+D126*(C127-C126)</f>
        <v/>
      </c>
    </row>
    <row r="128">
      <c r="B128" s="472" t="n">
        <v>2027</v>
      </c>
      <c r="C128" s="651" t="n">
        <v>0</v>
      </c>
      <c r="D128" s="474" t="n">
        <v>0.18</v>
      </c>
      <c r="E128" s="650" t="n">
        <v>0</v>
      </c>
    </row>
    <row r="129">
      <c r="B129" s="472" t="n">
        <v>2027</v>
      </c>
      <c r="C129" s="651" t="n">
        <v>245100</v>
      </c>
      <c r="D129" s="474" t="n">
        <v>0.26</v>
      </c>
      <c r="E129" s="650">
        <f>D128*C129</f>
        <v/>
      </c>
    </row>
    <row r="130">
      <c r="B130" s="472" t="n">
        <v>2027</v>
      </c>
      <c r="C130" s="651" t="n">
        <v>383100</v>
      </c>
      <c r="D130" s="474" t="n">
        <v>0.31</v>
      </c>
      <c r="E130" s="650">
        <f>E129+D129*(C130-C129)</f>
        <v/>
      </c>
    </row>
    <row r="131">
      <c r="B131" s="472" t="n">
        <v>2027</v>
      </c>
      <c r="C131" s="651" t="n">
        <v>530200</v>
      </c>
      <c r="D131" s="474" t="n">
        <v>0.36</v>
      </c>
      <c r="E131" s="650">
        <f>E130+D130*(C131-C130)</f>
        <v/>
      </c>
    </row>
    <row r="132">
      <c r="B132" s="472" t="n">
        <v>2027</v>
      </c>
      <c r="C132" s="651" t="n">
        <v>695800</v>
      </c>
      <c r="D132" s="474" t="n">
        <v>0.39</v>
      </c>
      <c r="E132" s="650">
        <f>E131+D131*(C132-C131)</f>
        <v/>
      </c>
    </row>
    <row r="133">
      <c r="B133" s="472" t="n">
        <v>2027</v>
      </c>
      <c r="C133" s="651" t="n">
        <v>887000</v>
      </c>
      <c r="D133" s="474" t="n">
        <v>0.41</v>
      </c>
      <c r="E133" s="650">
        <f>E132+D132*(C133-C132)</f>
        <v/>
      </c>
    </row>
    <row r="134">
      <c r="B134" s="472" t="n">
        <v>2027</v>
      </c>
      <c r="C134" s="651" t="n">
        <v>1878600</v>
      </c>
      <c r="D134" s="474" t="n">
        <v>0.45</v>
      </c>
      <c r="E134" s="650">
        <f>E133+D133*(C134-C133)</f>
        <v/>
      </c>
    </row>
  </sheetData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13">
    <outlinePr summaryBelow="1" summaryRight="1"/>
    <pageSetUpPr/>
  </sheetPr>
  <dimension ref="A1:W2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2" sqref="B2"/>
    </sheetView>
  </sheetViews>
  <sheetFormatPr baseColWidth="8" defaultRowHeight="13.2"/>
  <cols>
    <col width="20.44140625" bestFit="1" customWidth="1" min="1" max="1"/>
    <col width="16.5546875" customWidth="1" style="620" min="2" max="2"/>
    <col width="22.33203125" bestFit="1" customWidth="1" style="620" min="3" max="3"/>
    <col width="11.44140625" bestFit="1" customWidth="1" min="4" max="4"/>
    <col width="12.33203125" bestFit="1" customWidth="1" min="5" max="5"/>
    <col width="13.44140625" bestFit="1" customWidth="1" style="191" min="6" max="6"/>
    <col width="11.33203125" bestFit="1" customWidth="1" style="191" min="7" max="7"/>
    <col width="11.44140625" bestFit="1" customWidth="1" min="8" max="8"/>
    <col width="11.44140625" bestFit="1" customWidth="1" style="191" min="9" max="9"/>
    <col width="11.44140625" bestFit="1" customWidth="1" min="10" max="10"/>
    <col width="9.33203125" customWidth="1" style="191" min="11" max="11"/>
    <col width="11.44140625" bestFit="1" customWidth="1" min="12" max="12"/>
    <col width="11" bestFit="1" customWidth="1" min="15" max="15"/>
    <col width="9.33203125" customWidth="1" style="191" min="16" max="16"/>
  </cols>
  <sheetData>
    <row r="1" ht="14.4" customHeight="1">
      <c r="A1" s="325" t="inlineStr">
        <is>
          <t>Functions</t>
        </is>
      </c>
      <c r="B1" s="325" t="inlineStr">
        <is>
          <t>Examples</t>
        </is>
      </c>
      <c r="O1" s="95" t="n"/>
    </row>
    <row r="2">
      <c r="A2" s="325" t="inlineStr">
        <is>
          <t>QYB - unskilled</t>
        </is>
      </c>
      <c r="B2" s="655">
        <f t="array" ref="B2">pat("un","m")</f>
        <v/>
      </c>
      <c r="D2" s="90" t="n"/>
      <c r="E2" s="90" t="n"/>
      <c r="H2" s="90" t="n"/>
      <c r="J2" s="90" t="n"/>
      <c r="L2" s="90" t="n"/>
      <c r="O2" s="90" t="n"/>
    </row>
    <row r="3">
      <c r="A3" s="325" t="inlineStr">
        <is>
          <t>QYB - semi-skilled</t>
        </is>
      </c>
      <c r="B3" s="655">
        <f t="array" ref="B3">pat("semi","m")</f>
        <v/>
      </c>
      <c r="C3" s="196" t="n"/>
      <c r="D3" s="620" t="n"/>
      <c r="E3" s="620" t="n"/>
      <c r="H3" s="620" t="n"/>
      <c r="J3" s="620" t="n"/>
      <c r="L3" s="620" t="n"/>
      <c r="M3" s="620" t="n"/>
      <c r="N3" s="620" t="n"/>
      <c r="O3" s="620" t="n"/>
      <c r="Q3" s="620" t="n"/>
      <c r="R3" s="620" t="n"/>
      <c r="S3" s="620" t="n"/>
      <c r="T3" s="620" t="n"/>
      <c r="U3" s="620" t="n"/>
      <c r="V3" s="620" t="n"/>
      <c r="W3" s="620" t="n"/>
    </row>
    <row r="4">
      <c r="A4" s="325" t="inlineStr">
        <is>
          <t xml:space="preserve">QYB - med total </t>
        </is>
      </c>
      <c r="B4" s="655">
        <f t="array" ref="B4">pat("C1")</f>
        <v/>
      </c>
      <c r="D4" s="90" t="n"/>
      <c r="E4" s="90" t="n"/>
      <c r="G4" s="90" t="n"/>
      <c r="H4" s="620" t="n"/>
      <c r="J4" s="191" t="n"/>
      <c r="L4" s="620" t="n"/>
      <c r="M4" s="620" t="n"/>
      <c r="N4" s="620" t="n"/>
      <c r="O4" s="620" t="n"/>
      <c r="Q4" s="620" t="n"/>
      <c r="R4" s="620" t="n"/>
      <c r="S4" s="620" t="n"/>
      <c r="T4" s="620" t="n"/>
      <c r="U4" s="620" t="n"/>
      <c r="V4" s="620" t="n"/>
      <c r="W4" s="620" t="n"/>
    </row>
    <row r="5">
      <c r="A5" s="325" t="inlineStr">
        <is>
          <t xml:space="preserve">QYB - other total </t>
        </is>
      </c>
      <c r="B5" s="655">
        <f t="array" ref="B5">pat("C1","u")</f>
        <v/>
      </c>
      <c r="D5" s="620" t="n"/>
      <c r="E5" s="620" t="n"/>
      <c r="F5" s="620" t="n"/>
      <c r="G5" s="620" t="n"/>
      <c r="H5" s="620" t="n"/>
      <c r="I5" s="620" t="n"/>
      <c r="J5" s="620" t="n"/>
      <c r="L5" s="620" t="n"/>
      <c r="M5" s="620" t="n"/>
      <c r="N5" s="620" t="n"/>
      <c r="O5" s="620" t="n"/>
      <c r="Q5" s="620" t="n"/>
      <c r="R5" s="620" t="n"/>
      <c r="S5" s="620" t="n"/>
      <c r="T5" s="620" t="n"/>
      <c r="U5" s="620" t="n"/>
      <c r="V5" s="620" t="n"/>
      <c r="W5" s="620" t="n"/>
    </row>
    <row r="6">
      <c r="A6" s="325" t="inlineStr">
        <is>
          <t>QYB - med basic</t>
        </is>
      </c>
      <c r="B6" s="655">
        <f t="array" ref="B6">pat("C1","m","b")</f>
        <v/>
      </c>
      <c r="D6" s="195" t="n"/>
      <c r="E6" s="620" t="n"/>
      <c r="G6" s="620" t="n"/>
      <c r="H6" s="191" t="n"/>
      <c r="J6" s="620" t="n"/>
      <c r="L6" s="620" t="n"/>
      <c r="M6" s="620" t="n"/>
      <c r="N6" s="620" t="n"/>
      <c r="O6" s="620" t="n"/>
      <c r="Q6" s="620" t="n"/>
      <c r="R6" s="620" t="n"/>
      <c r="S6" s="620" t="n"/>
      <c r="T6" s="620" t="n"/>
      <c r="U6" s="620" t="n"/>
      <c r="V6" s="620" t="n"/>
      <c r="W6" s="620" t="n"/>
    </row>
    <row r="7">
      <c r="A7" s="325" t="inlineStr">
        <is>
          <t>Age function</t>
        </is>
      </c>
      <c r="B7" s="327">
        <f t="array" ref="B7">age(45)</f>
        <v/>
      </c>
      <c r="D7" s="195" t="n"/>
      <c r="E7" s="620" t="n"/>
      <c r="G7" s="620" t="n"/>
      <c r="H7" s="620" t="n"/>
      <c r="J7" s="620" t="n"/>
      <c r="L7" s="620" t="n"/>
      <c r="M7" s="191" t="n"/>
      <c r="N7" s="620" t="n"/>
      <c r="O7" s="620" t="n"/>
      <c r="Q7" s="620" t="n"/>
      <c r="R7" s="620" t="n"/>
      <c r="S7" s="620" t="n"/>
      <c r="T7" s="620" t="n"/>
      <c r="U7" s="620" t="n"/>
      <c r="V7" s="620" t="n"/>
      <c r="W7" s="620" t="n"/>
    </row>
    <row r="8">
      <c r="D8" s="195" t="n"/>
      <c r="E8" s="620" t="n"/>
      <c r="G8" s="620" t="n"/>
      <c r="H8" s="620" t="n"/>
      <c r="J8" s="620" t="n"/>
      <c r="L8" s="620" t="n"/>
      <c r="M8" s="191" t="n"/>
      <c r="N8" s="620" t="n"/>
      <c r="O8" s="620" t="n"/>
      <c r="Q8" s="620" t="n"/>
      <c r="R8" s="620" t="n"/>
      <c r="S8" s="620" t="n"/>
      <c r="T8" s="620" t="n"/>
      <c r="U8" s="620" t="n"/>
      <c r="V8" s="620" t="n"/>
      <c r="W8" s="620" t="n"/>
    </row>
    <row r="9">
      <c r="D9" s="195" t="n"/>
      <c r="E9" s="620" t="n"/>
      <c r="G9" s="620" t="n"/>
      <c r="H9" s="620" t="n"/>
      <c r="J9" s="620" t="n"/>
      <c r="L9" s="620" t="n"/>
      <c r="M9" s="191" t="n"/>
      <c r="N9" s="620" t="n"/>
      <c r="O9" s="620" t="n"/>
      <c r="Q9" s="620" t="n"/>
      <c r="R9" s="620" t="n"/>
      <c r="S9" s="620" t="n"/>
      <c r="T9" s="620" t="n"/>
      <c r="U9" s="620" t="n"/>
      <c r="V9" s="620" t="n"/>
      <c r="W9" s="620" t="n"/>
    </row>
    <row r="10">
      <c r="D10" s="195" t="n"/>
      <c r="E10" s="620" t="n"/>
      <c r="G10" s="620" t="n"/>
      <c r="H10" s="620" t="n"/>
      <c r="J10" s="620" t="n"/>
      <c r="L10" s="620" t="n"/>
      <c r="M10" s="191" t="n"/>
      <c r="N10" s="620" t="n"/>
      <c r="O10" s="620" t="n"/>
      <c r="Q10" s="620" t="n"/>
      <c r="R10" s="620" t="n"/>
      <c r="S10" s="620" t="n"/>
      <c r="T10" s="620" t="n"/>
      <c r="U10" s="620" t="n"/>
      <c r="V10" s="620" t="n"/>
      <c r="W10" s="620" t="n"/>
    </row>
    <row r="11">
      <c r="D11" s="195" t="n"/>
      <c r="E11" s="620" t="n"/>
      <c r="G11" s="620" t="n"/>
      <c r="H11" s="620" t="n"/>
      <c r="J11" s="620" t="n"/>
      <c r="L11" s="620" t="n"/>
      <c r="M11" s="191" t="n"/>
      <c r="N11" s="620" t="n"/>
      <c r="O11" s="620" t="n"/>
      <c r="Q11" s="620" t="n"/>
      <c r="R11" s="620" t="n"/>
      <c r="S11" s="620" t="n"/>
      <c r="T11" s="620" t="n"/>
      <c r="U11" s="620" t="n"/>
      <c r="V11" s="620" t="n"/>
      <c r="W11" s="620" t="n"/>
    </row>
    <row r="12">
      <c r="C12" s="656" t="n"/>
      <c r="D12" s="657" t="n"/>
      <c r="E12" s="656" t="n"/>
      <c r="F12" s="656" t="n"/>
      <c r="G12" s="620" t="n"/>
      <c r="H12" s="620" t="n"/>
      <c r="J12" s="620" t="n"/>
      <c r="L12" s="620" t="n"/>
      <c r="M12" s="191" t="n"/>
      <c r="N12" s="620" t="n"/>
      <c r="O12" s="620" t="n"/>
      <c r="Q12" s="620" t="n"/>
      <c r="R12" s="620" t="n"/>
      <c r="S12" s="620" t="n"/>
      <c r="T12" s="620" t="n"/>
      <c r="U12" s="620" t="n"/>
      <c r="V12" s="620" t="n"/>
      <c r="W12" s="620" t="n"/>
    </row>
    <row r="13">
      <c r="D13" s="195" t="n"/>
      <c r="E13" s="620" t="n"/>
      <c r="H13" s="620" t="n"/>
      <c r="J13" s="620" t="n"/>
      <c r="L13" s="620" t="n"/>
      <c r="M13" s="191" t="n"/>
      <c r="N13" s="620" t="n"/>
      <c r="O13" s="620" t="n"/>
      <c r="Q13" s="620" t="n"/>
      <c r="R13" s="620" t="n"/>
      <c r="S13" s="620" t="n"/>
      <c r="T13" s="620" t="n"/>
      <c r="U13" s="620" t="n"/>
      <c r="V13" s="620" t="n"/>
      <c r="W13" s="620" t="n"/>
    </row>
    <row r="14">
      <c r="D14" s="195" t="n"/>
      <c r="E14" s="620" t="n"/>
      <c r="J14" s="620" t="n"/>
      <c r="L14" s="620" t="n"/>
      <c r="M14" s="620" t="n"/>
      <c r="N14" s="620" t="n"/>
      <c r="O14" s="620" t="n"/>
      <c r="Q14" s="620" t="n"/>
      <c r="R14" s="620" t="n"/>
      <c r="S14" s="620" t="n"/>
      <c r="T14" s="620" t="n"/>
      <c r="U14" s="620" t="n"/>
      <c r="V14" s="620" t="n"/>
      <c r="W14" s="620" t="n"/>
    </row>
    <row r="15">
      <c r="C15" s="195" t="n"/>
      <c r="D15" s="195" t="n"/>
      <c r="E15" s="620" t="n"/>
      <c r="F15" s="620" t="n"/>
      <c r="H15" s="620" t="n"/>
      <c r="J15" s="620" t="n"/>
      <c r="L15" s="620" t="n"/>
      <c r="M15" s="620" t="n"/>
      <c r="N15" s="620" t="n"/>
      <c r="O15" s="620" t="n"/>
      <c r="Q15" s="620" t="n"/>
      <c r="R15" s="620" t="n"/>
      <c r="S15" s="620" t="n"/>
      <c r="T15" s="620" t="n"/>
      <c r="U15" s="620" t="n"/>
      <c r="V15" s="620" t="n"/>
      <c r="W15" s="620" t="n"/>
    </row>
    <row r="16">
      <c r="C16" s="195" t="n"/>
      <c r="D16" s="195" t="n"/>
      <c r="E16" s="195" t="n"/>
      <c r="F16" s="620" t="n"/>
      <c r="H16" s="620" t="n"/>
      <c r="J16" s="620" t="n"/>
      <c r="L16" s="620" t="n"/>
      <c r="M16" s="620" t="n"/>
      <c r="N16" s="620" t="n"/>
      <c r="O16" s="620" t="n"/>
      <c r="Q16" s="620" t="n"/>
      <c r="R16" s="620" t="n"/>
      <c r="S16" s="620" t="n"/>
      <c r="T16" s="620" t="n"/>
      <c r="U16" s="620" t="n"/>
      <c r="V16" s="620" t="n"/>
      <c r="W16" s="620" t="n"/>
    </row>
    <row r="17">
      <c r="C17" s="195" t="n"/>
      <c r="D17" s="195" t="n"/>
      <c r="E17" s="195" t="n"/>
      <c r="F17" s="658" t="n"/>
      <c r="H17" s="620" t="n"/>
      <c r="J17" s="620" t="n"/>
      <c r="L17" s="620" t="n"/>
      <c r="M17" s="620" t="n"/>
      <c r="N17" s="620" t="n"/>
      <c r="O17" s="620" t="n"/>
      <c r="Q17" s="620" t="n"/>
      <c r="R17" s="620" t="n"/>
      <c r="S17" s="620" t="n"/>
      <c r="T17" s="620" t="n"/>
      <c r="U17" s="620" t="n"/>
      <c r="V17" s="620" t="n"/>
      <c r="W17" s="620" t="n"/>
    </row>
    <row r="18">
      <c r="C18" s="195" t="n"/>
      <c r="D18" s="195" t="n"/>
      <c r="E18" s="620" t="n"/>
      <c r="F18" s="658" t="n"/>
      <c r="H18" s="620" t="n"/>
      <c r="J18" s="620" t="n"/>
      <c r="L18" s="620" t="n"/>
      <c r="M18" s="620" t="n"/>
      <c r="N18" s="620" t="n"/>
      <c r="O18" s="620" t="n"/>
      <c r="Q18" s="620" t="n"/>
      <c r="R18" s="620" t="n"/>
      <c r="S18" s="620" t="n"/>
      <c r="T18" s="620" t="n"/>
      <c r="U18" s="620" t="n"/>
      <c r="V18" s="620" t="n"/>
      <c r="W18" s="620" t="n"/>
    </row>
    <row r="19">
      <c r="C19" s="195" t="n"/>
      <c r="D19" s="195" t="n"/>
      <c r="E19" s="195" t="n"/>
      <c r="H19" s="620" t="n"/>
      <c r="J19" s="620" t="n"/>
      <c r="L19" s="620" t="n"/>
      <c r="M19" s="620" t="n"/>
      <c r="N19" s="620" t="n"/>
      <c r="O19" s="620" t="n"/>
      <c r="Q19" s="620" t="n"/>
      <c r="R19" s="620" t="n"/>
      <c r="S19" s="620" t="n"/>
      <c r="T19" s="620" t="n"/>
      <c r="U19" s="620" t="n"/>
      <c r="V19" s="620" t="n"/>
      <c r="W19" s="620" t="n"/>
    </row>
    <row r="20">
      <c r="C20" s="659" t="n"/>
      <c r="D20" s="620" t="n"/>
      <c r="E20" s="659" t="n"/>
      <c r="H20" s="620" t="n"/>
      <c r="J20" s="620" t="n"/>
      <c r="L20" s="620" t="n"/>
      <c r="M20" s="620" t="n"/>
      <c r="N20" s="620" t="n"/>
      <c r="O20" s="620" t="n"/>
      <c r="Q20" s="620" t="n"/>
      <c r="R20" s="620" t="n"/>
      <c r="S20" s="620" t="n"/>
      <c r="T20" s="620" t="n"/>
      <c r="U20" s="620" t="n"/>
      <c r="V20" s="620" t="n"/>
      <c r="W20" s="620" t="n"/>
    </row>
    <row r="21">
      <c r="D21" s="620" t="n"/>
      <c r="E21" s="620" t="n"/>
      <c r="H21" s="620" t="n"/>
      <c r="J21" s="620" t="n"/>
      <c r="L21" s="620" t="n"/>
      <c r="M21" s="620" t="n"/>
      <c r="N21" s="620" t="n"/>
      <c r="O21" s="620" t="n"/>
      <c r="Q21" s="620" t="n"/>
      <c r="R21" s="620" t="n"/>
      <c r="S21" s="620" t="n"/>
      <c r="T21" s="620" t="n"/>
      <c r="U21" s="620" t="n"/>
      <c r="V21" s="620" t="n"/>
      <c r="W21" s="620" t="n"/>
    </row>
    <row r="22">
      <c r="H22" s="620" t="n"/>
      <c r="J22" s="620" t="n"/>
      <c r="L22" s="620" t="n"/>
      <c r="M22" s="620" t="n"/>
      <c r="N22" s="620" t="n"/>
      <c r="O22" s="620" t="n"/>
      <c r="Q22" s="620" t="n"/>
      <c r="R22" s="620" t="n"/>
      <c r="S22" s="620" t="n"/>
      <c r="T22" s="620" t="n"/>
      <c r="U22" s="620" t="n"/>
      <c r="V22" s="620" t="n"/>
      <c r="W22" s="620" t="n"/>
    </row>
    <row r="23">
      <c r="D23" s="620" t="n"/>
      <c r="E23" s="620" t="n"/>
      <c r="H23" s="620" t="n"/>
      <c r="J23" s="620" t="n"/>
      <c r="L23" s="620" t="n"/>
      <c r="M23" s="620" t="n"/>
      <c r="N23" s="620" t="n"/>
      <c r="O23" s="620" t="n"/>
      <c r="Q23" s="620" t="n"/>
      <c r="R23" s="620" t="n"/>
      <c r="S23" s="620" t="n"/>
      <c r="T23" s="620" t="n"/>
      <c r="U23" s="620" t="n"/>
      <c r="V23" s="620" t="n"/>
      <c r="W23" s="620" t="n"/>
    </row>
    <row r="24">
      <c r="D24" s="620" t="n"/>
      <c r="E24" s="620" t="n"/>
      <c r="F24" s="658" t="n"/>
      <c r="H24" s="620" t="n"/>
      <c r="J24" s="620" t="n"/>
      <c r="L24" s="620" t="n"/>
      <c r="M24" s="620" t="n"/>
      <c r="N24" s="620" t="n"/>
      <c r="O24" s="620" t="n"/>
      <c r="Q24" s="620" t="n"/>
      <c r="R24" s="620" t="n"/>
      <c r="S24" s="620" t="n"/>
      <c r="T24" s="620" t="n"/>
      <c r="U24" s="620" t="n"/>
      <c r="V24" s="620" t="n"/>
      <c r="W24" s="620" t="n"/>
    </row>
    <row r="25">
      <c r="D25" s="620" t="n"/>
      <c r="E25" s="620" t="n"/>
      <c r="H25" s="620" t="n"/>
      <c r="J25" s="620" t="n"/>
      <c r="L25" s="620" t="n"/>
      <c r="M25" s="620" t="n"/>
      <c r="N25" s="620" t="n"/>
      <c r="O25" s="620" t="n"/>
      <c r="Q25" s="620" t="n"/>
      <c r="R25" s="620" t="n"/>
      <c r="S25" s="620" t="n"/>
      <c r="T25" s="620" t="n"/>
      <c r="U25" s="620" t="n"/>
      <c r="V25" s="620" t="n"/>
      <c r="W25" s="620" t="n"/>
    </row>
    <row r="26">
      <c r="D26" s="620" t="n"/>
      <c r="E26" s="620" t="n"/>
      <c r="H26" s="620" t="n"/>
      <c r="J26" s="620" t="n"/>
      <c r="L26" s="620" t="n"/>
      <c r="M26" s="620" t="n"/>
      <c r="N26" s="620" t="n"/>
      <c r="O26" s="620" t="n"/>
      <c r="Q26" s="620" t="n"/>
      <c r="R26" s="620" t="n"/>
      <c r="S26" s="620" t="n"/>
      <c r="T26" s="620" t="n"/>
      <c r="U26" s="620" t="n"/>
      <c r="V26" s="620" t="n"/>
      <c r="W26" s="620" t="n"/>
    </row>
    <row r="27">
      <c r="D27" s="620" t="n"/>
      <c r="E27" s="620" t="n"/>
      <c r="H27" s="620" t="n"/>
      <c r="J27" s="620" t="n"/>
      <c r="L27" s="620" t="n"/>
      <c r="M27" s="620" t="n"/>
      <c r="N27" s="620" t="n"/>
      <c r="O27" s="620" t="n"/>
      <c r="Q27" s="620" t="n"/>
      <c r="R27" s="620" t="n"/>
      <c r="S27" s="620" t="n"/>
      <c r="T27" s="620" t="n"/>
      <c r="U27" s="620" t="n"/>
      <c r="V27" s="620" t="n"/>
      <c r="W27" s="620" t="n"/>
    </row>
    <row r="55" ht="14.7" customHeight="1"/>
    <row r="61" ht="14.7" customHeight="1"/>
    <row r="315" ht="15.75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4">
    <outlinePr summaryBelow="1" summaryRight="1"/>
    <pageSetUpPr/>
  </sheetPr>
  <dimension ref="A1:E66"/>
  <sheetViews>
    <sheetView topLeftCell="A43" workbookViewId="0">
      <selection activeCell="H59" sqref="H59"/>
    </sheetView>
  </sheetViews>
  <sheetFormatPr baseColWidth="8" defaultRowHeight="13.2"/>
  <cols>
    <col width="10.33203125" bestFit="1" customWidth="1" min="1" max="1"/>
  </cols>
  <sheetData>
    <row r="1">
      <c r="A1" t="inlineStr">
        <is>
          <t>date</t>
        </is>
      </c>
      <c r="B1" s="660" t="inlineStr">
        <is>
          <t>Cap</t>
        </is>
      </c>
      <c r="C1" s="660" t="n"/>
    </row>
    <row r="2">
      <c r="A2" s="90" t="n">
        <v>39660</v>
      </c>
      <c r="B2" s="660" t="n">
        <v>160000</v>
      </c>
      <c r="C2" s="660" t="n"/>
    </row>
    <row r="3">
      <c r="A3" s="90" t="n">
        <v>39752</v>
      </c>
      <c r="B3" s="660" t="n">
        <v>166667</v>
      </c>
      <c r="C3" s="660">
        <f>B3-B2</f>
        <v/>
      </c>
    </row>
    <row r="4">
      <c r="A4" s="90" t="n">
        <v>39844</v>
      </c>
      <c r="B4" s="660" t="n">
        <v>167071</v>
      </c>
      <c r="C4" s="660">
        <f>B4-B3</f>
        <v/>
      </c>
    </row>
    <row r="5">
      <c r="A5" s="90" t="n">
        <v>39933</v>
      </c>
      <c r="B5" s="660" t="n">
        <v>169078</v>
      </c>
      <c r="C5" s="660">
        <f>B5-B4</f>
        <v/>
      </c>
    </row>
    <row r="6">
      <c r="A6" s="90" t="n">
        <v>40025</v>
      </c>
      <c r="B6" s="660" t="n">
        <v>172806</v>
      </c>
      <c r="C6" s="660">
        <f>B6-B5</f>
        <v/>
      </c>
    </row>
    <row r="7">
      <c r="A7" s="90" t="n">
        <v>40117</v>
      </c>
      <c r="B7" s="660" t="n">
        <v>175887</v>
      </c>
      <c r="C7" s="660">
        <f>B7-B6</f>
        <v/>
      </c>
    </row>
    <row r="8">
      <c r="A8" s="90" t="n">
        <v>40209</v>
      </c>
      <c r="B8" s="660" t="n">
        <v>176535</v>
      </c>
      <c r="C8" s="660">
        <f>B8-B7</f>
        <v/>
      </c>
    </row>
    <row r="9">
      <c r="A9" s="90" t="n">
        <v>40298</v>
      </c>
      <c r="B9" s="660" t="n">
        <v>178642</v>
      </c>
      <c r="C9" s="660">
        <f>B9-B8</f>
        <v/>
      </c>
    </row>
    <row r="10">
      <c r="A10" s="90" t="n">
        <v>40390</v>
      </c>
      <c r="B10" s="660" t="n">
        <v>180750</v>
      </c>
      <c r="C10" s="660">
        <f>B10-B9</f>
        <v/>
      </c>
    </row>
    <row r="11">
      <c r="A11" s="90" t="n">
        <v>40482</v>
      </c>
      <c r="B11" s="660" t="n">
        <v>182047</v>
      </c>
      <c r="C11" s="660">
        <f>B11-B10</f>
        <v/>
      </c>
    </row>
    <row r="12">
      <c r="A12" s="90" t="n">
        <v>40574</v>
      </c>
      <c r="B12" s="660" t="n">
        <v>182857</v>
      </c>
      <c r="C12" s="660">
        <f>B12-B11</f>
        <v/>
      </c>
    </row>
    <row r="13">
      <c r="A13" s="90" t="n">
        <v>40663</v>
      </c>
      <c r="B13" s="660" t="n">
        <v>185289</v>
      </c>
      <c r="C13" s="660">
        <f>B13-B12</f>
        <v/>
      </c>
    </row>
    <row r="14">
      <c r="A14" s="90" t="n">
        <v>40755</v>
      </c>
      <c r="B14" s="660" t="n">
        <v>189017</v>
      </c>
      <c r="C14" s="660">
        <f>B14-B13</f>
        <v/>
      </c>
    </row>
    <row r="15">
      <c r="A15" s="90" t="n">
        <v>40847</v>
      </c>
      <c r="B15" s="660" t="n">
        <v>191773</v>
      </c>
      <c r="C15" s="660">
        <f>B15-B14</f>
        <v/>
      </c>
    </row>
    <row r="16">
      <c r="A16" s="90" t="n">
        <v>40939</v>
      </c>
      <c r="B16" s="660" t="n">
        <v>194043</v>
      </c>
      <c r="C16" s="660">
        <f>B16-B15</f>
        <v/>
      </c>
    </row>
    <row r="17">
      <c r="A17" s="90" t="n">
        <v>41029</v>
      </c>
      <c r="B17" s="660" t="n">
        <v>196636</v>
      </c>
      <c r="C17" s="660">
        <f>B17-B16</f>
        <v/>
      </c>
    </row>
    <row r="18">
      <c r="A18" s="90" t="n">
        <v>41121</v>
      </c>
      <c r="B18" s="660" t="n">
        <v>199716</v>
      </c>
      <c r="C18" s="660">
        <f>B18-B17</f>
        <v/>
      </c>
    </row>
    <row r="19">
      <c r="A19" s="90" t="n">
        <v>41213</v>
      </c>
      <c r="B19" s="660" t="n">
        <v>201337</v>
      </c>
      <c r="C19" s="660">
        <f>B19-B18</f>
        <v/>
      </c>
    </row>
    <row r="20">
      <c r="A20" s="90" t="n">
        <v>41305</v>
      </c>
      <c r="B20" s="660" t="n">
        <v>204904</v>
      </c>
      <c r="C20" s="660">
        <f>B20-B19</f>
        <v/>
      </c>
    </row>
    <row r="21">
      <c r="A21" s="90" t="n">
        <v>41394</v>
      </c>
      <c r="B21" s="660" t="n">
        <v>207528</v>
      </c>
      <c r="C21" s="660">
        <f>B21-B20</f>
        <v/>
      </c>
    </row>
    <row r="22">
      <c r="A22" s="90" t="n">
        <v>41486</v>
      </c>
      <c r="B22" s="660" t="n">
        <v>210192</v>
      </c>
      <c r="C22" s="660">
        <f>B22-B21</f>
        <v/>
      </c>
    </row>
    <row r="23">
      <c r="A23" s="90" t="n">
        <v>41578</v>
      </c>
      <c r="B23" s="660" t="n">
        <v>213675</v>
      </c>
      <c r="C23" s="660">
        <f>B23-B22</f>
        <v/>
      </c>
    </row>
    <row r="24">
      <c r="A24" s="90" t="n">
        <v>41670</v>
      </c>
      <c r="B24" s="660" t="n">
        <v>215320</v>
      </c>
      <c r="C24" s="660">
        <f>B24-B23</f>
        <v/>
      </c>
    </row>
    <row r="25">
      <c r="A25" s="90" t="n">
        <v>41759</v>
      </c>
      <c r="B25" s="660" t="n">
        <v>219820</v>
      </c>
      <c r="C25" s="660">
        <f>B25-B24</f>
        <v/>
      </c>
    </row>
    <row r="26">
      <c r="A26" s="90" t="n">
        <v>41851</v>
      </c>
      <c r="B26" s="660" t="n">
        <v>224120</v>
      </c>
      <c r="C26" s="660">
        <f>B26-B25</f>
        <v/>
      </c>
    </row>
    <row r="27">
      <c r="A27" s="90" t="n">
        <v>41943</v>
      </c>
      <c r="B27" s="660" t="n">
        <v>227400</v>
      </c>
      <c r="C27" s="660">
        <f>B27-B26</f>
        <v/>
      </c>
    </row>
    <row r="28">
      <c r="A28" s="90" t="n">
        <v>42035</v>
      </c>
      <c r="B28" s="660" t="n">
        <v>227810</v>
      </c>
      <c r="C28" s="660">
        <f>B28-B27</f>
        <v/>
      </c>
    </row>
    <row r="29">
      <c r="A29" s="90" t="n">
        <v>42124</v>
      </c>
      <c r="B29" s="660" t="n">
        <v>228430</v>
      </c>
      <c r="C29" s="660">
        <f>B29-B28</f>
        <v/>
      </c>
    </row>
    <row r="30">
      <c r="A30" s="90" t="n">
        <v>42216</v>
      </c>
      <c r="B30" s="660" t="n">
        <v>234366</v>
      </c>
      <c r="C30" s="660">
        <f>B30-B29</f>
        <v/>
      </c>
    </row>
    <row r="31">
      <c r="A31" s="90" t="n">
        <v>42308</v>
      </c>
      <c r="B31" s="660" t="n">
        <v>237850</v>
      </c>
      <c r="C31" s="660">
        <f>B31-B30</f>
        <v/>
      </c>
    </row>
    <row r="32">
      <c r="A32" s="90" t="n">
        <v>42400</v>
      </c>
      <c r="B32" s="660" t="n">
        <v>238670</v>
      </c>
      <c r="C32" s="660">
        <f>B32-B31</f>
        <v/>
      </c>
    </row>
    <row r="33">
      <c r="A33" s="90" t="n">
        <v>42490</v>
      </c>
      <c r="B33" s="660" t="n">
        <v>244405</v>
      </c>
      <c r="C33" s="660">
        <f>B33-B32</f>
        <v/>
      </c>
    </row>
    <row r="34">
      <c r="A34" s="90" t="n">
        <v>42582</v>
      </c>
      <c r="B34" s="660" t="n">
        <v>248710</v>
      </c>
      <c r="C34" s="660">
        <f>B34-B33</f>
        <v/>
      </c>
    </row>
    <row r="35">
      <c r="A35" s="90" t="n">
        <v>42674</v>
      </c>
      <c r="B35" s="660" t="n">
        <v>251990</v>
      </c>
      <c r="C35" s="660">
        <f>B35-B34</f>
        <v/>
      </c>
    </row>
    <row r="36">
      <c r="A36" s="90" t="n">
        <v>42766</v>
      </c>
      <c r="B36" s="660" t="n">
        <v>254450</v>
      </c>
      <c r="C36" s="660">
        <f>B36-B35</f>
        <v/>
      </c>
    </row>
    <row r="37">
      <c r="A37" s="90" t="n">
        <v>42855</v>
      </c>
      <c r="B37" s="660" t="n">
        <v>259810</v>
      </c>
      <c r="C37" s="660">
        <f>B37-B36</f>
        <v/>
      </c>
    </row>
    <row r="38">
      <c r="A38" s="90" t="n">
        <v>42947</v>
      </c>
      <c r="B38" s="660" t="n">
        <v>262366</v>
      </c>
      <c r="C38" s="660">
        <f>B38-B37</f>
        <v/>
      </c>
    </row>
    <row r="39">
      <c r="A39" s="90" t="n">
        <v>43039</v>
      </c>
      <c r="B39" s="660" t="n">
        <v>263900</v>
      </c>
      <c r="C39" s="660">
        <f>B39-B38</f>
        <v/>
      </c>
    </row>
    <row r="40">
      <c r="A40" s="90" t="n">
        <v>43131</v>
      </c>
      <c r="B40" s="660" t="n">
        <v>266200</v>
      </c>
      <c r="C40" s="660">
        <f>B40-B39</f>
        <v/>
      </c>
    </row>
    <row r="41">
      <c r="A41" s="90" t="n">
        <v>43220</v>
      </c>
      <c r="B41" s="660" t="n">
        <v>270285</v>
      </c>
      <c r="C41" s="660">
        <f>B41-B40</f>
        <v/>
      </c>
    </row>
    <row r="42">
      <c r="A42" s="90" t="n">
        <v>43312</v>
      </c>
      <c r="B42" s="660" t="n">
        <v>273863</v>
      </c>
      <c r="C42" s="660">
        <f>B42-B41</f>
        <v/>
      </c>
    </row>
    <row r="43">
      <c r="A43" s="90" t="n">
        <v>43404</v>
      </c>
      <c r="B43" s="660" t="n">
        <v>276928</v>
      </c>
      <c r="C43" s="660">
        <f>B43-B42</f>
        <v/>
      </c>
    </row>
    <row r="44">
      <c r="A44" s="90" t="n">
        <v>43496</v>
      </c>
      <c r="B44" s="660" t="n">
        <v>279994</v>
      </c>
      <c r="C44" s="660">
        <f>B44-B43</f>
        <v/>
      </c>
    </row>
    <row r="45">
      <c r="A45" s="90" t="n">
        <v>43585</v>
      </c>
      <c r="B45" s="660" t="n">
        <v>281271</v>
      </c>
      <c r="C45" s="660">
        <f>B45-B44</f>
        <v/>
      </c>
    </row>
    <row r="46">
      <c r="A46" s="90" t="n">
        <v>43677</v>
      </c>
      <c r="B46" s="660" t="n">
        <v>286125</v>
      </c>
      <c r="C46" s="660">
        <f>B46-B45</f>
        <v/>
      </c>
    </row>
    <row r="47">
      <c r="A47" s="90" t="n">
        <v>43769</v>
      </c>
      <c r="B47" s="660" t="n">
        <v>288935</v>
      </c>
      <c r="C47" s="660">
        <f>+B47-B46</f>
        <v/>
      </c>
    </row>
    <row r="48">
      <c r="A48" s="90" t="n">
        <v>43861</v>
      </c>
      <c r="B48" s="661">
        <f>160000*D48</f>
        <v/>
      </c>
      <c r="C48" s="660">
        <f>+B48-B47</f>
        <v/>
      </c>
      <c r="D48">
        <f>113.5/62.63</f>
        <v/>
      </c>
      <c r="E48" t="inlineStr">
        <is>
          <t>Nov CPI vs Aug 2008 CPI</t>
        </is>
      </c>
    </row>
    <row r="49">
      <c r="A49" s="90" t="n">
        <v>43951</v>
      </c>
      <c r="B49" s="660" t="n">
        <v>294300</v>
      </c>
      <c r="C49" s="660">
        <f>+B49-B48</f>
        <v/>
      </c>
    </row>
    <row r="50">
      <c r="A50" s="90" t="n">
        <v>44043</v>
      </c>
      <c r="B50" s="660" t="n">
        <v>295322</v>
      </c>
      <c r="C50" s="660">
        <f>+B50-B49</f>
        <v/>
      </c>
    </row>
    <row r="51">
      <c r="A51" s="90" t="n">
        <v>44135</v>
      </c>
      <c r="B51" s="660" t="n">
        <v>297877</v>
      </c>
      <c r="C51" s="660">
        <f>+B51-B50</f>
        <v/>
      </c>
    </row>
    <row r="52">
      <c r="A52" s="90" t="n">
        <v>44227</v>
      </c>
      <c r="B52" s="660" t="n">
        <v>299154</v>
      </c>
      <c r="C52" s="660">
        <f>+B52-B51</f>
        <v/>
      </c>
    </row>
    <row r="53">
      <c r="A53" s="90" t="n">
        <v>44316</v>
      </c>
      <c r="B53" s="660" t="n">
        <v>302731</v>
      </c>
      <c r="C53" s="660">
        <f>+B53-B52</f>
        <v/>
      </c>
    </row>
    <row r="54">
      <c r="A54" s="90" t="n">
        <v>44408</v>
      </c>
      <c r="B54" s="660" t="n">
        <v>307074</v>
      </c>
      <c r="C54" s="660">
        <f>B54-B53</f>
        <v/>
      </c>
    </row>
    <row r="55">
      <c r="A55" s="90" t="n">
        <v>44500</v>
      </c>
      <c r="B55" s="660" t="n">
        <v>312439</v>
      </c>
      <c r="C55" s="660">
        <f>B55-B54</f>
        <v/>
      </c>
    </row>
    <row r="56">
      <c r="A56" s="90" t="n">
        <v>44592</v>
      </c>
      <c r="B56" s="660" t="n">
        <v>315504</v>
      </c>
      <c r="C56" s="660">
        <f>B56-B55</f>
        <v/>
      </c>
    </row>
    <row r="57">
      <c r="A57" s="90" t="n">
        <v>44681</v>
      </c>
      <c r="B57" s="660" t="n">
        <v>319810</v>
      </c>
      <c r="C57" s="660">
        <f>B57-B56</f>
        <v/>
      </c>
    </row>
    <row r="58">
      <c r="A58" s="90" t="n">
        <v>44773</v>
      </c>
      <c r="B58" s="660" t="n">
        <v>327107</v>
      </c>
      <c r="C58" s="660">
        <f>B58-B57</f>
        <v/>
      </c>
    </row>
    <row r="59">
      <c r="A59" s="90" t="n">
        <v>44865</v>
      </c>
      <c r="B59" s="660" t="n">
        <v>336308</v>
      </c>
      <c r="C59" s="660">
        <f>B59-B58</f>
        <v/>
      </c>
    </row>
    <row r="60">
      <c r="A60" s="90" t="n">
        <v>44957</v>
      </c>
      <c r="B60" s="660" t="n">
        <v>338846</v>
      </c>
      <c r="C60" s="660">
        <f>B60-B59</f>
        <v/>
      </c>
    </row>
    <row r="61">
      <c r="A61" s="90" t="n">
        <v>45046</v>
      </c>
      <c r="B61" s="660" t="n">
        <v>342366</v>
      </c>
      <c r="C61" s="660">
        <f>B61-B60</f>
        <v/>
      </c>
    </row>
    <row r="62">
      <c r="A62" s="90" t="n">
        <v>45138</v>
      </c>
      <c r="B62" s="660" t="n">
        <v>347730</v>
      </c>
      <c r="C62" s="660">
        <f>B62-B61</f>
        <v/>
      </c>
    </row>
    <row r="63">
      <c r="A63" s="90" t="n">
        <v>45230</v>
      </c>
      <c r="B63" s="660" t="n">
        <v>352489</v>
      </c>
      <c r="C63" s="660">
        <f>B63-B62</f>
        <v/>
      </c>
    </row>
    <row r="64">
      <c r="A64" s="90" t="n">
        <v>45322</v>
      </c>
      <c r="B64" s="660" t="n">
        <v>357565</v>
      </c>
      <c r="C64" s="660">
        <f>B64-B63</f>
        <v/>
      </c>
    </row>
    <row r="65">
      <c r="A65" s="90" t="n">
        <v>45412</v>
      </c>
      <c r="B65" s="660" t="n">
        <v>361372</v>
      </c>
      <c r="C65" s="660">
        <f>B65-B64</f>
        <v/>
      </c>
    </row>
    <row r="66">
      <c r="A66" s="90" t="n">
        <v>45504</v>
      </c>
      <c r="B66" s="660" t="n">
        <v>365814</v>
      </c>
      <c r="C66" s="660">
        <f>B66-B65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B23"/>
  <sheetViews>
    <sheetView workbookViewId="0">
      <selection activeCell="B17" sqref="B17"/>
    </sheetView>
  </sheetViews>
  <sheetFormatPr baseColWidth="8" defaultRowHeight="13.2"/>
  <sheetData>
    <row r="1">
      <c r="A1" t="n">
        <v>2008</v>
      </c>
      <c r="B1" t="n">
        <v>4000</v>
      </c>
    </row>
    <row r="2">
      <c r="A2" t="n">
        <v>2009</v>
      </c>
      <c r="B2" t="n">
        <v>6000</v>
      </c>
    </row>
    <row r="3">
      <c r="A3" t="n">
        <v>2011</v>
      </c>
      <c r="B3" t="n">
        <v>8400</v>
      </c>
    </row>
    <row r="4">
      <c r="A4" t="n">
        <v>2012</v>
      </c>
      <c r="B4" t="n">
        <v>9600</v>
      </c>
    </row>
    <row r="5">
      <c r="A5" t="n">
        <v>2013</v>
      </c>
      <c r="B5" t="n">
        <v>10700</v>
      </c>
    </row>
    <row r="6">
      <c r="A6" t="n">
        <v>2014</v>
      </c>
      <c r="B6" t="n">
        <v>10800</v>
      </c>
    </row>
    <row r="7">
      <c r="A7" t="n">
        <v>2015</v>
      </c>
      <c r="B7" t="n">
        <v>12000</v>
      </c>
    </row>
    <row r="8">
      <c r="A8" t="n">
        <v>2016</v>
      </c>
      <c r="B8" t="n">
        <v>13200</v>
      </c>
    </row>
    <row r="9">
      <c r="A9" t="n">
        <v>2017</v>
      </c>
      <c r="B9" t="n">
        <v>14400</v>
      </c>
    </row>
    <row r="10">
      <c r="A10" t="n">
        <v>2018</v>
      </c>
      <c r="B10" t="n">
        <v>15312</v>
      </c>
    </row>
    <row r="11">
      <c r="A11" t="n">
        <v>2019</v>
      </c>
      <c r="B11" t="n">
        <v>16037.04</v>
      </c>
    </row>
    <row r="12">
      <c r="A12" t="n">
        <v>2020</v>
      </c>
      <c r="B12" t="n">
        <v>16780.2</v>
      </c>
    </row>
    <row r="13">
      <c r="A13" t="n">
        <v>2021</v>
      </c>
      <c r="B13" t="n">
        <v>17483</v>
      </c>
    </row>
    <row r="14">
      <c r="A14">
        <f>A13+1</f>
        <v/>
      </c>
      <c r="B14" t="n">
        <v>18001</v>
      </c>
    </row>
    <row r="15">
      <c r="A15">
        <f>A14+1</f>
        <v/>
      </c>
      <c r="B15" t="n">
        <v>18940</v>
      </c>
    </row>
    <row r="16">
      <c r="A16">
        <f>A15+1</f>
        <v/>
      </c>
      <c r="B16" t="n">
        <v>18940</v>
      </c>
    </row>
    <row r="17">
      <c r="A17">
        <f>A16+1</f>
        <v/>
      </c>
      <c r="B17" t="n">
        <v>1</v>
      </c>
    </row>
    <row r="18">
      <c r="A18">
        <f>A17+1</f>
        <v/>
      </c>
      <c r="B18" t="n">
        <v>1</v>
      </c>
    </row>
    <row r="19">
      <c r="A19">
        <f>A18+1</f>
        <v/>
      </c>
      <c r="B19" t="n">
        <v>1</v>
      </c>
    </row>
    <row r="20">
      <c r="A20">
        <f>A19+1</f>
        <v/>
      </c>
      <c r="B20" t="n">
        <v>1</v>
      </c>
    </row>
    <row r="21">
      <c r="A21">
        <f>A20+1</f>
        <v/>
      </c>
      <c r="B21" t="n">
        <v>1</v>
      </c>
    </row>
    <row r="22">
      <c r="A22">
        <f>A21+1</f>
        <v/>
      </c>
      <c r="B22" t="n">
        <v>1</v>
      </c>
    </row>
    <row r="23">
      <c r="A23">
        <f>A22+1</f>
        <v/>
      </c>
      <c r="B23" t="n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6">
    <outlinePr summaryBelow="1" summaryRight="1"/>
    <pageSetUpPr/>
  </sheetPr>
  <dimension ref="A1:G41"/>
  <sheetViews>
    <sheetView topLeftCell="A19" workbookViewId="0">
      <selection activeCell="J37" sqref="J37"/>
    </sheetView>
  </sheetViews>
  <sheetFormatPr baseColWidth="8" defaultColWidth="8.6640625" defaultRowHeight="14.4"/>
  <cols>
    <col width="8.6640625" customWidth="1" style="73" min="1" max="4"/>
    <col width="22.109375" customWidth="1" style="73" min="5" max="5"/>
    <col width="8.6640625" customWidth="1" style="73" min="6" max="16384"/>
  </cols>
  <sheetData>
    <row r="1">
      <c r="B1" s="74" t="inlineStr">
        <is>
          <t>CPI</t>
        </is>
      </c>
      <c r="C1" s="74" t="inlineStr">
        <is>
          <t>Inflation</t>
        </is>
      </c>
    </row>
    <row r="2">
      <c r="A2" s="73" t="n">
        <v>1988</v>
      </c>
      <c r="B2" s="73" t="n">
        <v>10.7</v>
      </c>
      <c r="C2" s="75" t="n"/>
      <c r="D2" s="73" t="n">
        <v>100</v>
      </c>
      <c r="G2" s="73" t="n">
        <v>10.7</v>
      </c>
    </row>
    <row r="3">
      <c r="A3" s="73">
        <f>A2+1</f>
        <v/>
      </c>
      <c r="B3" s="73" t="n">
        <v>12.2</v>
      </c>
      <c r="C3" s="75">
        <f>B3/B2-1</f>
        <v/>
      </c>
      <c r="D3" s="73">
        <f>+D2*(1+C3+1%)</f>
        <v/>
      </c>
      <c r="E3" s="73">
        <f>+D2*(1+C3)</f>
        <v/>
      </c>
      <c r="F3" s="662">
        <f>1+C3</f>
        <v/>
      </c>
      <c r="G3" s="73" t="n">
        <v>12.2</v>
      </c>
    </row>
    <row r="4">
      <c r="A4" s="73">
        <f>A3+1</f>
        <v/>
      </c>
      <c r="B4" s="73" t="n">
        <v>13.8</v>
      </c>
      <c r="C4" s="75">
        <f>B4/B3-1</f>
        <v/>
      </c>
      <c r="D4" s="73">
        <f>+D3*(1+C4+1%)</f>
        <v/>
      </c>
      <c r="E4" s="73">
        <f>+D3*(1+C4)</f>
        <v/>
      </c>
      <c r="F4" s="662">
        <f>1+C4</f>
        <v/>
      </c>
      <c r="G4" s="73" t="n">
        <v>13.8</v>
      </c>
    </row>
    <row r="5">
      <c r="A5" s="73">
        <f>A4+1</f>
        <v/>
      </c>
      <c r="B5" s="73" t="n">
        <v>15.9</v>
      </c>
      <c r="C5" s="75">
        <f>B5/B4-1</f>
        <v/>
      </c>
      <c r="D5" s="73">
        <f>+D4*(1+C5+1%)</f>
        <v/>
      </c>
      <c r="E5" s="73">
        <f>+D4*(1+C5)</f>
        <v/>
      </c>
      <c r="F5" s="662">
        <f>1+C5</f>
        <v/>
      </c>
      <c r="G5" s="73" t="n">
        <v>15.9</v>
      </c>
    </row>
    <row r="6">
      <c r="A6" s="73">
        <f>A5+1</f>
        <v/>
      </c>
      <c r="B6" s="73" t="n">
        <v>18.2</v>
      </c>
      <c r="C6" s="75">
        <f>B6/B5-1</f>
        <v/>
      </c>
      <c r="D6" s="73">
        <f>+D5*(1+C6+1%)</f>
        <v/>
      </c>
      <c r="E6" s="73">
        <f>+D5*(1+C6)</f>
        <v/>
      </c>
      <c r="F6" s="662">
        <f>1+C6</f>
        <v/>
      </c>
      <c r="G6" s="73" t="n">
        <v>18.2</v>
      </c>
    </row>
    <row r="7">
      <c r="A7" s="73">
        <f>A6+1</f>
        <v/>
      </c>
      <c r="B7" s="73" t="n">
        <v>21.2</v>
      </c>
      <c r="C7" s="75">
        <f>B7/B6-1</f>
        <v/>
      </c>
      <c r="D7" s="73">
        <f>+D6*(1+C7+1%)</f>
        <v/>
      </c>
      <c r="E7" s="73">
        <f>+D6*(1+C7)</f>
        <v/>
      </c>
      <c r="F7" s="662">
        <f>1+C7</f>
        <v/>
      </c>
      <c r="G7" s="73" t="n">
        <v>21.2</v>
      </c>
    </row>
    <row r="8">
      <c r="A8" s="73">
        <f>A7+1</f>
        <v/>
      </c>
      <c r="B8" s="73" t="n">
        <v>23.2</v>
      </c>
      <c r="C8" s="75">
        <f>B8/B7-1</f>
        <v/>
      </c>
      <c r="D8" s="73">
        <f>+D7*(1+C8+1%)</f>
        <v/>
      </c>
      <c r="E8" s="73">
        <f>+D7*(1+C8)</f>
        <v/>
      </c>
      <c r="F8" s="662">
        <f>1+C8</f>
        <v/>
      </c>
      <c r="G8" s="73" t="n">
        <v>23.2</v>
      </c>
    </row>
    <row r="9">
      <c r="A9" s="73">
        <f>A8+1</f>
        <v/>
      </c>
      <c r="B9" s="73" t="n">
        <v>25.4</v>
      </c>
      <c r="C9" s="75">
        <f>B9/B8-1</f>
        <v/>
      </c>
      <c r="D9" s="73">
        <f>+D8*(1+C9+1%)</f>
        <v/>
      </c>
      <c r="E9" s="73">
        <f>+D8*(1+C9)</f>
        <v/>
      </c>
      <c r="F9" s="662">
        <f>1+C9</f>
        <v/>
      </c>
      <c r="G9" s="73" t="n">
        <v>25.4</v>
      </c>
    </row>
    <row r="10">
      <c r="A10" s="73">
        <f>A9+1</f>
        <v/>
      </c>
      <c r="B10" s="73" t="n">
        <v>27.9</v>
      </c>
      <c r="C10" s="75">
        <f>B10/B9-1</f>
        <v/>
      </c>
      <c r="D10" s="73">
        <f>+D9*(1+C10+1%)</f>
        <v/>
      </c>
      <c r="E10" s="73">
        <f>+D9*(1+C10)</f>
        <v/>
      </c>
      <c r="F10" s="662">
        <f>1+C10</f>
        <v/>
      </c>
      <c r="G10" s="73" t="n">
        <v>27.9</v>
      </c>
    </row>
    <row r="11">
      <c r="A11" s="73">
        <f>A10+1</f>
        <v/>
      </c>
      <c r="B11" s="73" t="n">
        <v>29.8</v>
      </c>
      <c r="C11" s="75">
        <f>B11/B10-1</f>
        <v/>
      </c>
      <c r="D11" s="73">
        <f>+D10*(1+C11+1%)</f>
        <v/>
      </c>
      <c r="E11" s="73">
        <f>+D10*(1+C11)</f>
        <v/>
      </c>
      <c r="F11" s="662">
        <f>1+C11</f>
        <v/>
      </c>
      <c r="G11" s="73" t="n">
        <v>29.8</v>
      </c>
    </row>
    <row r="12">
      <c r="A12" s="73">
        <f>A11+1</f>
        <v/>
      </c>
      <c r="B12" s="73" t="n">
        <v>32.6</v>
      </c>
      <c r="C12" s="75">
        <f>B12/B11-1</f>
        <v/>
      </c>
      <c r="D12" s="73">
        <f>+D11*(1+C12+1%)</f>
        <v/>
      </c>
      <c r="E12" s="73">
        <f>+D11*(1+C12)</f>
        <v/>
      </c>
      <c r="F12" s="662">
        <f>1+C12</f>
        <v/>
      </c>
      <c r="G12" s="73" t="n">
        <v>32.6</v>
      </c>
    </row>
    <row r="13">
      <c r="A13" s="73">
        <f>A12+1</f>
        <v/>
      </c>
      <c r="B13" s="73" t="n">
        <v>34.5</v>
      </c>
      <c r="C13" s="75">
        <f>B13/B12-1</f>
        <v/>
      </c>
      <c r="D13" s="73">
        <f>+D12*(1+C13+1%)</f>
        <v/>
      </c>
      <c r="E13" s="73">
        <f>+D12*(1+C13)</f>
        <v/>
      </c>
      <c r="F13" s="662">
        <f>1+C13</f>
        <v/>
      </c>
      <c r="G13" s="73" t="n">
        <v>34.5</v>
      </c>
    </row>
    <row r="14">
      <c r="A14" s="73">
        <f>A13+1</f>
        <v/>
      </c>
      <c r="B14" s="73" t="n">
        <v>37.5</v>
      </c>
      <c r="C14" s="75">
        <f>B14/B13-1</f>
        <v/>
      </c>
      <c r="D14" s="73">
        <f>+D13*(1+C14+1%)</f>
        <v/>
      </c>
      <c r="E14" s="73">
        <f>+D13*(1+C14)</f>
        <v/>
      </c>
      <c r="F14" s="662">
        <f>1+C14</f>
        <v/>
      </c>
      <c r="G14" s="73" t="n">
        <v>37.5</v>
      </c>
    </row>
    <row r="15">
      <c r="A15" s="73">
        <f>A14+1</f>
        <v/>
      </c>
      <c r="B15" s="73" t="n">
        <v>38.6</v>
      </c>
      <c r="C15" s="75">
        <f>B15/B14-1</f>
        <v/>
      </c>
      <c r="D15" s="73">
        <f>+D14*(1+C15+1%)</f>
        <v/>
      </c>
      <c r="E15" s="73">
        <f>+D14*(1+C15)</f>
        <v/>
      </c>
      <c r="F15" s="662">
        <f>1+C15</f>
        <v/>
      </c>
      <c r="G15" s="73" t="n">
        <v>38.6</v>
      </c>
    </row>
    <row r="16">
      <c r="A16" s="73">
        <f>A15+1</f>
        <v/>
      </c>
      <c r="B16" s="73" t="n">
        <v>41.3</v>
      </c>
      <c r="C16" s="75">
        <f>B16/B15-1</f>
        <v/>
      </c>
      <c r="D16" s="73">
        <f>+D15*(1+C16+1%)</f>
        <v/>
      </c>
      <c r="E16" s="73">
        <f>+D15*(1+C16)</f>
        <v/>
      </c>
      <c r="F16" s="662">
        <f>1+C16</f>
        <v/>
      </c>
      <c r="G16" s="73" t="n">
        <v>41.3</v>
      </c>
    </row>
    <row r="17">
      <c r="A17" s="73">
        <f>A16+1</f>
        <v/>
      </c>
      <c r="B17" s="73" t="n">
        <v>43.4</v>
      </c>
      <c r="C17" s="75">
        <f>B17/B16-1</f>
        <v/>
      </c>
      <c r="D17" s="73">
        <f>+D16*(1+C17+1%)</f>
        <v/>
      </c>
      <c r="E17" s="73">
        <f>+D16*(1+C17)</f>
        <v/>
      </c>
      <c r="F17" s="662">
        <f>1+C17</f>
        <v/>
      </c>
      <c r="G17" s="73" t="n">
        <v>43.4</v>
      </c>
    </row>
    <row r="18">
      <c r="A18" s="73">
        <f>A17+1</f>
        <v/>
      </c>
      <c r="B18" s="73" t="n">
        <v>48.4</v>
      </c>
      <c r="C18" s="75">
        <f>B18/B17-1</f>
        <v/>
      </c>
      <c r="D18" s="73">
        <f>+D17*(1+C18+1%)</f>
        <v/>
      </c>
      <c r="E18" s="73">
        <f>+D17*(1+C18)</f>
        <v/>
      </c>
      <c r="F18" s="662">
        <f>1+C18</f>
        <v/>
      </c>
      <c r="G18" s="73" t="n">
        <v>48.4</v>
      </c>
    </row>
    <row r="19">
      <c r="A19" s="73">
        <f>A18+1</f>
        <v/>
      </c>
      <c r="B19" s="73" t="n">
        <v>48.4</v>
      </c>
      <c r="C19" s="75">
        <f>B19/B18-1</f>
        <v/>
      </c>
      <c r="D19" s="73">
        <f>+D18*(1+C19+1%)</f>
        <v/>
      </c>
      <c r="E19" s="73">
        <f>+D18*(1+C19)</f>
        <v/>
      </c>
      <c r="F19" s="662">
        <f>1+C19</f>
        <v/>
      </c>
      <c r="G19" s="73" t="n">
        <v>48.4</v>
      </c>
    </row>
    <row r="20">
      <c r="A20" s="73">
        <f>A19+1</f>
        <v/>
      </c>
      <c r="B20" s="73" t="n">
        <v>49.9</v>
      </c>
      <c r="C20" s="75">
        <f>B20/B19-1</f>
        <v/>
      </c>
      <c r="D20" s="73">
        <f>+D19*(1+C20+1%)</f>
        <v/>
      </c>
      <c r="E20" s="73">
        <f>+D19*(1+C20)</f>
        <v/>
      </c>
      <c r="F20" s="662">
        <f>1+C20</f>
        <v/>
      </c>
      <c r="G20" s="73" t="n">
        <v>49.9</v>
      </c>
    </row>
    <row r="21">
      <c r="A21" s="73">
        <f>A20+1</f>
        <v/>
      </c>
      <c r="B21" s="73" t="n">
        <v>51.8</v>
      </c>
      <c r="C21" s="75">
        <f>B21/B20-1</f>
        <v/>
      </c>
      <c r="D21" s="73">
        <f>+D20*(1+C21+1%)</f>
        <v/>
      </c>
      <c r="E21" s="73">
        <f>+D20*(1+C21)</f>
        <v/>
      </c>
      <c r="F21" s="662">
        <f>1+C21</f>
        <v/>
      </c>
      <c r="G21" s="73" t="n">
        <v>51.8</v>
      </c>
    </row>
    <row r="22">
      <c r="A22" s="73">
        <f>A21+1</f>
        <v/>
      </c>
      <c r="B22" s="73" t="n">
        <v>54.9</v>
      </c>
      <c r="C22" s="75">
        <f>B22/B21-1</f>
        <v/>
      </c>
      <c r="D22" s="73">
        <f>+D21*(1+C22+1%)</f>
        <v/>
      </c>
      <c r="E22" s="73">
        <f>+D21*(1+C22)</f>
        <v/>
      </c>
      <c r="F22" s="662">
        <f>1+C22</f>
        <v/>
      </c>
      <c r="G22" s="73" t="n">
        <v>54.9</v>
      </c>
    </row>
    <row r="23">
      <c r="A23" s="73">
        <f>A22+1</f>
        <v/>
      </c>
      <c r="B23" s="73" t="n">
        <v>60</v>
      </c>
      <c r="C23" s="75">
        <f>B23/B22-1</f>
        <v/>
      </c>
      <c r="D23" s="73">
        <f>+D22*(1+C23+1%)</f>
        <v/>
      </c>
      <c r="E23" s="73">
        <f>+D22*(1+C23)</f>
        <v/>
      </c>
      <c r="F23" s="662">
        <f>1+C23</f>
        <v/>
      </c>
      <c r="G23" s="73" t="n">
        <v>60</v>
      </c>
    </row>
    <row r="24">
      <c r="A24" s="73">
        <f>A23+1</f>
        <v/>
      </c>
      <c r="B24" s="73" t="n">
        <v>65.3</v>
      </c>
      <c r="C24" s="75">
        <f>B24/B23-1</f>
        <v/>
      </c>
      <c r="D24" s="73">
        <f>+D23*(1+C24+1%)</f>
        <v/>
      </c>
      <c r="E24" s="73">
        <f>+D23*(1+C24)</f>
        <v/>
      </c>
      <c r="F24" s="662">
        <f>1+C24</f>
        <v/>
      </c>
      <c r="G24" s="73" t="n">
        <v>65.3</v>
      </c>
    </row>
    <row r="25">
      <c r="A25" s="73">
        <f>A24+1</f>
        <v/>
      </c>
      <c r="B25" s="73" t="n">
        <v>69.3</v>
      </c>
      <c r="C25" s="75">
        <f>B25/B24-1</f>
        <v/>
      </c>
      <c r="D25" s="73">
        <f>+D24*(1+C25+1%)</f>
        <v/>
      </c>
      <c r="E25" s="73">
        <f>+D24*(1+C25)</f>
        <v/>
      </c>
      <c r="F25" s="662">
        <f>1+C25</f>
        <v/>
      </c>
      <c r="G25" s="73" t="n">
        <v>69.3</v>
      </c>
    </row>
    <row r="26">
      <c r="A26" s="73">
        <f>A25+1</f>
        <v/>
      </c>
      <c r="B26" s="73" t="n">
        <v>71.90000000000001</v>
      </c>
      <c r="C26" s="75">
        <f>B26/B25-1</f>
        <v/>
      </c>
      <c r="D26" s="73">
        <f>+D25*(1+C26+1%)</f>
        <v/>
      </c>
      <c r="E26" s="73">
        <f>+D25*(1+C26)</f>
        <v/>
      </c>
      <c r="F26" s="662">
        <f>1+C26</f>
        <v/>
      </c>
      <c r="G26" s="73" t="n">
        <v>71.90000000000001</v>
      </c>
    </row>
    <row r="27">
      <c r="A27" s="73">
        <f>A26+1</f>
        <v/>
      </c>
      <c r="B27" s="73" t="n">
        <v>76.3</v>
      </c>
      <c r="C27" s="75">
        <f>B27/B26-1</f>
        <v/>
      </c>
      <c r="D27" s="73">
        <f>+D26*(1+C27+1%)</f>
        <v/>
      </c>
      <c r="E27" s="73">
        <f>+D26*(1+C27)</f>
        <v/>
      </c>
      <c r="F27" s="662">
        <f>1+C27</f>
        <v/>
      </c>
      <c r="G27" s="73" t="n">
        <v>76.3</v>
      </c>
    </row>
    <row r="28">
      <c r="A28" s="73">
        <f>A27+1</f>
        <v/>
      </c>
      <c r="B28" s="73" t="n">
        <v>80.40000000000001</v>
      </c>
      <c r="C28" s="75">
        <f>B28/B27-1</f>
        <v/>
      </c>
      <c r="D28" s="73">
        <f>+D27*(1+C28+1%)</f>
        <v/>
      </c>
      <c r="E28" s="73">
        <f>+D27*(1+C28)</f>
        <v/>
      </c>
      <c r="F28" s="662">
        <f>1+C28</f>
        <v/>
      </c>
      <c r="G28" s="73" t="n">
        <v>80.40000000000001</v>
      </c>
    </row>
    <row r="29">
      <c r="A29" s="73">
        <f>A28+1</f>
        <v/>
      </c>
      <c r="B29" s="73" t="n">
        <v>85.09999999999999</v>
      </c>
      <c r="C29" s="75">
        <f>B29/B28-1</f>
        <v/>
      </c>
      <c r="D29" s="73">
        <f>+D28*(1+C29+1%)</f>
        <v/>
      </c>
      <c r="E29" s="73">
        <f>+D28*(1+C29)</f>
        <v/>
      </c>
      <c r="F29" s="662">
        <f>1+C29</f>
        <v/>
      </c>
      <c r="G29" s="73" t="n">
        <v>85.09999999999999</v>
      </c>
    </row>
    <row r="30">
      <c r="A30" s="73">
        <f>A29+1</f>
        <v/>
      </c>
      <c r="B30" s="73" t="n">
        <v>88.90000000000001</v>
      </c>
      <c r="C30" s="75">
        <f>B30/B29-1</f>
        <v/>
      </c>
      <c r="D30" s="73">
        <f>+D29*(1+C30+1%)</f>
        <v/>
      </c>
      <c r="E30" s="73">
        <f>+D29*(1+C30)</f>
        <v/>
      </c>
      <c r="F30" s="662">
        <f>1+C30</f>
        <v/>
      </c>
      <c r="G30" s="73" t="n">
        <v>88.90000000000001</v>
      </c>
    </row>
    <row r="31">
      <c r="A31" s="73">
        <f>A30+1</f>
        <v/>
      </c>
      <c r="B31" s="73" t="n">
        <v>94.40000000000001</v>
      </c>
      <c r="C31" s="75">
        <f>B31/B30-1</f>
        <v/>
      </c>
      <c r="D31" s="73">
        <f>+D30*(1+C31+1%)</f>
        <v/>
      </c>
      <c r="E31" s="73">
        <f>+D30*(1+C31)</f>
        <v/>
      </c>
      <c r="F31" s="662">
        <f>1+C31</f>
        <v/>
      </c>
      <c r="G31" s="73" t="n">
        <v>94.40000000000001</v>
      </c>
    </row>
    <row r="32">
      <c r="A32" s="73">
        <f>A31+1</f>
        <v/>
      </c>
      <c r="B32" s="73" t="n">
        <v>100.6</v>
      </c>
      <c r="C32" s="75">
        <f>B32/B31-1</f>
        <v/>
      </c>
      <c r="D32" s="73">
        <f>+D31*(1+C32+1%)</f>
        <v/>
      </c>
      <c r="E32" s="73">
        <f>+D31*(1+C32)</f>
        <v/>
      </c>
      <c r="F32" s="662">
        <f>1+C32</f>
        <v/>
      </c>
      <c r="G32" s="73" t="n">
        <v>100.6</v>
      </c>
    </row>
    <row r="33">
      <c r="A33" s="73">
        <f>A32+1</f>
        <v/>
      </c>
      <c r="B33" s="73" t="n">
        <v>105</v>
      </c>
      <c r="C33" s="75">
        <f>B33/B32-1</f>
        <v/>
      </c>
      <c r="D33" s="73">
        <f>+D32*(1+C33+1%)</f>
        <v/>
      </c>
      <c r="E33" s="73">
        <f>+D32*(1+C33)</f>
        <v/>
      </c>
      <c r="F33" s="662">
        <f>1+C33</f>
        <v/>
      </c>
      <c r="G33" s="73" t="n">
        <v>105</v>
      </c>
    </row>
    <row r="34">
      <c r="A34" s="73">
        <f>A33+1</f>
        <v/>
      </c>
      <c r="B34" s="73" t="n">
        <v>109.2</v>
      </c>
      <c r="C34" s="75">
        <f>B34/B33-1</f>
        <v/>
      </c>
      <c r="D34" s="73">
        <f>+D33*(1+C34+1%)</f>
        <v/>
      </c>
      <c r="E34" s="73">
        <f>+D33*(1+C34)</f>
        <v/>
      </c>
      <c r="F34" s="662">
        <f>1+C34</f>
        <v/>
      </c>
    </row>
    <row r="35">
      <c r="A35" s="73">
        <f>A34+1</f>
        <v/>
      </c>
      <c r="B35" s="73" t="n">
        <v>114.1</v>
      </c>
      <c r="C35" s="75">
        <f>B35/B34-1</f>
        <v/>
      </c>
      <c r="D35" s="73">
        <f>+D34*(1+C35+1%)</f>
        <v/>
      </c>
      <c r="E35" s="73">
        <f>+D34*(1+C35)</f>
        <v/>
      </c>
      <c r="F35" s="662">
        <f>1+C35</f>
        <v/>
      </c>
    </row>
    <row r="36">
      <c r="A36" s="73">
        <f>A35+1</f>
        <v/>
      </c>
      <c r="B36" s="73" t="n">
        <v>117.7</v>
      </c>
      <c r="C36" s="75">
        <f>B36/B35-1</f>
        <v/>
      </c>
      <c r="D36" s="73">
        <f>+D35*(1+C36+1%)</f>
        <v/>
      </c>
      <c r="E36" s="73">
        <f>+D35*(1+C36)</f>
        <v/>
      </c>
      <c r="F36" s="662">
        <f>1+C36</f>
        <v/>
      </c>
    </row>
    <row r="37">
      <c r="A37" t="n">
        <v>2023</v>
      </c>
      <c r="B37" s="73" t="n">
        <v>100.2</v>
      </c>
      <c r="C37" s="396" t="n">
        <v>0.0569620253164558</v>
      </c>
      <c r="D37" s="73">
        <f>+D36*(1+C37+1%)</f>
        <v/>
      </c>
      <c r="E37" s="73">
        <f>+D36*(1+C37)</f>
        <v/>
      </c>
      <c r="F37" s="663">
        <f>1+C37</f>
        <v/>
      </c>
    </row>
    <row r="38">
      <c r="A38" t="n">
        <v>2024</v>
      </c>
      <c r="B38" s="73" t="n">
        <v>107.1</v>
      </c>
      <c r="C38" s="75">
        <f>B38/B37-1</f>
        <v/>
      </c>
      <c r="D38" s="73">
        <f>+D37*(1+C38+1%)</f>
        <v/>
      </c>
      <c r="E38" s="73">
        <f>+D37*(1+C38)</f>
        <v/>
      </c>
      <c r="F38" s="663">
        <f>1+C38</f>
        <v/>
      </c>
    </row>
    <row r="39">
      <c r="A39" s="73" t="n">
        <v>2025</v>
      </c>
      <c r="B39" s="73" t="n">
        <v>97.2</v>
      </c>
      <c r="C39" s="75" t="n">
        <v>0.0532212885154062</v>
      </c>
      <c r="D39" s="73">
        <f>+D38*(1+C39+1%)</f>
        <v/>
      </c>
      <c r="E39" s="73">
        <f>+D38*(1+C39)</f>
        <v/>
      </c>
      <c r="F39" s="663">
        <f>1+C39</f>
        <v/>
      </c>
    </row>
    <row r="40">
      <c r="A40" t="n">
        <v>2026</v>
      </c>
      <c r="B40" s="73" t="n">
        <v>100.3</v>
      </c>
      <c r="C40" s="75">
        <f>B40/B39-1</f>
        <v/>
      </c>
      <c r="D40" s="73">
        <f>+D39*(1+C40+1%)</f>
        <v/>
      </c>
      <c r="E40" s="73">
        <f>+D39*(1+C40)</f>
        <v/>
      </c>
      <c r="F40" s="663">
        <f>1+C40</f>
        <v/>
      </c>
    </row>
    <row r="41">
      <c r="A41" s="73" t="n">
        <v>2027</v>
      </c>
      <c r="B41" s="73" t="n">
        <v>103.8</v>
      </c>
      <c r="C41" s="75">
        <f>B41/B40-1</f>
        <v/>
      </c>
      <c r="D41" s="73">
        <f>+D40*(1+C41+1%)</f>
        <v/>
      </c>
      <c r="E41" s="73">
        <f>+D40*(1+C41)</f>
        <v/>
      </c>
      <c r="F41" s="663">
        <f>1+C41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G5"/>
  <sheetViews>
    <sheetView workbookViewId="0">
      <selection activeCell="K23" sqref="K23"/>
    </sheetView>
  </sheetViews>
  <sheetFormatPr baseColWidth="8" defaultRowHeight="13.2"/>
  <cols>
    <col width="22.33203125" bestFit="1" customWidth="1" min="1" max="1"/>
  </cols>
  <sheetData>
    <row r="1">
      <c r="B1" t="inlineStr">
        <is>
          <t>Tax Rebate​​</t>
        </is>
      </c>
      <c r="C1" t="inlineStr">
        <is>
          <t>​</t>
        </is>
      </c>
      <c r="D1" t="inlineStr">
        <is>
          <t>​</t>
        </is>
      </c>
      <c r="E1" t="inlineStr">
        <is>
          <t>​ ​ Tax Year​ ​ ​ ​ ​</t>
        </is>
      </c>
    </row>
    <row r="2">
      <c r="B2" t="inlineStr">
        <is>
          <t>​2020</t>
        </is>
      </c>
      <c r="C2" t="inlineStr">
        <is>
          <t>​2019</t>
        </is>
      </c>
      <c r="D2" t="inlineStr">
        <is>
          <t>​2018</t>
        </is>
      </c>
      <c r="E2" t="n">
        <v>2017</v>
      </c>
      <c r="F2" t="inlineStr">
        <is>
          <t xml:space="preserve">​2016    </t>
        </is>
      </c>
      <c r="G2" t="inlineStr">
        <is>
          <t>​2015</t>
        </is>
      </c>
    </row>
    <row r="3">
      <c r="A3" t="inlineStr">
        <is>
          <t>​Primary</t>
        </is>
      </c>
      <c r="B3" s="49" t="inlineStr">
        <is>
          <t>14220</t>
        </is>
      </c>
      <c r="C3" s="72" t="n">
        <v>14067</v>
      </c>
      <c r="D3" s="49" t="inlineStr">
        <is>
          <t>13635</t>
        </is>
      </c>
      <c r="E3" s="49" t="inlineStr">
        <is>
          <t>13500</t>
        </is>
      </c>
      <c r="F3" s="49" t="inlineStr">
        <is>
          <t>13257</t>
        </is>
      </c>
      <c r="G3" s="49" t="inlineStr">
        <is>
          <t>12726</t>
        </is>
      </c>
    </row>
    <row r="4">
      <c r="A4" t="inlineStr">
        <is>
          <t>​Secondary (65 and older)</t>
        </is>
      </c>
      <c r="B4" s="49" t="inlineStr">
        <is>
          <t>7794</t>
        </is>
      </c>
      <c r="C4" s="49" t="inlineStr">
        <is>
          <t>7713</t>
        </is>
      </c>
      <c r="D4" s="49" t="inlineStr">
        <is>
          <t>7479</t>
        </is>
      </c>
      <c r="E4" s="49" t="inlineStr">
        <is>
          <t>7407</t>
        </is>
      </c>
      <c r="F4" s="49" t="inlineStr">
        <is>
          <t>7407</t>
        </is>
      </c>
      <c r="G4" s="49" t="inlineStr">
        <is>
          <t>7110</t>
        </is>
      </c>
    </row>
    <row r="5">
      <c r="A5" t="inlineStr">
        <is>
          <t>​Tertiary (75 and older)</t>
        </is>
      </c>
      <c r="B5" s="49" t="inlineStr">
        <is>
          <t>2601</t>
        </is>
      </c>
      <c r="C5" s="49" t="inlineStr">
        <is>
          <t>2574</t>
        </is>
      </c>
      <c r="D5" s="49" t="inlineStr">
        <is>
          <t>2493</t>
        </is>
      </c>
      <c r="E5" s="49" t="inlineStr">
        <is>
          <t>2466</t>
        </is>
      </c>
      <c r="F5" s="49" t="inlineStr">
        <is>
          <t>2466</t>
        </is>
      </c>
      <c r="G5" s="49" t="inlineStr">
        <is>
          <t>2367</t>
        </is>
      </c>
    </row>
  </sheetData>
  <pageMargins left="0.7" right="0.7" top="0.75" bottom="0.75" header="0.3" footer="0.3"/>
  <pageSetup orientation="portrait" horizontalDpi="4294967293" verticalDpi="0"/>
</worksheet>
</file>

<file path=xl/worksheets/sheet13.xml><?xml version="1.0" encoding="utf-8"?>
<worksheet xmlns="http://schemas.openxmlformats.org/spreadsheetml/2006/main">
  <sheetPr codeName="Sheet14">
    <outlinePr summaryBelow="1" summaryRight="1"/>
    <pageSetUpPr/>
  </sheetPr>
  <dimension ref="A2:B7"/>
  <sheetViews>
    <sheetView workbookViewId="0">
      <selection activeCell="F36" sqref="F36"/>
    </sheetView>
  </sheetViews>
  <sheetFormatPr baseColWidth="8" defaultRowHeight="13.2"/>
  <cols>
    <col width="20.5546875" bestFit="1" customWidth="1" min="1" max="1"/>
    <col width="10.33203125" bestFit="1" customWidth="1" min="2" max="2"/>
  </cols>
  <sheetData>
    <row r="2">
      <c r="A2" t="inlineStr">
        <is>
          <t>Date of Accident</t>
        </is>
      </c>
      <c r="B2" s="90">
        <f>DoA</f>
        <v/>
      </c>
    </row>
    <row r="3">
      <c r="A3" t="inlineStr">
        <is>
          <t>Date of Birth</t>
        </is>
      </c>
      <c r="B3" s="90">
        <f>DoB</f>
        <v/>
      </c>
    </row>
    <row r="4">
      <c r="A4" t="inlineStr">
        <is>
          <t>Age at Date of Accident</t>
        </is>
      </c>
      <c r="B4" s="620">
        <f>DATEDIF(B3,B2,"M")/12</f>
        <v/>
      </c>
    </row>
    <row r="5">
      <c r="A5" t="inlineStr">
        <is>
          <t>Life expectancy</t>
        </is>
      </c>
      <c r="B5" s="620" t="n">
        <v>31.87</v>
      </c>
    </row>
    <row r="6">
      <c r="A6" t="inlineStr">
        <is>
          <t>Curtailed Life</t>
        </is>
      </c>
      <c r="B6">
        <f>B5-10</f>
        <v/>
      </c>
    </row>
    <row r="7">
      <c r="A7" t="inlineStr">
        <is>
          <t>Age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0">
    <outlinePr summaryBelow="1" summaryRight="1"/>
    <pageSetUpPr/>
  </sheetPr>
  <dimension ref="A1:J106"/>
  <sheetViews>
    <sheetView workbookViewId="0">
      <pane ySplit="6" topLeftCell="A82" activePane="bottomLeft" state="frozen"/>
      <selection pane="bottomLeft" activeCell="K53" sqref="K53"/>
    </sheetView>
  </sheetViews>
  <sheetFormatPr baseColWidth="8" defaultColWidth="8.6640625" defaultRowHeight="13.2"/>
  <cols>
    <col width="8.6640625" customWidth="1" style="72" min="1" max="1"/>
  </cols>
  <sheetData>
    <row r="1" ht="15.6" customHeight="1">
      <c r="A1" s="67" t="n"/>
      <c r="B1" s="62" t="inlineStr">
        <is>
          <t>LIFE TABLE 2 - INCOME R650001 TO R950000 py</t>
        </is>
      </c>
      <c r="C1" s="61" t="n"/>
      <c r="D1" s="61" t="n"/>
      <c r="E1" s="61" t="n"/>
      <c r="F1" s="61" t="n"/>
      <c r="G1" s="61" t="n"/>
      <c r="H1" s="61" t="n"/>
    </row>
    <row r="2" ht="13.8" customHeight="1">
      <c r="A2" s="67" t="n"/>
      <c r="B2" s="61" t="n"/>
      <c r="C2" s="61" t="n"/>
      <c r="D2" s="61" t="n"/>
      <c r="E2" s="61" t="n"/>
      <c r="F2" s="61" t="n"/>
      <c r="G2" s="61" t="n"/>
      <c r="H2" s="61" t="n"/>
    </row>
    <row r="3" ht="13.8" customHeight="1">
      <c r="A3" s="68" t="n"/>
      <c r="B3" s="64" t="inlineStr">
        <is>
          <t>Males</t>
        </is>
      </c>
      <c r="C3" s="63" t="n"/>
      <c r="D3" s="64" t="inlineStr">
        <is>
          <t>Females</t>
        </is>
      </c>
      <c r="E3" s="63" t="n"/>
      <c r="F3" s="63" t="inlineStr">
        <is>
          <t>Joint life</t>
        </is>
      </c>
      <c r="G3" s="63" t="n"/>
      <c r="H3" s="61" t="n"/>
    </row>
    <row r="4">
      <c r="A4" s="69" t="inlineStr">
        <is>
          <t>Age</t>
        </is>
      </c>
      <c r="B4" s="57" t="inlineStr">
        <is>
          <t>Number</t>
        </is>
      </c>
      <c r="C4" s="57" t="inlineStr">
        <is>
          <t>Half-</t>
        </is>
      </c>
      <c r="D4" s="57" t="inlineStr">
        <is>
          <t>Number</t>
        </is>
      </c>
      <c r="E4" s="57" t="inlineStr">
        <is>
          <t>Half-</t>
        </is>
      </c>
      <c r="F4" s="57" t="inlineStr">
        <is>
          <t>Half-</t>
        </is>
      </c>
      <c r="G4" s="57" t="inlineStr">
        <is>
          <t>Spes</t>
        </is>
      </c>
      <c r="H4" s="57" t="inlineStr">
        <is>
          <t>Age</t>
        </is>
      </c>
    </row>
    <row r="5" ht="13.8" customHeight="1">
      <c r="A5" s="70" t="n"/>
      <c r="B5" s="57" t="inlineStr">
        <is>
          <t>alive</t>
        </is>
      </c>
      <c r="C5" s="57" t="inlineStr">
        <is>
          <t>life</t>
        </is>
      </c>
      <c r="D5" s="57" t="inlineStr">
        <is>
          <t>alive</t>
        </is>
      </c>
      <c r="E5" s="57" t="inlineStr">
        <is>
          <t>life</t>
        </is>
      </c>
      <c r="F5" s="57" t="inlineStr">
        <is>
          <t>life</t>
        </is>
      </c>
      <c r="G5" s="57" t="inlineStr">
        <is>
          <t>Inherit</t>
        </is>
      </c>
      <c r="H5" s="65" t="n"/>
    </row>
    <row r="6" ht="13.8" customHeight="1">
      <c r="A6" s="70" t="n"/>
      <c r="B6" s="57" t="inlineStr">
        <is>
          <t>(years)</t>
        </is>
      </c>
      <c r="C6" s="65" t="n"/>
      <c r="D6" s="57" t="inlineStr">
        <is>
          <t>(years)</t>
        </is>
      </c>
      <c r="E6" s="65" t="n"/>
      <c r="F6" s="57" t="inlineStr">
        <is>
          <t>(years)</t>
        </is>
      </c>
      <c r="G6" s="57" t="inlineStr">
        <is>
          <t>(2,5%py)</t>
        </is>
      </c>
      <c r="H6" s="65" t="n"/>
    </row>
    <row r="7" ht="13.8" customHeight="1">
      <c r="A7" s="71" t="n">
        <v>0</v>
      </c>
      <c r="B7" s="664" t="n">
        <v>100000</v>
      </c>
      <c r="C7" s="66" t="inlineStr">
        <is>
          <t>68,35</t>
        </is>
      </c>
      <c r="D7" s="664" t="n">
        <v>100000</v>
      </c>
      <c r="E7" s="66" t="inlineStr">
        <is>
          <t>75,79</t>
        </is>
      </c>
      <c r="F7" s="66" t="inlineStr">
        <is>
          <t>62,79</t>
        </is>
      </c>
      <c r="G7" s="61" t="n"/>
      <c r="H7" s="664" t="n">
        <v>0</v>
      </c>
    </row>
    <row r="8" ht="13.8" customHeight="1">
      <c r="A8" s="71" t="n">
        <v>1</v>
      </c>
      <c r="B8" s="664" t="n">
        <v>98940</v>
      </c>
      <c r="C8" s="66" t="inlineStr">
        <is>
          <t>68,08</t>
        </is>
      </c>
      <c r="D8" s="664" t="n">
        <v>99257</v>
      </c>
      <c r="E8" s="66" t="inlineStr">
        <is>
          <t>75,36</t>
        </is>
      </c>
      <c r="F8" s="66" t="inlineStr">
        <is>
          <t>62,93</t>
        </is>
      </c>
      <c r="G8" s="61" t="n"/>
      <c r="H8" s="664" t="n">
        <v>1</v>
      </c>
    </row>
    <row r="9" ht="13.8" customHeight="1">
      <c r="A9" s="71" t="n">
        <v>2</v>
      </c>
      <c r="B9" s="664" t="n">
        <v>98783</v>
      </c>
      <c r="C9" s="66" t="inlineStr">
        <is>
          <t>67,19</t>
        </is>
      </c>
      <c r="D9" s="664" t="n">
        <v>99127</v>
      </c>
      <c r="E9" s="66" t="inlineStr">
        <is>
          <t>74,45</t>
        </is>
      </c>
      <c r="F9" s="66" t="inlineStr">
        <is>
          <t>62,11</t>
        </is>
      </c>
      <c r="G9" s="61" t="n"/>
      <c r="H9" s="664" t="n">
        <v>2</v>
      </c>
    </row>
    <row r="10" ht="13.8" customHeight="1">
      <c r="A10" s="71" t="n">
        <v>3</v>
      </c>
      <c r="B10" s="664" t="n">
        <v>98692</v>
      </c>
      <c r="C10" s="66" t="inlineStr">
        <is>
          <t>66,25</t>
        </is>
      </c>
      <c r="D10" s="664" t="n">
        <v>99059</v>
      </c>
      <c r="E10" s="66" t="inlineStr">
        <is>
          <t>73,50</t>
        </is>
      </c>
      <c r="F10" s="66" t="inlineStr">
        <is>
          <t>61,21</t>
        </is>
      </c>
      <c r="G10" s="61" t="n"/>
      <c r="H10" s="664" t="n">
        <v>3</v>
      </c>
    </row>
    <row r="11" ht="13.8" customHeight="1">
      <c r="A11" s="71" t="n">
        <v>4</v>
      </c>
      <c r="B11" s="664" t="n">
        <v>98610</v>
      </c>
      <c r="C11" s="66" t="inlineStr">
        <is>
          <t>65,30</t>
        </is>
      </c>
      <c r="D11" s="664" t="n">
        <v>99002</v>
      </c>
      <c r="E11" s="66" t="inlineStr">
        <is>
          <t>72,55</t>
        </is>
      </c>
      <c r="F11" s="66" t="inlineStr">
        <is>
          <t>60,29</t>
        </is>
      </c>
      <c r="G11" s="61" t="n"/>
      <c r="H11" s="664" t="n">
        <v>4</v>
      </c>
    </row>
    <row r="12" ht="13.8" customHeight="1">
      <c r="A12" s="71" t="n">
        <v>5</v>
      </c>
      <c r="B12" s="664" t="n">
        <v>98540</v>
      </c>
      <c r="C12" s="66" t="inlineStr">
        <is>
          <t>64,35</t>
        </is>
      </c>
      <c r="D12" s="664" t="n">
        <v>98958</v>
      </c>
      <c r="E12" s="66" t="inlineStr">
        <is>
          <t>71,58</t>
        </is>
      </c>
      <c r="F12" s="66" t="inlineStr">
        <is>
          <t>59,36</t>
        </is>
      </c>
      <c r="G12" s="61" t="n"/>
      <c r="H12" s="664" t="n">
        <v>5</v>
      </c>
    </row>
    <row r="13" ht="13.8" customHeight="1">
      <c r="A13" s="71" t="n">
        <v>6</v>
      </c>
      <c r="B13" s="664" t="n">
        <v>98491</v>
      </c>
      <c r="C13" s="66" t="inlineStr">
        <is>
          <t>63,38</t>
        </is>
      </c>
      <c r="D13" s="664" t="n">
        <v>98921</v>
      </c>
      <c r="E13" s="66" t="inlineStr">
        <is>
          <t>70,61</t>
        </is>
      </c>
      <c r="F13" s="66" t="inlineStr">
        <is>
          <t>58,41</t>
        </is>
      </c>
      <c r="G13" s="61" t="n"/>
      <c r="H13" s="664" t="n">
        <v>6</v>
      </c>
    </row>
    <row r="14" ht="13.8" customHeight="1">
      <c r="A14" s="71" t="n">
        <v>7</v>
      </c>
      <c r="B14" s="664" t="n">
        <v>98448</v>
      </c>
      <c r="C14" s="66" t="inlineStr">
        <is>
          <t>62,41</t>
        </is>
      </c>
      <c r="D14" s="664" t="n">
        <v>98893</v>
      </c>
      <c r="E14" s="66" t="inlineStr">
        <is>
          <t>69,62</t>
        </is>
      </c>
      <c r="F14" s="66" t="inlineStr">
        <is>
          <t>57,46</t>
        </is>
      </c>
      <c r="G14" s="61" t="n"/>
      <c r="H14" s="664" t="n">
        <v>7</v>
      </c>
    </row>
    <row r="15" ht="13.8" customHeight="1">
      <c r="A15" s="71" t="n">
        <v>8</v>
      </c>
      <c r="B15" s="664" t="n">
        <v>98412</v>
      </c>
      <c r="C15" s="66" t="inlineStr">
        <is>
          <t>61,43</t>
        </is>
      </c>
      <c r="D15" s="664" t="n">
        <v>98866</v>
      </c>
      <c r="E15" s="66" t="inlineStr">
        <is>
          <t>68,64</t>
        </is>
      </c>
      <c r="F15" s="66" t="inlineStr">
        <is>
          <t>56,49</t>
        </is>
      </c>
      <c r="G15" s="61" t="n"/>
      <c r="H15" s="664" t="n">
        <v>8</v>
      </c>
    </row>
    <row r="16" ht="13.8" customHeight="1">
      <c r="A16" s="71" t="n">
        <v>9</v>
      </c>
      <c r="B16" s="664" t="n">
        <v>98382</v>
      </c>
      <c r="C16" s="66" t="inlineStr">
        <is>
          <t>60,45</t>
        </is>
      </c>
      <c r="D16" s="664" t="n">
        <v>98843</v>
      </c>
      <c r="E16" s="66" t="inlineStr">
        <is>
          <t>67,66</t>
        </is>
      </c>
      <c r="F16" s="66" t="inlineStr">
        <is>
          <t>55,52</t>
        </is>
      </c>
      <c r="G16" s="61" t="n"/>
      <c r="H16" s="664" t="n">
        <v>9</v>
      </c>
    </row>
    <row r="17" ht="13.8" customHeight="1">
      <c r="A17" s="71" t="n">
        <v>10</v>
      </c>
      <c r="B17" s="664" t="n">
        <v>98360</v>
      </c>
      <c r="C17" s="66" t="inlineStr">
        <is>
          <t>59,46</t>
        </is>
      </c>
      <c r="D17" s="664" t="n">
        <v>98823</v>
      </c>
      <c r="E17" s="66" t="inlineStr">
        <is>
          <t>66,67</t>
        </is>
      </c>
      <c r="F17" s="66" t="inlineStr">
        <is>
          <t>54,55</t>
        </is>
      </c>
      <c r="G17" s="61" t="n"/>
      <c r="H17" s="664" t="n">
        <v>10</v>
      </c>
    </row>
    <row r="18" ht="13.8" customHeight="1">
      <c r="A18" s="71" t="n">
        <v>11</v>
      </c>
      <c r="B18" s="664" t="n">
        <v>98341</v>
      </c>
      <c r="C18" s="66" t="inlineStr">
        <is>
          <t>58,47</t>
        </is>
      </c>
      <c r="D18" s="664" t="n">
        <v>98804</v>
      </c>
      <c r="E18" s="66" t="inlineStr">
        <is>
          <t>65,69</t>
        </is>
      </c>
      <c r="F18" s="66" t="inlineStr">
        <is>
          <t>53,57</t>
        </is>
      </c>
      <c r="G18" s="61" t="n"/>
      <c r="H18" s="664" t="n">
        <v>11</v>
      </c>
    </row>
    <row r="19" ht="13.8" customHeight="1">
      <c r="A19" s="71" t="n">
        <v>12</v>
      </c>
      <c r="B19" s="664" t="n">
        <v>98318</v>
      </c>
      <c r="C19" s="66" t="inlineStr">
        <is>
          <t>57,49</t>
        </is>
      </c>
      <c r="D19" s="664" t="n">
        <v>98784</v>
      </c>
      <c r="E19" s="66" t="inlineStr">
        <is>
          <t>64,70</t>
        </is>
      </c>
      <c r="F19" s="66" t="inlineStr">
        <is>
          <t>52,59</t>
        </is>
      </c>
      <c r="G19" s="61" t="n"/>
      <c r="H19" s="664" t="n">
        <v>12</v>
      </c>
    </row>
    <row r="20" ht="13.8" customHeight="1">
      <c r="A20" s="71" t="n">
        <v>13</v>
      </c>
      <c r="B20" s="664" t="n">
        <v>98285</v>
      </c>
      <c r="C20" s="66" t="inlineStr">
        <is>
          <t>56,51</t>
        </is>
      </c>
      <c r="D20" s="664" t="n">
        <v>98761</v>
      </c>
      <c r="E20" s="66" t="inlineStr">
        <is>
          <t>63,71</t>
        </is>
      </c>
      <c r="F20" s="66" t="inlineStr">
        <is>
          <t>51,62</t>
        </is>
      </c>
      <c r="G20" s="61" t="n"/>
      <c r="H20" s="664" t="n">
        <v>13</v>
      </c>
    </row>
    <row r="21" ht="13.8" customHeight="1">
      <c r="A21" s="71" t="n">
        <v>14</v>
      </c>
      <c r="B21" s="664" t="n">
        <v>98238</v>
      </c>
      <c r="C21" s="66" t="inlineStr">
        <is>
          <t>55,53</t>
        </is>
      </c>
      <c r="D21" s="664" t="n">
        <v>98734</v>
      </c>
      <c r="E21" s="66" t="inlineStr">
        <is>
          <t>62,73</t>
        </is>
      </c>
      <c r="F21" s="66" t="inlineStr">
        <is>
          <t>50,66</t>
        </is>
      </c>
      <c r="G21" s="61" t="n"/>
      <c r="H21" s="664" t="n">
        <v>14</v>
      </c>
    </row>
    <row r="22">
      <c r="A22" s="71" t="n">
        <v>15</v>
      </c>
      <c r="B22" s="664" t="n">
        <v>98172</v>
      </c>
      <c r="C22" s="66" t="inlineStr">
        <is>
          <t>54,57</t>
        </is>
      </c>
      <c r="D22" s="664" t="n">
        <v>98702</v>
      </c>
      <c r="E22" s="66" t="inlineStr">
        <is>
          <t>61,75</t>
        </is>
      </c>
      <c r="F22" s="66" t="inlineStr">
        <is>
          <t>49,71</t>
        </is>
      </c>
      <c r="G22" s="66" t="inlineStr">
        <is>
          <t>0,2087</t>
        </is>
      </c>
      <c r="H22" s="664" t="n">
        <v>15</v>
      </c>
    </row>
    <row r="23">
      <c r="A23" s="71" t="n">
        <v>16</v>
      </c>
      <c r="B23" s="664" t="n">
        <v>98085</v>
      </c>
      <c r="C23" s="66" t="inlineStr">
        <is>
          <t>53,62</t>
        </is>
      </c>
      <c r="D23" s="664" t="n">
        <v>98664</v>
      </c>
      <c r="E23" s="66" t="inlineStr">
        <is>
          <t>60,78</t>
        </is>
      </c>
      <c r="F23" s="66" t="inlineStr">
        <is>
          <t>48,77</t>
        </is>
      </c>
      <c r="G23" s="66" t="inlineStr">
        <is>
          <t>0,2133</t>
        </is>
      </c>
      <c r="H23" s="664" t="n">
        <v>16</v>
      </c>
    </row>
    <row r="24">
      <c r="A24" s="71" t="n">
        <v>17</v>
      </c>
      <c r="B24" s="664" t="n">
        <v>97975</v>
      </c>
      <c r="C24" s="66" t="inlineStr">
        <is>
          <t>52,68</t>
        </is>
      </c>
      <c r="D24" s="664" t="n">
        <v>98621</v>
      </c>
      <c r="E24" s="66" t="inlineStr">
        <is>
          <t>59,80</t>
        </is>
      </c>
      <c r="F24" s="66" t="inlineStr">
        <is>
          <t>47,85</t>
        </is>
      </c>
      <c r="G24" s="66" t="inlineStr">
        <is>
          <t>0,2178</t>
        </is>
      </c>
      <c r="H24" s="664" t="n">
        <v>17</v>
      </c>
    </row>
    <row r="25">
      <c r="A25" s="71" t="n">
        <v>18</v>
      </c>
      <c r="B25" s="664" t="n">
        <v>97841</v>
      </c>
      <c r="C25" s="66" t="inlineStr">
        <is>
          <t>51,75</t>
        </is>
      </c>
      <c r="D25" s="664" t="n">
        <v>98572</v>
      </c>
      <c r="E25" s="66" t="inlineStr">
        <is>
          <t>58,83</t>
        </is>
      </c>
      <c r="F25" s="66" t="inlineStr">
        <is>
          <t>46,93</t>
        </is>
      </c>
      <c r="G25" s="66" t="inlineStr">
        <is>
          <t>0,2223</t>
        </is>
      </c>
      <c r="H25" s="664" t="n">
        <v>18</v>
      </c>
    </row>
    <row r="26">
      <c r="A26" s="71" t="n">
        <v>19</v>
      </c>
      <c r="B26" s="664" t="n">
        <v>97683</v>
      </c>
      <c r="C26" s="66" t="inlineStr">
        <is>
          <t>50,83</t>
        </is>
      </c>
      <c r="D26" s="664" t="n">
        <v>98518</v>
      </c>
      <c r="E26" s="66" t="inlineStr">
        <is>
          <t>57,86</t>
        </is>
      </c>
      <c r="F26" s="66" t="inlineStr">
        <is>
          <t>46,03</t>
        </is>
      </c>
      <c r="G26" s="66" t="inlineStr">
        <is>
          <t>0,2267</t>
        </is>
      </c>
      <c r="H26" s="664" t="n">
        <v>19</v>
      </c>
    </row>
    <row r="27">
      <c r="A27" s="71" t="n">
        <v>20</v>
      </c>
      <c r="B27" s="664" t="n">
        <v>97503</v>
      </c>
      <c r="C27" s="66" t="inlineStr">
        <is>
          <t>49,92</t>
        </is>
      </c>
      <c r="D27" s="664" t="n">
        <v>98460</v>
      </c>
      <c r="E27" s="66" t="inlineStr">
        <is>
          <t>56,90</t>
        </is>
      </c>
      <c r="F27" s="66" t="inlineStr">
        <is>
          <t>45,15</t>
        </is>
      </c>
      <c r="G27" s="66" t="inlineStr">
        <is>
          <t>0,2310</t>
        </is>
      </c>
      <c r="H27" s="664" t="n">
        <v>20</v>
      </c>
    </row>
    <row r="28">
      <c r="A28" s="71" t="n">
        <v>21</v>
      </c>
      <c r="B28" s="664" t="n">
        <v>97304</v>
      </c>
      <c r="C28" s="66" t="inlineStr">
        <is>
          <t>49,03</t>
        </is>
      </c>
      <c r="D28" s="664" t="n">
        <v>98399</v>
      </c>
      <c r="E28" s="66" t="inlineStr">
        <is>
          <t>55,93</t>
        </is>
      </c>
      <c r="F28" s="66" t="inlineStr">
        <is>
          <t>44,26</t>
        </is>
      </c>
      <c r="G28" s="66" t="inlineStr">
        <is>
          <t>0,2354</t>
        </is>
      </c>
      <c r="H28" s="664" t="n">
        <v>21</v>
      </c>
    </row>
    <row r="29">
      <c r="A29" s="71" t="n">
        <v>22</v>
      </c>
      <c r="B29" s="664" t="n">
        <v>97090</v>
      </c>
      <c r="C29" s="66" t="inlineStr">
        <is>
          <t>48,13</t>
        </is>
      </c>
      <c r="D29" s="664" t="n">
        <v>98335</v>
      </c>
      <c r="E29" s="66" t="inlineStr">
        <is>
          <t>54,97</t>
        </is>
      </c>
      <c r="F29" s="66" t="inlineStr">
        <is>
          <t>43,39</t>
        </is>
      </c>
      <c r="G29" s="66" t="inlineStr">
        <is>
          <t>0,2397</t>
        </is>
      </c>
      <c r="H29" s="664" t="n">
        <v>22</v>
      </c>
    </row>
    <row r="30">
      <c r="A30" s="71" t="n">
        <v>23</v>
      </c>
      <c r="B30" s="664" t="n">
        <v>96866</v>
      </c>
      <c r="C30" s="66" t="inlineStr">
        <is>
          <t>47,24</t>
        </is>
      </c>
      <c r="D30" s="664" t="n">
        <v>98269</v>
      </c>
      <c r="E30" s="66" t="inlineStr">
        <is>
          <t>54,00</t>
        </is>
      </c>
      <c r="F30" s="66" t="inlineStr">
        <is>
          <t>42,52</t>
        </is>
      </c>
      <c r="G30" s="66" t="inlineStr">
        <is>
          <t>0,2441</t>
        </is>
      </c>
      <c r="H30" s="664" t="n">
        <v>23</v>
      </c>
    </row>
    <row r="31">
      <c r="A31" s="71" t="n">
        <v>24</v>
      </c>
      <c r="B31" s="664" t="n">
        <v>96636</v>
      </c>
      <c r="C31" s="66" t="inlineStr">
        <is>
          <t>46,35</t>
        </is>
      </c>
      <c r="D31" s="664" t="n">
        <v>98201</v>
      </c>
      <c r="E31" s="66" t="inlineStr">
        <is>
          <t>53,04</t>
        </is>
      </c>
      <c r="F31" s="66" t="inlineStr">
        <is>
          <t>41,65</t>
        </is>
      </c>
      <c r="G31" s="66" t="inlineStr">
        <is>
          <t>0,2486</t>
        </is>
      </c>
      <c r="H31" s="664" t="n">
        <v>24</v>
      </c>
    </row>
    <row r="32">
      <c r="A32" s="71" t="n">
        <v>25</v>
      </c>
      <c r="B32" s="664" t="n">
        <v>96406</v>
      </c>
      <c r="C32" s="66" t="inlineStr">
        <is>
          <t>45,46</t>
        </is>
      </c>
      <c r="D32" s="664" t="n">
        <v>98131</v>
      </c>
      <c r="E32" s="66" t="inlineStr">
        <is>
          <t>52,08</t>
        </is>
      </c>
      <c r="F32" s="66" t="inlineStr">
        <is>
          <t>40,77</t>
        </is>
      </c>
      <c r="G32" s="66" t="inlineStr">
        <is>
          <t>0,2532</t>
        </is>
      </c>
      <c r="H32" s="664" t="n">
        <v>25</v>
      </c>
    </row>
    <row r="33">
      <c r="A33" s="71" t="n">
        <v>26</v>
      </c>
      <c r="B33" s="664" t="n">
        <v>96178</v>
      </c>
      <c r="C33" s="66" t="inlineStr">
        <is>
          <t>44,57</t>
        </is>
      </c>
      <c r="D33" s="664" t="n">
        <v>98059</v>
      </c>
      <c r="E33" s="66" t="inlineStr">
        <is>
          <t>51,12</t>
        </is>
      </c>
      <c r="F33" s="66" t="inlineStr">
        <is>
          <t>39,90</t>
        </is>
      </c>
      <c r="G33" s="66" t="inlineStr">
        <is>
          <t>0,2579</t>
        </is>
      </c>
      <c r="H33" s="664" t="n">
        <v>26</v>
      </c>
    </row>
    <row r="34">
      <c r="A34" s="71" t="n">
        <v>27</v>
      </c>
      <c r="B34" s="664" t="n">
        <v>95956</v>
      </c>
      <c r="C34" s="66" t="inlineStr">
        <is>
          <t>43,67</t>
        </is>
      </c>
      <c r="D34" s="664" t="n">
        <v>97985</v>
      </c>
      <c r="E34" s="66" t="inlineStr">
        <is>
          <t>50,15</t>
        </is>
      </c>
      <c r="F34" s="66" t="inlineStr">
        <is>
          <t>39,02</t>
        </is>
      </c>
      <c r="G34" s="66" t="inlineStr">
        <is>
          <t>0,2628</t>
        </is>
      </c>
      <c r="H34" s="664" t="n">
        <v>27</v>
      </c>
    </row>
    <row r="35">
      <c r="A35" s="71" t="n">
        <v>28</v>
      </c>
      <c r="B35" s="664" t="n">
        <v>95739</v>
      </c>
      <c r="C35" s="66" t="inlineStr">
        <is>
          <t>42,77</t>
        </is>
      </c>
      <c r="D35" s="664" t="n">
        <v>97909</v>
      </c>
      <c r="E35" s="66" t="inlineStr">
        <is>
          <t>49,19</t>
        </is>
      </c>
      <c r="F35" s="66" t="inlineStr">
        <is>
          <t>38,14</t>
        </is>
      </c>
      <c r="G35" s="66" t="inlineStr">
        <is>
          <t>0,2679</t>
        </is>
      </c>
      <c r="H35" s="664" t="n">
        <v>28</v>
      </c>
    </row>
    <row r="36">
      <c r="A36" s="71" t="n">
        <v>29</v>
      </c>
      <c r="B36" s="664" t="n">
        <v>95530</v>
      </c>
      <c r="C36" s="66" t="inlineStr">
        <is>
          <t>41,86</t>
        </is>
      </c>
      <c r="D36" s="664" t="n">
        <v>97831</v>
      </c>
      <c r="E36" s="66" t="inlineStr">
        <is>
          <t>48,23</t>
        </is>
      </c>
      <c r="F36" s="66" t="inlineStr">
        <is>
          <t>37,25</t>
        </is>
      </c>
      <c r="G36" s="66" t="inlineStr">
        <is>
          <t>0,2732</t>
        </is>
      </c>
      <c r="H36" s="664" t="n">
        <v>29</v>
      </c>
    </row>
    <row r="37">
      <c r="A37" s="71" t="n">
        <v>30</v>
      </c>
      <c r="B37" s="664" t="n">
        <v>95324</v>
      </c>
      <c r="C37" s="66" t="inlineStr">
        <is>
          <t>40,95</t>
        </is>
      </c>
      <c r="D37" s="664" t="n">
        <v>97750</v>
      </c>
      <c r="E37" s="66" t="inlineStr">
        <is>
          <t>47,27</t>
        </is>
      </c>
      <c r="F37" s="66" t="inlineStr">
        <is>
          <t>36,36</t>
        </is>
      </c>
      <c r="G37" s="66" t="inlineStr">
        <is>
          <t>0,2787</t>
        </is>
      </c>
      <c r="H37" s="664" t="n">
        <v>30</v>
      </c>
    </row>
    <row r="38">
      <c r="A38" s="71" t="n">
        <v>31</v>
      </c>
      <c r="B38" s="664" t="n">
        <v>95118</v>
      </c>
      <c r="C38" s="66" t="inlineStr">
        <is>
          <t>40,04</t>
        </is>
      </c>
      <c r="D38" s="664" t="n">
        <v>97666</v>
      </c>
      <c r="E38" s="66" t="inlineStr">
        <is>
          <t>46,31</t>
        </is>
      </c>
      <c r="F38" s="66" t="inlineStr">
        <is>
          <t>35,47</t>
        </is>
      </c>
      <c r="G38" s="66" t="inlineStr">
        <is>
          <t>0,2843</t>
        </is>
      </c>
      <c r="H38" s="664" t="n">
        <v>31</v>
      </c>
    </row>
    <row r="39">
      <c r="A39" s="71" t="n">
        <v>32</v>
      </c>
      <c r="B39" s="664" t="n">
        <v>94910</v>
      </c>
      <c r="C39" s="66" t="inlineStr">
        <is>
          <t>39,13</t>
        </is>
      </c>
      <c r="D39" s="664" t="n">
        <v>97579</v>
      </c>
      <c r="E39" s="66" t="inlineStr">
        <is>
          <t>45,35</t>
        </is>
      </c>
      <c r="F39" s="66" t="inlineStr">
        <is>
          <t>34,58</t>
        </is>
      </c>
      <c r="G39" s="66" t="inlineStr">
        <is>
          <t>0,2901</t>
        </is>
      </c>
      <c r="H39" s="664" t="n">
        <v>32</v>
      </c>
    </row>
    <row r="40">
      <c r="A40" s="71" t="n">
        <v>33</v>
      </c>
      <c r="B40" s="664" t="n">
        <v>94697</v>
      </c>
      <c r="C40" s="66" t="inlineStr">
        <is>
          <t>38,21</t>
        </is>
      </c>
      <c r="D40" s="664" t="n">
        <v>97487</v>
      </c>
      <c r="E40" s="66" t="inlineStr">
        <is>
          <t>44,40</t>
        </is>
      </c>
      <c r="F40" s="66" t="inlineStr">
        <is>
          <t>33,69</t>
        </is>
      </c>
      <c r="G40" s="66" t="inlineStr">
        <is>
          <t>0,2960</t>
        </is>
      </c>
      <c r="H40" s="664" t="n">
        <v>33</v>
      </c>
    </row>
    <row r="41">
      <c r="A41" s="71" t="n">
        <v>34</v>
      </c>
      <c r="B41" s="664" t="n">
        <v>94478</v>
      </c>
      <c r="C41" s="66" t="inlineStr">
        <is>
          <t>37,30</t>
        </is>
      </c>
      <c r="D41" s="664" t="n">
        <v>97390</v>
      </c>
      <c r="E41" s="66" t="inlineStr">
        <is>
          <t>43,44</t>
        </is>
      </c>
      <c r="F41" s="66" t="inlineStr">
        <is>
          <t>32,80</t>
        </is>
      </c>
      <c r="G41" s="66" t="inlineStr">
        <is>
          <t>0,3021</t>
        </is>
      </c>
      <c r="H41" s="664" t="n">
        <v>34</v>
      </c>
    </row>
    <row r="42">
      <c r="A42" s="71" t="n">
        <v>35</v>
      </c>
      <c r="B42" s="664" t="n">
        <v>94251</v>
      </c>
      <c r="C42" s="66" t="inlineStr">
        <is>
          <t>36,39</t>
        </is>
      </c>
      <c r="D42" s="664" t="n">
        <v>97287</v>
      </c>
      <c r="E42" s="66" t="inlineStr">
        <is>
          <t>42,48</t>
        </is>
      </c>
      <c r="F42" s="66" t="inlineStr">
        <is>
          <t>31,91</t>
        </is>
      </c>
      <c r="G42" s="66" t="inlineStr">
        <is>
          <t>0,3083</t>
        </is>
      </c>
      <c r="H42" s="664" t="n">
        <v>35</v>
      </c>
    </row>
    <row r="43">
      <c r="A43" s="71" t="n">
        <v>36</v>
      </c>
      <c r="B43" s="664" t="n">
        <v>94015</v>
      </c>
      <c r="C43" s="66" t="inlineStr">
        <is>
          <t>35,48</t>
        </is>
      </c>
      <c r="D43" s="664" t="n">
        <v>97177</v>
      </c>
      <c r="E43" s="66" t="inlineStr">
        <is>
          <t>41,53</t>
        </is>
      </c>
      <c r="F43" s="66" t="inlineStr">
        <is>
          <t>31,02</t>
        </is>
      </c>
      <c r="G43" s="66" t="inlineStr">
        <is>
          <t>0,3146</t>
        </is>
      </c>
      <c r="H43" s="664" t="n">
        <v>36</v>
      </c>
    </row>
    <row r="44">
      <c r="A44" s="71" t="n">
        <v>37</v>
      </c>
      <c r="B44" s="664" t="n">
        <v>93768</v>
      </c>
      <c r="C44" s="66" t="inlineStr">
        <is>
          <t>34,57</t>
        </is>
      </c>
      <c r="D44" s="664" t="n">
        <v>97059</v>
      </c>
      <c r="E44" s="66" t="inlineStr">
        <is>
          <t>40,58</t>
        </is>
      </c>
      <c r="F44" s="66" t="inlineStr">
        <is>
          <t>30,14</t>
        </is>
      </c>
      <c r="G44" s="66" t="inlineStr">
        <is>
          <t>0,3210</t>
        </is>
      </c>
      <c r="H44" s="664" t="n">
        <v>37</v>
      </c>
    </row>
    <row r="45">
      <c r="A45" s="71" t="n">
        <v>38</v>
      </c>
      <c r="B45" s="664" t="n">
        <v>93508</v>
      </c>
      <c r="C45" s="66" t="inlineStr">
        <is>
          <t>33,67</t>
        </is>
      </c>
      <c r="D45" s="664" t="n">
        <v>96931</v>
      </c>
      <c r="E45" s="66" t="inlineStr">
        <is>
          <t>39,63</t>
        </is>
      </c>
      <c r="F45" s="66" t="inlineStr">
        <is>
          <t>29,26</t>
        </is>
      </c>
      <c r="G45" s="66" t="inlineStr">
        <is>
          <t>0,3276</t>
        </is>
      </c>
      <c r="H45" s="664" t="n">
        <v>38</v>
      </c>
    </row>
    <row r="46">
      <c r="A46" s="71" t="n">
        <v>39</v>
      </c>
      <c r="B46" s="664" t="n">
        <v>93232</v>
      </c>
      <c r="C46" s="66" t="inlineStr">
        <is>
          <t>32,76</t>
        </is>
      </c>
      <c r="D46" s="664" t="n">
        <v>96792</v>
      </c>
      <c r="E46" s="66" t="inlineStr">
        <is>
          <t>38,69</t>
        </is>
      </c>
      <c r="F46" s="66" t="inlineStr">
        <is>
          <t>28,39</t>
        </is>
      </c>
      <c r="G46" s="66" t="inlineStr">
        <is>
          <t>0,3343</t>
        </is>
      </c>
      <c r="H46" s="664" t="n">
        <v>39</v>
      </c>
    </row>
    <row r="47">
      <c r="A47" s="71" t="n">
        <v>40</v>
      </c>
      <c r="B47" s="664" t="n">
        <v>92938</v>
      </c>
      <c r="C47" s="66" t="inlineStr">
        <is>
          <t>31,87</t>
        </is>
      </c>
      <c r="D47" s="664" t="n">
        <v>96640</v>
      </c>
      <c r="E47" s="66" t="inlineStr">
        <is>
          <t>37,75</t>
        </is>
      </c>
      <c r="F47" s="66" t="inlineStr">
        <is>
          <t>27,52</t>
        </is>
      </c>
      <c r="G47" s="66" t="inlineStr">
        <is>
          <t>0,3410</t>
        </is>
      </c>
      <c r="H47" s="664" t="n">
        <v>40</v>
      </c>
    </row>
    <row r="48">
      <c r="A48" s="71" t="n">
        <v>41</v>
      </c>
      <c r="B48" s="664" t="n">
        <v>92622</v>
      </c>
      <c r="C48" s="66" t="inlineStr">
        <is>
          <t>30,97</t>
        </is>
      </c>
      <c r="D48" s="664" t="n">
        <v>96474</v>
      </c>
      <c r="E48" s="66" t="inlineStr">
        <is>
          <t>36,82</t>
        </is>
      </c>
      <c r="F48" s="66" t="inlineStr">
        <is>
          <t>26,66</t>
        </is>
      </c>
      <c r="G48" s="66" t="inlineStr">
        <is>
          <t>0,3479</t>
        </is>
      </c>
      <c r="H48" s="664" t="n">
        <v>41</v>
      </c>
    </row>
    <row r="49">
      <c r="A49" s="71" t="n">
        <v>42</v>
      </c>
      <c r="B49" s="664" t="n">
        <v>92282</v>
      </c>
      <c r="C49" s="66" t="inlineStr">
        <is>
          <t>30,08</t>
        </is>
      </c>
      <c r="D49" s="664" t="n">
        <v>96290</v>
      </c>
      <c r="E49" s="66" t="inlineStr">
        <is>
          <t>35,88</t>
        </is>
      </c>
      <c r="F49" s="66" t="inlineStr">
        <is>
          <t>25,81</t>
        </is>
      </c>
      <c r="G49" s="66" t="inlineStr">
        <is>
          <t>0,3549</t>
        </is>
      </c>
      <c r="H49" s="664" t="n">
        <v>42</v>
      </c>
    </row>
    <row r="50">
      <c r="A50" s="71" t="n">
        <v>43</v>
      </c>
      <c r="B50" s="664" t="n">
        <v>91915</v>
      </c>
      <c r="C50" s="66" t="inlineStr">
        <is>
          <t>29,20</t>
        </is>
      </c>
      <c r="D50" s="664" t="n">
        <v>96086</v>
      </c>
      <c r="E50" s="66" t="inlineStr">
        <is>
          <t>34,96</t>
        </is>
      </c>
      <c r="F50" s="66" t="inlineStr">
        <is>
          <t>24,96</t>
        </is>
      </c>
      <c r="G50" s="66" t="inlineStr">
        <is>
          <t>0,3619</t>
        </is>
      </c>
      <c r="H50" s="664" t="n">
        <v>43</v>
      </c>
    </row>
    <row r="51">
      <c r="A51" s="71" t="n">
        <v>44</v>
      </c>
      <c r="B51" s="664" t="n">
        <v>91517</v>
      </c>
      <c r="C51" s="66" t="inlineStr">
        <is>
          <t>28,33</t>
        </is>
      </c>
      <c r="D51" s="664" t="n">
        <v>95859</v>
      </c>
      <c r="E51" s="66" t="inlineStr">
        <is>
          <t>34,04</t>
        </is>
      </c>
      <c r="F51" s="66" t="inlineStr">
        <is>
          <t>24,12</t>
        </is>
      </c>
      <c r="G51" s="66" t="inlineStr">
        <is>
          <t>0,3691</t>
        </is>
      </c>
      <c r="H51" s="664" t="n">
        <v>44</v>
      </c>
    </row>
    <row r="52">
      <c r="A52" s="71" t="n">
        <v>45</v>
      </c>
      <c r="B52" s="664" t="n">
        <v>91084</v>
      </c>
      <c r="C52" s="66" t="inlineStr">
        <is>
          <t>27,46</t>
        </is>
      </c>
      <c r="D52" s="664" t="n">
        <v>95605</v>
      </c>
      <c r="E52" s="66" t="inlineStr">
        <is>
          <t>33,13</t>
        </is>
      </c>
      <c r="F52" s="66" t="inlineStr">
        <is>
          <t>23,30</t>
        </is>
      </c>
      <c r="G52" s="66" t="inlineStr">
        <is>
          <t>0,3763</t>
        </is>
      </c>
      <c r="H52" s="664" t="n">
        <v>45</v>
      </c>
    </row>
    <row r="53">
      <c r="A53" s="71" t="n">
        <v>46</v>
      </c>
      <c r="B53" s="664" t="n">
        <v>90613</v>
      </c>
      <c r="C53" s="66" t="inlineStr">
        <is>
          <t>26,60</t>
        </is>
      </c>
      <c r="D53" s="664" t="n">
        <v>95322</v>
      </c>
      <c r="E53" s="66" t="inlineStr">
        <is>
          <t>32,23</t>
        </is>
      </c>
      <c r="F53" s="66" t="inlineStr">
        <is>
          <t>22,49</t>
        </is>
      </c>
      <c r="G53" s="66" t="inlineStr">
        <is>
          <t>0,3836</t>
        </is>
      </c>
      <c r="H53" s="664" t="n">
        <v>46</v>
      </c>
    </row>
    <row r="54">
      <c r="A54" s="71" t="n">
        <v>47</v>
      </c>
      <c r="B54" s="664" t="n">
        <v>90098</v>
      </c>
      <c r="C54" s="66" t="inlineStr">
        <is>
          <t>25,75</t>
        </is>
      </c>
      <c r="D54" s="664" t="n">
        <v>95007</v>
      </c>
      <c r="E54" s="66" t="inlineStr">
        <is>
          <t>31,33</t>
        </is>
      </c>
      <c r="F54" s="66" t="inlineStr">
        <is>
          <t>21,69</t>
        </is>
      </c>
      <c r="G54" s="66" t="inlineStr">
        <is>
          <t>0,3909</t>
        </is>
      </c>
      <c r="H54" s="664" t="n">
        <v>47</v>
      </c>
    </row>
    <row r="55">
      <c r="A55" s="71" t="n">
        <v>48</v>
      </c>
      <c r="B55" s="664" t="n">
        <v>89535</v>
      </c>
      <c r="C55" s="66" t="inlineStr">
        <is>
          <t>24,91</t>
        </is>
      </c>
      <c r="D55" s="664" t="n">
        <v>94659</v>
      </c>
      <c r="E55" s="66" t="inlineStr">
        <is>
          <t>30,45</t>
        </is>
      </c>
      <c r="F55" s="66" t="inlineStr">
        <is>
          <t>20,90</t>
        </is>
      </c>
      <c r="G55" s="66" t="inlineStr">
        <is>
          <t>0,3983</t>
        </is>
      </c>
      <c r="H55" s="664" t="n">
        <v>48</v>
      </c>
    </row>
    <row r="56">
      <c r="A56" s="71" t="n">
        <v>49</v>
      </c>
      <c r="B56" s="664" t="n">
        <v>88918</v>
      </c>
      <c r="C56" s="66" t="inlineStr">
        <is>
          <t>24,08</t>
        </is>
      </c>
      <c r="D56" s="664" t="n">
        <v>94278</v>
      </c>
      <c r="E56" s="66" t="inlineStr">
        <is>
          <t>29,57</t>
        </is>
      </c>
      <c r="F56" s="66" t="inlineStr">
        <is>
          <t>20,12</t>
        </is>
      </c>
      <c r="G56" s="66" t="inlineStr">
        <is>
          <t>0,4057</t>
        </is>
      </c>
      <c r="H56" s="664" t="n">
        <v>49</v>
      </c>
      <c r="J56">
        <f>VLOOKUP(K10,'SALT LIFE TABLES'!A7:E106,2,FALSE)</f>
        <v/>
      </c>
    </row>
    <row r="57">
      <c r="A57" s="71" t="n">
        <v>50</v>
      </c>
      <c r="B57" s="664" t="n">
        <v>88242</v>
      </c>
      <c r="C57" s="66" t="inlineStr">
        <is>
          <t>23,26</t>
        </is>
      </c>
      <c r="D57" s="664" t="n">
        <v>93863</v>
      </c>
      <c r="E57" s="66" t="inlineStr">
        <is>
          <t>28,70</t>
        </is>
      </c>
      <c r="F57" s="66" t="inlineStr">
        <is>
          <t>19,36</t>
        </is>
      </c>
      <c r="G57" s="66" t="inlineStr">
        <is>
          <t>0,4131</t>
        </is>
      </c>
      <c r="H57" s="664" t="n">
        <v>50</v>
      </c>
    </row>
    <row r="58">
      <c r="A58" s="71" t="n">
        <v>51</v>
      </c>
      <c r="B58" s="664" t="n">
        <v>87500</v>
      </c>
      <c r="C58" s="66" t="inlineStr">
        <is>
          <t>22,45</t>
        </is>
      </c>
      <c r="D58" s="664" t="n">
        <v>93414</v>
      </c>
      <c r="E58" s="66" t="inlineStr">
        <is>
          <t>27,83</t>
        </is>
      </c>
      <c r="F58" s="66" t="inlineStr">
        <is>
          <t>18,61</t>
        </is>
      </c>
      <c r="G58" s="66" t="inlineStr">
        <is>
          <t>0,4205</t>
        </is>
      </c>
      <c r="H58" s="664" t="n">
        <v>51</v>
      </c>
    </row>
    <row r="59">
      <c r="A59" s="71" t="n">
        <v>52</v>
      </c>
      <c r="B59" s="664" t="n">
        <v>86685</v>
      </c>
      <c r="C59" s="66" t="inlineStr">
        <is>
          <t>21,66</t>
        </is>
      </c>
      <c r="D59" s="664" t="n">
        <v>92929</v>
      </c>
      <c r="E59" s="66" t="inlineStr">
        <is>
          <t>26,97</t>
        </is>
      </c>
      <c r="F59" s="66" t="inlineStr">
        <is>
          <t>17,88</t>
        </is>
      </c>
      <c r="G59" s="66" t="inlineStr">
        <is>
          <t>0,4278</t>
        </is>
      </c>
      <c r="H59" s="664" t="n">
        <v>52</v>
      </c>
    </row>
    <row r="60">
      <c r="A60" s="71" t="n">
        <v>53</v>
      </c>
      <c r="B60" s="664" t="n">
        <v>85791</v>
      </c>
      <c r="C60" s="66" t="inlineStr">
        <is>
          <t>20,88</t>
        </is>
      </c>
      <c r="D60" s="664" t="n">
        <v>92406</v>
      </c>
      <c r="E60" s="66" t="inlineStr">
        <is>
          <t>26,12</t>
        </is>
      </c>
      <c r="F60" s="66" t="inlineStr">
        <is>
          <t>17,16</t>
        </is>
      </c>
      <c r="G60" s="66" t="inlineStr">
        <is>
          <t>0,4350</t>
        </is>
      </c>
      <c r="H60" s="664" t="n">
        <v>53</v>
      </c>
    </row>
    <row r="61">
      <c r="A61" s="71" t="n">
        <v>54</v>
      </c>
      <c r="B61" s="664" t="n">
        <v>84812</v>
      </c>
      <c r="C61" s="66" t="inlineStr">
        <is>
          <t>20,11</t>
        </is>
      </c>
      <c r="D61" s="664" t="n">
        <v>91842</v>
      </c>
      <c r="E61" s="66" t="inlineStr">
        <is>
          <t>25,28</t>
        </is>
      </c>
      <c r="F61" s="66" t="inlineStr">
        <is>
          <t>16,45</t>
        </is>
      </c>
      <c r="G61" s="66" t="inlineStr">
        <is>
          <t>0,4421</t>
        </is>
      </c>
      <c r="H61" s="664" t="n">
        <v>54</v>
      </c>
    </row>
    <row r="62">
      <c r="A62" s="71" t="n">
        <v>55</v>
      </c>
      <c r="B62" s="664" t="n">
        <v>83741</v>
      </c>
      <c r="C62" s="66" t="inlineStr">
        <is>
          <t>19,36</t>
        </is>
      </c>
      <c r="D62" s="664" t="n">
        <v>91232</v>
      </c>
      <c r="E62" s="66" t="inlineStr">
        <is>
          <t>24,45</t>
        </is>
      </c>
      <c r="F62" s="66" t="inlineStr">
        <is>
          <t>15,77</t>
        </is>
      </c>
      <c r="G62" s="66" t="inlineStr">
        <is>
          <t>0,4490</t>
        </is>
      </c>
      <c r="H62" s="664" t="n">
        <v>55</v>
      </c>
    </row>
    <row r="63">
      <c r="A63" s="71" t="n">
        <v>56</v>
      </c>
      <c r="B63" s="664" t="n">
        <v>82572</v>
      </c>
      <c r="C63" s="66" t="inlineStr">
        <is>
          <t>18,63</t>
        </is>
      </c>
      <c r="D63" s="664" t="n">
        <v>90572</v>
      </c>
      <c r="E63" s="66" t="inlineStr">
        <is>
          <t>23,62</t>
        </is>
      </c>
      <c r="F63" s="66" t="inlineStr">
        <is>
          <t>15,09</t>
        </is>
      </c>
      <c r="G63" s="66" t="inlineStr">
        <is>
          <t>0,4557</t>
        </is>
      </c>
      <c r="H63" s="664" t="n">
        <v>56</v>
      </c>
    </row>
    <row r="64">
      <c r="A64" s="71" t="n">
        <v>57</v>
      </c>
      <c r="B64" s="664" t="n">
        <v>81299</v>
      </c>
      <c r="C64" s="66" t="inlineStr">
        <is>
          <t>17,92</t>
        </is>
      </c>
      <c r="D64" s="664" t="n">
        <v>89856</v>
      </c>
      <c r="E64" s="66" t="inlineStr">
        <is>
          <t>22,81</t>
        </is>
      </c>
      <c r="F64" s="66" t="inlineStr">
        <is>
          <t>14,44</t>
        </is>
      </c>
      <c r="G64" s="66" t="inlineStr">
        <is>
          <t>0,4623</t>
        </is>
      </c>
      <c r="H64" s="664" t="n">
        <v>57</v>
      </c>
    </row>
    <row r="65">
      <c r="A65" s="71" t="n">
        <v>58</v>
      </c>
      <c r="B65" s="664" t="n">
        <v>79918</v>
      </c>
      <c r="C65" s="66" t="inlineStr">
        <is>
          <t>17,22</t>
        </is>
      </c>
      <c r="D65" s="664" t="n">
        <v>89077</v>
      </c>
      <c r="E65" s="66" t="inlineStr">
        <is>
          <t>22,00</t>
        </is>
      </c>
      <c r="F65" s="66" t="inlineStr">
        <is>
          <t>13,81</t>
        </is>
      </c>
      <c r="G65" s="66" t="inlineStr">
        <is>
          <t>0,4687</t>
        </is>
      </c>
      <c r="H65" s="664" t="n">
        <v>58</v>
      </c>
    </row>
    <row r="66">
      <c r="A66" s="71" t="n">
        <v>59</v>
      </c>
      <c r="B66" s="664" t="n">
        <v>78425</v>
      </c>
      <c r="C66" s="66" t="inlineStr">
        <is>
          <t>16,53</t>
        </is>
      </c>
      <c r="D66" s="664" t="n">
        <v>88228</v>
      </c>
      <c r="E66" s="66" t="inlineStr">
        <is>
          <t>21,21</t>
        </is>
      </c>
      <c r="F66" s="66" t="inlineStr">
        <is>
          <t>13,19</t>
        </is>
      </c>
      <c r="G66" s="66" t="inlineStr">
        <is>
          <t>0,4749</t>
        </is>
      </c>
      <c r="H66" s="664" t="n">
        <v>59</v>
      </c>
    </row>
    <row r="67">
      <c r="A67" s="71" t="n">
        <v>60</v>
      </c>
      <c r="B67" s="664" t="n">
        <v>76817</v>
      </c>
      <c r="C67" s="66" t="inlineStr">
        <is>
          <t>15,87</t>
        </is>
      </c>
      <c r="D67" s="664" t="n">
        <v>87301</v>
      </c>
      <c r="E67" s="66" t="inlineStr">
        <is>
          <t>20,43</t>
        </is>
      </c>
      <c r="F67" s="66" t="inlineStr">
        <is>
          <t>12,59</t>
        </is>
      </c>
      <c r="G67" s="66" t="inlineStr">
        <is>
          <t>0,4809</t>
        </is>
      </c>
      <c r="H67" s="664" t="n">
        <v>60</v>
      </c>
    </row>
    <row r="68">
      <c r="A68" s="71" t="n">
        <v>61</v>
      </c>
      <c r="B68" s="664" t="n">
        <v>75092</v>
      </c>
      <c r="C68" s="66" t="inlineStr">
        <is>
          <t>15,22</t>
        </is>
      </c>
      <c r="D68" s="664" t="n">
        <v>86290</v>
      </c>
      <c r="E68" s="66" t="inlineStr">
        <is>
          <t>19,66</t>
        </is>
      </c>
      <c r="F68" s="66" t="inlineStr">
        <is>
          <t>12,02</t>
        </is>
      </c>
      <c r="G68" s="66" t="inlineStr">
        <is>
          <t>0,4868</t>
        </is>
      </c>
      <c r="H68" s="664" t="n">
        <v>61</v>
      </c>
    </row>
    <row r="69">
      <c r="A69" s="71" t="n">
        <v>62</v>
      </c>
      <c r="B69" s="664" t="n">
        <v>73248</v>
      </c>
      <c r="C69" s="66" t="inlineStr">
        <is>
          <t>14,59</t>
        </is>
      </c>
      <c r="D69" s="664" t="n">
        <v>85191</v>
      </c>
      <c r="E69" s="66" t="inlineStr">
        <is>
          <t>18,91</t>
        </is>
      </c>
      <c r="F69" s="66" t="inlineStr">
        <is>
          <t>11,46</t>
        </is>
      </c>
      <c r="G69" s="66" t="inlineStr">
        <is>
          <t>0,4925</t>
        </is>
      </c>
      <c r="H69" s="664" t="n">
        <v>62</v>
      </c>
    </row>
    <row r="70">
      <c r="A70" s="71" t="n">
        <v>63</v>
      </c>
      <c r="B70" s="664" t="n">
        <v>71285</v>
      </c>
      <c r="C70" s="66" t="inlineStr">
        <is>
          <t>13,98</t>
        </is>
      </c>
      <c r="D70" s="664" t="n">
        <v>84002</v>
      </c>
      <c r="E70" s="66" t="inlineStr">
        <is>
          <t>18,17</t>
        </is>
      </c>
      <c r="F70" s="66" t="inlineStr">
        <is>
          <t>10,92</t>
        </is>
      </c>
      <c r="G70" s="66" t="inlineStr">
        <is>
          <t>0,4979</t>
        </is>
      </c>
      <c r="H70" s="664" t="n">
        <v>63</v>
      </c>
    </row>
    <row r="71">
      <c r="A71" s="71" t="n">
        <v>64</v>
      </c>
      <c r="B71" s="664" t="n">
        <v>69204</v>
      </c>
      <c r="C71" s="66" t="inlineStr">
        <is>
          <t>13,39</t>
        </is>
      </c>
      <c r="D71" s="664" t="n">
        <v>82724</v>
      </c>
      <c r="E71" s="66" t="inlineStr">
        <is>
          <t>17,44</t>
        </is>
      </c>
      <c r="F71" s="66" t="inlineStr">
        <is>
          <t>10,40</t>
        </is>
      </c>
      <c r="G71" s="66" t="inlineStr">
        <is>
          <t>0,5032</t>
        </is>
      </c>
      <c r="H71" s="664" t="n">
        <v>64</v>
      </c>
    </row>
    <row r="72">
      <c r="A72" s="71" t="n">
        <v>65</v>
      </c>
      <c r="B72" s="664" t="n">
        <v>67006</v>
      </c>
      <c r="C72" s="66" t="inlineStr">
        <is>
          <t>12,81</t>
        </is>
      </c>
      <c r="D72" s="664" t="n">
        <v>81357</v>
      </c>
      <c r="E72" s="66" t="inlineStr">
        <is>
          <t>16,73</t>
        </is>
      </c>
      <c r="F72" s="66" t="inlineStr">
        <is>
          <t>9,89</t>
        </is>
      </c>
      <c r="G72" s="66" t="inlineStr">
        <is>
          <t>0,5081</t>
        </is>
      </c>
      <c r="H72" s="664" t="n">
        <v>65</v>
      </c>
    </row>
    <row r="73">
      <c r="A73" s="71" t="n">
        <v>66</v>
      </c>
      <c r="B73" s="664" t="n">
        <v>64695</v>
      </c>
      <c r="C73" s="66" t="inlineStr">
        <is>
          <t>12,25</t>
        </is>
      </c>
      <c r="D73" s="664" t="n">
        <v>79902</v>
      </c>
      <c r="E73" s="66" t="inlineStr">
        <is>
          <t>16,02</t>
        </is>
      </c>
      <c r="F73" s="66" t="inlineStr">
        <is>
          <t>9,41</t>
        </is>
      </c>
      <c r="G73" s="66" t="inlineStr">
        <is>
          <t>0,5128</t>
        </is>
      </c>
      <c r="H73" s="664" t="n">
        <v>66</v>
      </c>
    </row>
    <row r="74">
      <c r="A74" s="71" t="n">
        <v>67</v>
      </c>
      <c r="B74" s="664" t="n">
        <v>62277</v>
      </c>
      <c r="C74" s="66" t="inlineStr">
        <is>
          <t>11,71</t>
        </is>
      </c>
      <c r="D74" s="664" t="n">
        <v>78359</v>
      </c>
      <c r="E74" s="66" t="inlineStr">
        <is>
          <t>15,33</t>
        </is>
      </c>
      <c r="F74" s="66" t="inlineStr">
        <is>
          <t>8,94</t>
        </is>
      </c>
      <c r="G74" s="66" t="inlineStr">
        <is>
          <t>0,5171</t>
        </is>
      </c>
      <c r="H74" s="664" t="n">
        <v>67</v>
      </c>
    </row>
    <row r="75">
      <c r="A75" s="71" t="n">
        <v>68</v>
      </c>
      <c r="B75" s="664" t="n">
        <v>59760</v>
      </c>
      <c r="C75" s="66" t="inlineStr">
        <is>
          <t>11,18</t>
        </is>
      </c>
      <c r="D75" s="664" t="n">
        <v>76726</v>
      </c>
      <c r="E75" s="66" t="inlineStr">
        <is>
          <t>14,64</t>
        </is>
      </c>
      <c r="F75" s="66" t="inlineStr">
        <is>
          <t>8,48</t>
        </is>
      </c>
      <c r="G75" s="66" t="inlineStr">
        <is>
          <t>0,5210</t>
        </is>
      </c>
      <c r="H75" s="664" t="n">
        <v>68</v>
      </c>
    </row>
    <row r="76">
      <c r="A76" s="71" t="n">
        <v>69</v>
      </c>
      <c r="B76" s="664" t="n">
        <v>57153</v>
      </c>
      <c r="C76" s="66" t="inlineStr">
        <is>
          <t>10,66</t>
        </is>
      </c>
      <c r="D76" s="664" t="n">
        <v>75000</v>
      </c>
      <c r="E76" s="66" t="inlineStr">
        <is>
          <t>13,97</t>
        </is>
      </c>
      <c r="F76" s="66" t="inlineStr">
        <is>
          <t>8,03</t>
        </is>
      </c>
      <c r="G76" s="66" t="inlineStr">
        <is>
          <t>0,5245</t>
        </is>
      </c>
      <c r="H76" s="664" t="n">
        <v>69</v>
      </c>
    </row>
    <row r="77">
      <c r="A77" s="71" t="n">
        <v>70</v>
      </c>
      <c r="B77" s="664" t="n">
        <v>54467</v>
      </c>
      <c r="C77" s="66" t="inlineStr">
        <is>
          <t>10,17</t>
        </is>
      </c>
      <c r="D77" s="664" t="n">
        <v>73178</v>
      </c>
      <c r="E77" s="66" t="inlineStr">
        <is>
          <t>13,30</t>
        </is>
      </c>
      <c r="F77" s="66" t="inlineStr">
        <is>
          <t>7,60</t>
        </is>
      </c>
      <c r="G77" s="66" t="inlineStr">
        <is>
          <t>0,5276</t>
        </is>
      </c>
      <c r="H77" s="664" t="n">
        <v>70</v>
      </c>
    </row>
    <row r="78">
      <c r="A78" s="71" t="n">
        <v>71</v>
      </c>
      <c r="B78" s="664" t="n">
        <v>51710</v>
      </c>
      <c r="C78" s="66" t="inlineStr">
        <is>
          <t>9,68</t>
        </is>
      </c>
      <c r="D78" s="664" t="n">
        <v>71252</v>
      </c>
      <c r="E78" s="66" t="inlineStr">
        <is>
          <t>12,65</t>
        </is>
      </c>
      <c r="F78" s="66" t="inlineStr">
        <is>
          <t>7,19</t>
        </is>
      </c>
      <c r="G78" s="66" t="inlineStr">
        <is>
          <t>0,5303</t>
        </is>
      </c>
      <c r="H78" s="664" t="n">
        <v>71</v>
      </c>
    </row>
    <row r="79">
      <c r="A79" s="71" t="n">
        <v>72</v>
      </c>
      <c r="B79" s="664" t="n">
        <v>48886</v>
      </c>
      <c r="C79" s="66" t="inlineStr">
        <is>
          <t>9,21</t>
        </is>
      </c>
      <c r="D79" s="664" t="n">
        <v>69210</v>
      </c>
      <c r="E79" s="66" t="inlineStr">
        <is>
          <t>12,01</t>
        </is>
      </c>
      <c r="F79" s="66" t="inlineStr">
        <is>
          <t>6,78</t>
        </is>
      </c>
      <c r="G79" s="66" t="inlineStr">
        <is>
          <t>0,5326</t>
        </is>
      </c>
      <c r="H79" s="664" t="n">
        <v>72</v>
      </c>
    </row>
    <row r="80">
      <c r="A80" s="71" t="n">
        <v>73</v>
      </c>
      <c r="B80" s="664" t="n">
        <v>46000</v>
      </c>
      <c r="C80" s="66" t="inlineStr">
        <is>
          <t>8,76</t>
        </is>
      </c>
      <c r="D80" s="664" t="n">
        <v>67038</v>
      </c>
      <c r="E80" s="66" t="inlineStr">
        <is>
          <t>11,38</t>
        </is>
      </c>
      <c r="F80" s="66" t="inlineStr">
        <is>
          <t>6,39</t>
        </is>
      </c>
      <c r="G80" s="66" t="inlineStr">
        <is>
          <t>0,5344</t>
        </is>
      </c>
      <c r="H80" s="664" t="n">
        <v>73</v>
      </c>
    </row>
    <row r="81">
      <c r="A81" s="71" t="n">
        <v>74</v>
      </c>
      <c r="B81" s="664" t="n">
        <v>43056</v>
      </c>
      <c r="C81" s="66" t="inlineStr">
        <is>
          <t>8,32</t>
        </is>
      </c>
      <c r="D81" s="664" t="n">
        <v>64719</v>
      </c>
      <c r="E81" s="66" t="inlineStr">
        <is>
          <t>10,77</t>
        </is>
      </c>
      <c r="F81" s="66" t="inlineStr">
        <is>
          <t>6,02</t>
        </is>
      </c>
      <c r="G81" s="66" t="inlineStr">
        <is>
          <t>0,5357</t>
        </is>
      </c>
      <c r="H81" s="664" t="n">
        <v>74</v>
      </c>
    </row>
    <row r="82">
      <c r="A82" s="71" t="n">
        <v>75</v>
      </c>
      <c r="B82" s="664" t="n">
        <v>40061</v>
      </c>
      <c r="C82" s="66" t="inlineStr">
        <is>
          <t>7,91</t>
        </is>
      </c>
      <c r="D82" s="664" t="n">
        <v>62239</v>
      </c>
      <c r="E82" s="66" t="inlineStr">
        <is>
          <t>10,18</t>
        </is>
      </c>
      <c r="F82" s="66" t="inlineStr">
        <is>
          <t>5,67</t>
        </is>
      </c>
      <c r="G82" s="66" t="inlineStr">
        <is>
          <t>0,5365</t>
        </is>
      </c>
      <c r="H82" s="664" t="n">
        <v>75</v>
      </c>
    </row>
    <row r="83">
      <c r="A83" s="71" t="n">
        <v>76</v>
      </c>
      <c r="B83" s="664" t="n">
        <v>37037</v>
      </c>
      <c r="C83" s="66" t="inlineStr">
        <is>
          <t>7,51</t>
        </is>
      </c>
      <c r="D83" s="664" t="n">
        <v>59595</v>
      </c>
      <c r="E83" s="66" t="inlineStr">
        <is>
          <t>9,61</t>
        </is>
      </c>
      <c r="F83" s="66" t="inlineStr">
        <is>
          <t>5,34</t>
        </is>
      </c>
      <c r="G83" s="66" t="inlineStr">
        <is>
          <t>0,5367</t>
        </is>
      </c>
      <c r="H83" s="664" t="n">
        <v>76</v>
      </c>
    </row>
    <row r="84">
      <c r="A84" s="71" t="n">
        <v>77</v>
      </c>
      <c r="B84" s="664" t="n">
        <v>34019</v>
      </c>
      <c r="C84" s="66" t="inlineStr">
        <is>
          <t>7,13</t>
        </is>
      </c>
      <c r="D84" s="664" t="n">
        <v>56797</v>
      </c>
      <c r="E84" s="66" t="inlineStr">
        <is>
          <t>9,06</t>
        </is>
      </c>
      <c r="F84" s="66" t="inlineStr">
        <is>
          <t>5,03</t>
        </is>
      </c>
      <c r="G84" s="66" t="inlineStr">
        <is>
          <t>0,5364</t>
        </is>
      </c>
      <c r="H84" s="664" t="n">
        <v>77</v>
      </c>
    </row>
    <row r="85">
      <c r="A85" s="71" t="n">
        <v>78</v>
      </c>
      <c r="B85" s="664" t="n">
        <v>31050</v>
      </c>
      <c r="C85" s="66" t="inlineStr">
        <is>
          <t>6,77</t>
        </is>
      </c>
      <c r="D85" s="664" t="n">
        <v>53865</v>
      </c>
      <c r="E85" s="66" t="inlineStr">
        <is>
          <t>8,52</t>
        </is>
      </c>
      <c r="F85" s="66" t="inlineStr">
        <is>
          <t>4,74</t>
        </is>
      </c>
      <c r="G85" s="66" t="inlineStr">
        <is>
          <t>0,5358</t>
        </is>
      </c>
      <c r="H85" s="664" t="n">
        <v>78</v>
      </c>
    </row>
    <row r="86">
      <c r="A86" s="71" t="n">
        <v>79</v>
      </c>
      <c r="B86" s="664" t="n">
        <v>28175</v>
      </c>
      <c r="C86" s="66" t="inlineStr">
        <is>
          <t>6,41</t>
        </is>
      </c>
      <c r="D86" s="664" t="n">
        <v>50830</v>
      </c>
      <c r="E86" s="66" t="inlineStr">
        <is>
          <t>8,00</t>
        </is>
      </c>
      <c r="F86" s="66" t="inlineStr">
        <is>
          <t>4,45</t>
        </is>
      </c>
      <c r="G86" s="66" t="inlineStr">
        <is>
          <t>0,5349</t>
        </is>
      </c>
      <c r="H86" s="664" t="n">
        <v>79</v>
      </c>
    </row>
    <row r="87">
      <c r="A87" s="71" t="n">
        <v>80</v>
      </c>
      <c r="B87" s="664" t="n">
        <v>25433</v>
      </c>
      <c r="C87" s="66" t="inlineStr">
        <is>
          <t>6,05</t>
        </is>
      </c>
      <c r="D87" s="664" t="n">
        <v>47723</v>
      </c>
      <c r="E87" s="66" t="inlineStr">
        <is>
          <t>7,49</t>
        </is>
      </c>
      <c r="F87" s="66" t="inlineStr">
        <is>
          <t>4,16</t>
        </is>
      </c>
      <c r="G87" s="66" t="inlineStr">
        <is>
          <t>0,5343</t>
        </is>
      </c>
      <c r="H87" s="664" t="n">
        <v>80</v>
      </c>
    </row>
    <row r="88">
      <c r="A88" s="71" t="n">
        <v>81</v>
      </c>
      <c r="B88" s="664" t="n">
        <v>22835</v>
      </c>
      <c r="C88" s="66" t="inlineStr">
        <is>
          <t>5,68</t>
        </is>
      </c>
      <c r="D88" s="664" t="n">
        <v>44559</v>
      </c>
      <c r="E88" s="66" t="inlineStr">
        <is>
          <t>6,99</t>
        </is>
      </c>
      <c r="F88" s="66" t="inlineStr">
        <is>
          <t>3,87</t>
        </is>
      </c>
      <c r="G88" s="66" t="inlineStr">
        <is>
          <t>0,5339</t>
        </is>
      </c>
      <c r="H88" s="664" t="n">
        <v>81</v>
      </c>
    </row>
    <row r="89">
      <c r="A89" s="71" t="n">
        <v>82</v>
      </c>
      <c r="B89" s="664" t="n">
        <v>20372</v>
      </c>
      <c r="C89" s="66" t="inlineStr">
        <is>
          <t>5,30</t>
        </is>
      </c>
      <c r="D89" s="664" t="n">
        <v>41334</v>
      </c>
      <c r="E89" s="66" t="inlineStr">
        <is>
          <t>6,49</t>
        </is>
      </c>
      <c r="F89" s="66" t="inlineStr">
        <is>
          <t>3,57</t>
        </is>
      </c>
      <c r="G89" s="66" t="inlineStr">
        <is>
          <t>0,5342</t>
        </is>
      </c>
      <c r="H89" s="664" t="n">
        <v>82</v>
      </c>
    </row>
    <row r="90">
      <c r="A90" s="71" t="n">
        <v>83</v>
      </c>
      <c r="B90" s="664" t="n">
        <v>18022</v>
      </c>
      <c r="C90" s="66" t="inlineStr">
        <is>
          <t>4,93</t>
        </is>
      </c>
      <c r="D90" s="664" t="n">
        <v>38035</v>
      </c>
      <c r="E90" s="66" t="inlineStr">
        <is>
          <t>6,01</t>
        </is>
      </c>
      <c r="F90" s="66" t="inlineStr">
        <is>
          <t>3,28</t>
        </is>
      </c>
      <c r="G90" s="66" t="inlineStr">
        <is>
          <t>0,5348</t>
        </is>
      </c>
      <c r="H90" s="664" t="n">
        <v>83</v>
      </c>
    </row>
    <row r="91">
      <c r="A91" s="71" t="n">
        <v>84</v>
      </c>
      <c r="B91" s="664" t="n">
        <v>15722</v>
      </c>
      <c r="C91" s="66" t="inlineStr">
        <is>
          <t>4,58</t>
        </is>
      </c>
      <c r="D91" s="664" t="n">
        <v>34606</v>
      </c>
      <c r="E91" s="66" t="inlineStr">
        <is>
          <t>5,56</t>
        </is>
      </c>
      <c r="F91" s="66" t="inlineStr">
        <is>
          <t>3,00</t>
        </is>
      </c>
      <c r="G91" s="66" t="inlineStr">
        <is>
          <t>0,5352</t>
        </is>
      </c>
      <c r="H91" s="664" t="n">
        <v>84</v>
      </c>
    </row>
    <row r="92">
      <c r="A92" s="71" t="n">
        <v>85</v>
      </c>
      <c r="B92" s="664" t="n">
        <v>13513</v>
      </c>
      <c r="C92" s="66" t="inlineStr">
        <is>
          <t>4,24</t>
        </is>
      </c>
      <c r="D92" s="664" t="n">
        <v>31098</v>
      </c>
      <c r="E92" s="66" t="inlineStr">
        <is>
          <t>5,13</t>
        </is>
      </c>
      <c r="F92" s="66" t="inlineStr">
        <is>
          <t>2,75</t>
        </is>
      </c>
      <c r="G92" s="66" t="inlineStr">
        <is>
          <t>0,5355</t>
        </is>
      </c>
      <c r="H92" s="664" t="n">
        <v>85</v>
      </c>
    </row>
    <row r="93">
      <c r="A93" s="71" t="n">
        <v>86</v>
      </c>
      <c r="B93" s="664" t="n">
        <v>11411</v>
      </c>
      <c r="C93" s="66" t="inlineStr">
        <is>
          <t>3,93</t>
        </is>
      </c>
      <c r="D93" s="664" t="n">
        <v>27541</v>
      </c>
      <c r="E93" s="66" t="inlineStr">
        <is>
          <t>4,73</t>
        </is>
      </c>
      <c r="F93" s="66" t="inlineStr">
        <is>
          <t>2,51</t>
        </is>
      </c>
      <c r="G93" s="66" t="inlineStr">
        <is>
          <t>0,5353</t>
        </is>
      </c>
      <c r="H93" s="664" t="n">
        <v>86</v>
      </c>
    </row>
    <row r="94">
      <c r="A94" s="71" t="n">
        <v>87</v>
      </c>
      <c r="B94" s="664" t="n">
        <v>9442</v>
      </c>
      <c r="C94" s="66" t="inlineStr">
        <is>
          <t>3,65</t>
        </is>
      </c>
      <c r="D94" s="664" t="n">
        <v>23988</v>
      </c>
      <c r="E94" s="66" t="inlineStr">
        <is>
          <t>4,36</t>
        </is>
      </c>
      <c r="F94" s="66" t="inlineStr">
        <is>
          <t>2,29</t>
        </is>
      </c>
      <c r="G94" s="66" t="inlineStr">
        <is>
          <t>0,5346</t>
        </is>
      </c>
      <c r="H94" s="664" t="n">
        <v>87</v>
      </c>
    </row>
    <row r="95">
      <c r="A95" s="71" t="n">
        <v>88</v>
      </c>
      <c r="B95" s="664" t="n">
        <v>7640</v>
      </c>
      <c r="C95" s="66" t="inlineStr">
        <is>
          <t>3,39</t>
        </is>
      </c>
      <c r="D95" s="664" t="n">
        <v>20508</v>
      </c>
      <c r="E95" s="66" t="inlineStr">
        <is>
          <t>4,01</t>
        </is>
      </c>
      <c r="F95" s="66" t="inlineStr">
        <is>
          <t>2,10</t>
        </is>
      </c>
      <c r="G95" s="66" t="inlineStr">
        <is>
          <t>0,5331</t>
        </is>
      </c>
      <c r="H95" s="664" t="n">
        <v>88</v>
      </c>
    </row>
    <row r="96">
      <c r="A96" s="71" t="n">
        <v>89</v>
      </c>
      <c r="B96" s="664" t="n">
        <v>6038</v>
      </c>
      <c r="C96" s="66" t="inlineStr">
        <is>
          <t>3,16</t>
        </is>
      </c>
      <c r="D96" s="664" t="n">
        <v>17181</v>
      </c>
      <c r="E96" s="66" t="inlineStr">
        <is>
          <t>3,69</t>
        </is>
      </c>
      <c r="F96" s="66" t="inlineStr">
        <is>
          <t>1,94</t>
        </is>
      </c>
      <c r="G96" s="66" t="inlineStr">
        <is>
          <t>0,5307</t>
        </is>
      </c>
      <c r="H96" s="664" t="n">
        <v>89</v>
      </c>
    </row>
    <row r="97">
      <c r="A97" s="71" t="n">
        <v>90</v>
      </c>
      <c r="B97" s="664" t="n">
        <v>4661</v>
      </c>
      <c r="C97" s="66" t="inlineStr">
        <is>
          <t>2,95</t>
        </is>
      </c>
      <c r="D97" s="664" t="n">
        <v>14087</v>
      </c>
      <c r="E97" s="66" t="inlineStr">
        <is>
          <t>3,39</t>
        </is>
      </c>
      <c r="F97" s="66" t="inlineStr">
        <is>
          <t>1,79</t>
        </is>
      </c>
      <c r="G97" s="66" t="inlineStr">
        <is>
          <t>0,5275</t>
        </is>
      </c>
      <c r="H97" s="664" t="n">
        <v>90</v>
      </c>
    </row>
    <row r="98">
      <c r="A98" s="71" t="n">
        <v>91</v>
      </c>
      <c r="B98" s="664" t="n">
        <v>3518</v>
      </c>
      <c r="C98" s="66" t="inlineStr">
        <is>
          <t>2,74</t>
        </is>
      </c>
      <c r="D98" s="664" t="n">
        <v>11288</v>
      </c>
      <c r="E98" s="66" t="inlineStr">
        <is>
          <t>3,11</t>
        </is>
      </c>
      <c r="F98" s="66" t="inlineStr">
        <is>
          <t>1,65</t>
        </is>
      </c>
      <c r="G98" s="66" t="inlineStr">
        <is>
          <t>0,5242</t>
        </is>
      </c>
      <c r="H98" s="664" t="n">
        <v>91</v>
      </c>
    </row>
    <row r="99">
      <c r="A99" s="71" t="n">
        <v>92</v>
      </c>
      <c r="B99" s="664" t="n">
        <v>2593</v>
      </c>
      <c r="C99" s="66" t="inlineStr">
        <is>
          <t>2,54</t>
        </is>
      </c>
      <c r="D99" s="664" t="n">
        <v>8824</v>
      </c>
      <c r="E99" s="66" t="inlineStr">
        <is>
          <t>2,83</t>
        </is>
      </c>
      <c r="F99" s="66" t="inlineStr">
        <is>
          <t>1,51</t>
        </is>
      </c>
      <c r="G99" s="66" t="inlineStr">
        <is>
          <t>0,5210</t>
        </is>
      </c>
      <c r="H99" s="664" t="n">
        <v>92</v>
      </c>
    </row>
    <row r="100">
      <c r="A100" s="71" t="n">
        <v>93</v>
      </c>
      <c r="B100" s="664" t="n">
        <v>1862</v>
      </c>
      <c r="C100" s="66" t="inlineStr">
        <is>
          <t>2,34</t>
        </is>
      </c>
      <c r="D100" s="664" t="n">
        <v>6714</v>
      </c>
      <c r="E100" s="66" t="inlineStr">
        <is>
          <t>2,57</t>
        </is>
      </c>
      <c r="F100" s="66" t="inlineStr">
        <is>
          <t>1,39</t>
        </is>
      </c>
      <c r="G100" s="66" t="inlineStr">
        <is>
          <t>0,5174</t>
        </is>
      </c>
      <c r="H100" s="664" t="n">
        <v>93</v>
      </c>
    </row>
    <row r="101">
      <c r="A101" s="71" t="n">
        <v>94</v>
      </c>
      <c r="B101" s="664" t="n">
        <v>1299</v>
      </c>
      <c r="C101" s="66" t="inlineStr">
        <is>
          <t>2,14</t>
        </is>
      </c>
      <c r="D101" s="664" t="n">
        <v>4956</v>
      </c>
      <c r="E101" s="66" t="inlineStr">
        <is>
          <t>2,30</t>
        </is>
      </c>
      <c r="F101" s="66" t="inlineStr">
        <is>
          <t>1,26</t>
        </is>
      </c>
      <c r="G101" s="66" t="inlineStr">
        <is>
          <t>0,5133</t>
        </is>
      </c>
      <c r="H101" s="664" t="n">
        <v>94</v>
      </c>
    </row>
    <row r="102">
      <c r="A102" s="71" t="n">
        <v>95</v>
      </c>
      <c r="B102" s="664" t="n">
        <v>877</v>
      </c>
      <c r="C102" s="66" t="inlineStr">
        <is>
          <t>1,92</t>
        </is>
      </c>
      <c r="D102" s="664" t="n">
        <v>3531</v>
      </c>
      <c r="E102" s="66" t="inlineStr">
        <is>
          <t>2,03</t>
        </is>
      </c>
      <c r="F102" s="66" t="inlineStr">
        <is>
          <t>1,13</t>
        </is>
      </c>
      <c r="G102" s="66" t="inlineStr">
        <is>
          <t>0,5083</t>
        </is>
      </c>
      <c r="H102" s="664" t="n">
        <v>95</v>
      </c>
    </row>
    <row r="103">
      <c r="A103" s="71" t="n">
        <v>96</v>
      </c>
      <c r="B103" s="664" t="n">
        <v>569</v>
      </c>
      <c r="C103" s="66" t="inlineStr">
        <is>
          <t>1,69</t>
        </is>
      </c>
      <c r="D103" s="664" t="n">
        <v>2408</v>
      </c>
      <c r="E103" s="66" t="inlineStr">
        <is>
          <t>1,74</t>
        </is>
      </c>
      <c r="F103" s="66" t="inlineStr">
        <is>
          <t>0,99</t>
        </is>
      </c>
      <c r="G103" s="66" t="inlineStr">
        <is>
          <t>0,5016</t>
        </is>
      </c>
      <c r="H103" s="664" t="n">
        <v>96</v>
      </c>
    </row>
    <row r="104">
      <c r="A104" s="71" t="n">
        <v>97</v>
      </c>
      <c r="B104" s="664" t="n">
        <v>350</v>
      </c>
      <c r="C104" s="66" t="inlineStr">
        <is>
          <t>1,44</t>
        </is>
      </c>
      <c r="D104" s="664" t="n">
        <v>1546</v>
      </c>
      <c r="E104" s="66" t="inlineStr">
        <is>
          <t>1,43</t>
        </is>
      </c>
      <c r="F104" s="66" t="inlineStr">
        <is>
          <t>0,84</t>
        </is>
      </c>
      <c r="G104" s="66" t="inlineStr">
        <is>
          <t>0,4919</t>
        </is>
      </c>
      <c r="H104" s="664" t="n">
        <v>97</v>
      </c>
    </row>
    <row r="105">
      <c r="A105" s="71" t="n">
        <v>98</v>
      </c>
      <c r="B105" s="664" t="n">
        <v>199</v>
      </c>
      <c r="C105" s="66" t="inlineStr">
        <is>
          <t>1,15</t>
        </is>
      </c>
      <c r="D105" s="664" t="n">
        <v>903</v>
      </c>
      <c r="E105" s="66" t="inlineStr">
        <is>
          <t>1,10</t>
        </is>
      </c>
      <c r="F105" s="66" t="inlineStr">
        <is>
          <t>0,66</t>
        </is>
      </c>
      <c r="G105" s="66" t="inlineStr">
        <is>
          <t>0,4765</t>
        </is>
      </c>
      <c r="H105" s="664" t="n">
        <v>98</v>
      </c>
    </row>
    <row r="106">
      <c r="A106" s="71" t="n">
        <v>99</v>
      </c>
      <c r="B106" s="664" t="n">
        <v>98</v>
      </c>
      <c r="C106" s="66" t="inlineStr">
        <is>
          <t>0,83</t>
        </is>
      </c>
      <c r="D106" s="664" t="n">
        <v>436</v>
      </c>
      <c r="E106" s="66" t="inlineStr">
        <is>
          <t>0,74</t>
        </is>
      </c>
      <c r="F106" s="66" t="inlineStr">
        <is>
          <t>0,43</t>
        </is>
      </c>
      <c r="G106" s="66" t="inlineStr">
        <is>
          <t>0,4517</t>
        </is>
      </c>
      <c r="H106" s="664" t="n">
        <v>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9">
    <outlinePr summaryBelow="1" summaryRight="1"/>
    <pageSetUpPr/>
  </sheetPr>
  <dimension ref="A1:AN265"/>
  <sheetViews>
    <sheetView topLeftCell="S225" workbookViewId="0">
      <selection activeCell="V15" sqref="V15"/>
    </sheetView>
  </sheetViews>
  <sheetFormatPr baseColWidth="8" defaultColWidth="9.33203125" defaultRowHeight="13.8"/>
  <cols>
    <col width="9.33203125" customWidth="1" style="149" min="1" max="1"/>
    <col width="25" customWidth="1" style="149" min="2" max="2"/>
    <col width="9.33203125" customWidth="1" style="149" min="3" max="3"/>
    <col width="11.44140625" customWidth="1" style="149" min="4" max="4"/>
    <col width="10.6640625" bestFit="1" customWidth="1" style="149" min="5" max="5"/>
    <col width="9.33203125" customWidth="1" style="149" min="6" max="6"/>
    <col width="9.6640625" customWidth="1" style="149" min="7" max="7"/>
    <col width="9.33203125" customWidth="1" style="149" min="8" max="8"/>
    <col width="8.6640625" customWidth="1" style="149" min="9" max="9"/>
    <col width="8.44140625" customWidth="1" style="149" min="10" max="10"/>
    <col width="8.5546875" customWidth="1" style="149" min="11" max="11"/>
    <col width="8.33203125" customWidth="1" style="149" min="12" max="12"/>
    <col width="9.33203125" customWidth="1" style="149" min="13" max="13"/>
    <col width="9.6640625" bestFit="1" customWidth="1" style="149" min="14" max="14"/>
    <col width="9.33203125" customWidth="1" style="149" min="15" max="22"/>
    <col width="10.33203125" bestFit="1" customWidth="1" style="149" min="23" max="23"/>
    <col width="10.33203125" customWidth="1" style="149" min="24" max="24"/>
    <col width="5.33203125" customWidth="1" style="149" min="25" max="25"/>
    <col width="10.5546875" bestFit="1" customWidth="1" style="372" min="26" max="26"/>
    <col width="11.33203125" customWidth="1" style="149" min="27" max="27"/>
    <col width="9.33203125" customWidth="1" style="149" min="28" max="16384"/>
  </cols>
  <sheetData>
    <row r="1" customFormat="1" s="147">
      <c r="C1" s="147" t="n">
        <v>2004</v>
      </c>
      <c r="D1" s="147" t="n">
        <v>2005</v>
      </c>
      <c r="E1" s="147" t="n">
        <v>2006</v>
      </c>
      <c r="F1" s="147" t="n">
        <v>2007</v>
      </c>
      <c r="G1" s="147" t="n">
        <v>2008</v>
      </c>
      <c r="H1" s="147" t="n">
        <v>2009</v>
      </c>
      <c r="I1" s="147" t="n">
        <v>2010</v>
      </c>
      <c r="J1" s="147" t="n">
        <v>2011</v>
      </c>
      <c r="K1" s="148" t="n">
        <v>2012</v>
      </c>
      <c r="L1" s="147" t="n">
        <v>2013</v>
      </c>
      <c r="M1" s="147" t="n">
        <v>2014</v>
      </c>
      <c r="N1" s="147" t="n">
        <v>2015</v>
      </c>
      <c r="O1" s="147" t="n">
        <v>2016</v>
      </c>
      <c r="P1" s="147" t="n">
        <v>2017</v>
      </c>
      <c r="Q1" s="147" t="n">
        <v>2018</v>
      </c>
      <c r="R1" s="147" t="n">
        <v>2019</v>
      </c>
      <c r="S1" s="147" t="n">
        <v>2020</v>
      </c>
      <c r="T1" s="147" t="n">
        <v>2021</v>
      </c>
      <c r="U1" s="147" t="n">
        <v>2022</v>
      </c>
      <c r="V1" s="147" t="n">
        <v>2023</v>
      </c>
      <c r="W1" s="147" t="n">
        <v>2024</v>
      </c>
      <c r="Z1" s="375" t="n"/>
    </row>
    <row r="2">
      <c r="A2" s="149" t="inlineStr">
        <is>
          <t>January</t>
        </is>
      </c>
      <c r="B2" s="149" t="n">
        <v>1</v>
      </c>
      <c r="C2" s="665" t="n"/>
      <c r="D2" s="154">
        <f>+D3</f>
        <v/>
      </c>
      <c r="E2" s="666">
        <f>+D13</f>
        <v/>
      </c>
      <c r="F2" s="666" t="n">
        <v>820</v>
      </c>
      <c r="G2" s="666" t="n">
        <v>870</v>
      </c>
      <c r="H2" s="666" t="n">
        <v>960</v>
      </c>
      <c r="I2" s="666" t="n">
        <v>1010</v>
      </c>
      <c r="J2" s="666" t="n">
        <v>1080</v>
      </c>
      <c r="K2" s="666" t="n">
        <v>1140</v>
      </c>
      <c r="L2" s="666" t="n">
        <v>1200</v>
      </c>
      <c r="M2" s="666" t="n">
        <v>1270</v>
      </c>
      <c r="N2" s="666" t="n">
        <v>1350</v>
      </c>
      <c r="O2" s="666">
        <f>+N5</f>
        <v/>
      </c>
      <c r="P2" s="666">
        <f>O13</f>
        <v/>
      </c>
      <c r="Q2" s="666">
        <f>P13</f>
        <v/>
      </c>
      <c r="R2" s="666">
        <f>Q13</f>
        <v/>
      </c>
      <c r="S2" s="666">
        <f>R13</f>
        <v/>
      </c>
      <c r="T2" s="666" t="n">
        <v>1860</v>
      </c>
      <c r="U2" s="666" t="n">
        <v>1890</v>
      </c>
      <c r="V2" s="666" t="n">
        <v>1980</v>
      </c>
      <c r="W2" s="666" t="n"/>
      <c r="X2" s="666" t="n"/>
      <c r="Y2" s="665" t="n"/>
      <c r="Z2" s="666" t="n">
        <v>0</v>
      </c>
      <c r="AA2" s="372" t="n">
        <v>37987</v>
      </c>
      <c r="AB2" s="666" t="n"/>
      <c r="AC2" s="666" t="n"/>
      <c r="AD2" s="666" t="n"/>
      <c r="AE2" s="666" t="n"/>
      <c r="AF2" s="666" t="n"/>
      <c r="AG2" s="666" t="n"/>
      <c r="AH2" s="666" t="n"/>
      <c r="AI2" s="666" t="n"/>
      <c r="AJ2" s="666" t="n"/>
      <c r="AK2" s="666" t="n"/>
      <c r="AL2" s="666" t="n"/>
      <c r="AM2" s="666" t="n"/>
      <c r="AN2" s="666" t="n"/>
    </row>
    <row r="3">
      <c r="A3" s="149" t="inlineStr">
        <is>
          <t>February</t>
        </is>
      </c>
      <c r="B3" s="149">
        <f>B2+1</f>
        <v/>
      </c>
      <c r="C3" s="665" t="n"/>
      <c r="D3" s="154" t="n">
        <v>740</v>
      </c>
      <c r="E3" s="666">
        <f>+E2</f>
        <v/>
      </c>
      <c r="F3" s="666" t="n">
        <v>820</v>
      </c>
      <c r="G3" s="666" t="n">
        <v>870</v>
      </c>
      <c r="H3" s="666" t="n">
        <v>960</v>
      </c>
      <c r="I3" s="666" t="n">
        <v>1010</v>
      </c>
      <c r="J3" s="666" t="n">
        <v>1080</v>
      </c>
      <c r="K3" s="666" t="n">
        <v>1140</v>
      </c>
      <c r="L3" s="666" t="n">
        <v>1200</v>
      </c>
      <c r="M3" s="666" t="n">
        <v>1270</v>
      </c>
      <c r="N3" s="666" t="n">
        <v>1350</v>
      </c>
      <c r="O3" s="666" t="n">
        <v>1410</v>
      </c>
      <c r="P3" s="666">
        <f>+P2</f>
        <v/>
      </c>
      <c r="Q3" s="666">
        <f>+Q2</f>
        <v/>
      </c>
      <c r="R3" s="666">
        <f>+R2</f>
        <v/>
      </c>
      <c r="S3" s="666">
        <f>S2</f>
        <v/>
      </c>
      <c r="T3" s="666" t="n">
        <v>1860</v>
      </c>
      <c r="U3" s="666" t="n">
        <v>1890</v>
      </c>
      <c r="V3" s="666" t="n">
        <v>1980</v>
      </c>
      <c r="W3" s="666" t="n"/>
      <c r="X3" s="666" t="n"/>
      <c r="Y3" s="665" t="n"/>
      <c r="Z3" s="666" t="n">
        <v>0</v>
      </c>
      <c r="AA3" s="372">
        <f>EDATE(AA2,1)</f>
        <v/>
      </c>
      <c r="AB3" s="666" t="n"/>
      <c r="AC3" s="666" t="n"/>
      <c r="AD3" s="666" t="n"/>
      <c r="AE3" s="666" t="n"/>
      <c r="AF3" s="666" t="n"/>
      <c r="AG3" s="666" t="n"/>
      <c r="AH3" s="666" t="n"/>
      <c r="AI3" s="666" t="n"/>
      <c r="AJ3" s="666" t="n"/>
      <c r="AK3" s="666" t="n"/>
      <c r="AL3" s="666" t="n"/>
      <c r="AM3" s="666" t="n"/>
      <c r="AN3" s="666" t="n"/>
    </row>
    <row r="4">
      <c r="A4" s="149" t="inlineStr">
        <is>
          <t>March</t>
        </is>
      </c>
      <c r="B4" s="149">
        <f>B3+1</f>
        <v/>
      </c>
      <c r="C4" s="665" t="n"/>
      <c r="D4" s="154" t="n">
        <v>780</v>
      </c>
      <c r="E4" s="666">
        <f>+E3</f>
        <v/>
      </c>
      <c r="F4" s="666" t="n">
        <v>820</v>
      </c>
      <c r="G4" s="666" t="n">
        <v>870</v>
      </c>
      <c r="H4" s="666" t="n">
        <v>960</v>
      </c>
      <c r="I4" s="666" t="n">
        <v>1010</v>
      </c>
      <c r="J4" s="666" t="n">
        <v>1080</v>
      </c>
      <c r="K4" s="666" t="n">
        <v>1140</v>
      </c>
      <c r="L4" s="666" t="n">
        <v>1200</v>
      </c>
      <c r="M4" s="666" t="n">
        <v>1270</v>
      </c>
      <c r="N4" s="666" t="n">
        <v>1350</v>
      </c>
      <c r="O4" s="666" t="n">
        <v>1410</v>
      </c>
      <c r="P4" s="666">
        <f>+P3</f>
        <v/>
      </c>
      <c r="Q4" s="666">
        <f>+Q3</f>
        <v/>
      </c>
      <c r="R4" s="666">
        <f>+R3</f>
        <v/>
      </c>
      <c r="S4" s="666">
        <f>S3</f>
        <v/>
      </c>
      <c r="T4" s="666" t="n">
        <v>1860</v>
      </c>
      <c r="U4" s="666" t="n">
        <v>1890</v>
      </c>
      <c r="V4" s="666" t="n">
        <v>1980</v>
      </c>
      <c r="W4" s="666" t="n"/>
      <c r="X4" s="666" t="n"/>
      <c r="Y4" s="665" t="n"/>
      <c r="Z4" s="666" t="n">
        <v>0</v>
      </c>
      <c r="AA4" s="372">
        <f>EDATE(AA3,1)</f>
        <v/>
      </c>
      <c r="AB4" s="666" t="n"/>
      <c r="AC4" s="666" t="n"/>
      <c r="AD4" s="666" t="n"/>
      <c r="AE4" s="666" t="n"/>
      <c r="AF4" s="666" t="n"/>
      <c r="AG4" s="666" t="n"/>
      <c r="AH4" s="666" t="n"/>
      <c r="AI4" s="666" t="n"/>
      <c r="AJ4" s="666" t="n"/>
      <c r="AK4" s="666" t="n"/>
      <c r="AL4" s="666" t="n"/>
      <c r="AM4" s="666" t="n"/>
      <c r="AN4" s="666" t="n"/>
    </row>
    <row r="5">
      <c r="A5" s="149" t="inlineStr">
        <is>
          <t>April</t>
        </is>
      </c>
      <c r="B5" s="149">
        <f>B4+1</f>
        <v/>
      </c>
      <c r="C5" s="154" t="n">
        <v>740</v>
      </c>
      <c r="D5" s="154">
        <f>+D4</f>
        <v/>
      </c>
      <c r="E5" s="666" t="n">
        <v>820</v>
      </c>
      <c r="F5" s="666" t="n">
        <v>870</v>
      </c>
      <c r="G5" s="666" t="n">
        <v>960</v>
      </c>
      <c r="H5" s="666" t="n">
        <v>1010</v>
      </c>
      <c r="I5" s="666" t="n">
        <v>1080</v>
      </c>
      <c r="J5" s="666" t="n">
        <v>1140</v>
      </c>
      <c r="K5" s="666" t="n">
        <v>1200</v>
      </c>
      <c r="L5" s="666" t="n">
        <v>1260</v>
      </c>
      <c r="M5" s="666" t="n">
        <v>1350</v>
      </c>
      <c r="N5" s="666">
        <f>+N4+60</f>
        <v/>
      </c>
      <c r="O5" s="666" t="n">
        <v>1500</v>
      </c>
      <c r="P5" s="666">
        <f>+P4+90</f>
        <v/>
      </c>
      <c r="Q5" s="666" t="n">
        <v>1700</v>
      </c>
      <c r="R5" s="666" t="n">
        <v>1780</v>
      </c>
      <c r="S5" s="666" t="n">
        <v>1860</v>
      </c>
      <c r="T5" s="666" t="n">
        <v>1890</v>
      </c>
      <c r="U5" s="666" t="n">
        <v>1980</v>
      </c>
      <c r="V5" s="666" t="n">
        <v>2080</v>
      </c>
      <c r="W5" s="666" t="n"/>
      <c r="X5" s="666" t="n"/>
      <c r="Y5" s="154" t="n"/>
      <c r="Z5" s="666">
        <f>C5</f>
        <v/>
      </c>
      <c r="AA5" s="372">
        <f>EDATE(AA4,1)</f>
        <v/>
      </c>
      <c r="AB5" s="666" t="n"/>
      <c r="AC5" s="666" t="n"/>
      <c r="AD5" s="666" t="n"/>
      <c r="AE5" s="666" t="n"/>
      <c r="AF5" s="666" t="n"/>
      <c r="AG5" s="666" t="n"/>
      <c r="AH5" s="666" t="n"/>
      <c r="AI5" s="666" t="n"/>
      <c r="AJ5" s="666" t="n"/>
      <c r="AK5" s="666" t="n"/>
      <c r="AL5" s="666" t="n"/>
      <c r="AM5" s="666" t="n"/>
      <c r="AN5" s="666" t="n"/>
    </row>
    <row r="6">
      <c r="A6" s="149" t="inlineStr">
        <is>
          <t>May</t>
        </is>
      </c>
      <c r="B6" s="149">
        <f>B5+1</f>
        <v/>
      </c>
      <c r="C6" s="154" t="n">
        <v>740</v>
      </c>
      <c r="D6" s="154">
        <f>+D5</f>
        <v/>
      </c>
      <c r="E6" s="666" t="n">
        <v>820</v>
      </c>
      <c r="F6" s="666" t="n">
        <v>870</v>
      </c>
      <c r="G6" s="666" t="n">
        <v>960</v>
      </c>
      <c r="H6" s="666" t="n">
        <v>1010</v>
      </c>
      <c r="I6" s="666" t="n">
        <v>1080</v>
      </c>
      <c r="J6" s="666" t="n">
        <v>1140</v>
      </c>
      <c r="K6" s="666" t="n">
        <v>1200</v>
      </c>
      <c r="L6" s="666" t="n">
        <v>1260</v>
      </c>
      <c r="M6" s="666" t="n">
        <v>1350</v>
      </c>
      <c r="N6" s="666">
        <f>+N5</f>
        <v/>
      </c>
      <c r="O6" s="666">
        <f>O5</f>
        <v/>
      </c>
      <c r="P6" s="666">
        <f>P5</f>
        <v/>
      </c>
      <c r="Q6" s="666">
        <f>Q5</f>
        <v/>
      </c>
      <c r="R6" s="666">
        <f>R5</f>
        <v/>
      </c>
      <c r="S6" s="666" t="n">
        <v>1860</v>
      </c>
      <c r="T6" s="666" t="n">
        <v>1890</v>
      </c>
      <c r="U6" s="666" t="n">
        <v>1980</v>
      </c>
      <c r="V6" s="666" t="n">
        <v>2080</v>
      </c>
      <c r="W6" s="666" t="n"/>
      <c r="X6" s="666" t="n"/>
      <c r="Y6" s="154" t="n"/>
      <c r="Z6" s="666">
        <f>+Z5</f>
        <v/>
      </c>
      <c r="AA6" s="372">
        <f>EDATE(AA5,1)</f>
        <v/>
      </c>
      <c r="AB6" s="666" t="n"/>
      <c r="AC6" s="666" t="n"/>
      <c r="AD6" s="666" t="n"/>
      <c r="AE6" s="666" t="n"/>
      <c r="AF6" s="666" t="n"/>
      <c r="AG6" s="666" t="n"/>
      <c r="AH6" s="666" t="n"/>
      <c r="AI6" s="666" t="n"/>
      <c r="AJ6" s="666" t="n"/>
      <c r="AK6" s="666" t="n"/>
      <c r="AL6" s="666" t="n"/>
      <c r="AM6" s="666" t="n"/>
      <c r="AN6" s="666" t="n"/>
    </row>
    <row r="7">
      <c r="A7" s="149" t="inlineStr">
        <is>
          <t>June</t>
        </is>
      </c>
      <c r="B7" s="149">
        <f>B6+1</f>
        <v/>
      </c>
      <c r="C7" s="154" t="n">
        <v>740</v>
      </c>
      <c r="D7" s="154">
        <f>+D6</f>
        <v/>
      </c>
      <c r="E7" s="666" t="n">
        <v>820</v>
      </c>
      <c r="F7" s="666" t="n">
        <v>870</v>
      </c>
      <c r="G7" s="666" t="n">
        <v>960</v>
      </c>
      <c r="H7" s="666" t="n">
        <v>1010</v>
      </c>
      <c r="I7" s="666" t="n">
        <v>1080</v>
      </c>
      <c r="J7" s="666" t="n">
        <v>1140</v>
      </c>
      <c r="K7" s="666" t="n">
        <v>1200</v>
      </c>
      <c r="L7" s="666" t="n">
        <v>1260</v>
      </c>
      <c r="M7" s="666" t="n">
        <v>1350</v>
      </c>
      <c r="N7" s="666">
        <f>+N6</f>
        <v/>
      </c>
      <c r="O7" s="666">
        <f>O6</f>
        <v/>
      </c>
      <c r="P7" s="666">
        <f>P6</f>
        <v/>
      </c>
      <c r="Q7" s="666">
        <f>Q6</f>
        <v/>
      </c>
      <c r="R7" s="666">
        <f>R6</f>
        <v/>
      </c>
      <c r="S7" s="666" t="n">
        <v>1860</v>
      </c>
      <c r="T7" s="666" t="n">
        <v>1890</v>
      </c>
      <c r="U7" s="666" t="n">
        <v>1980</v>
      </c>
      <c r="V7" s="666" t="n">
        <v>2080</v>
      </c>
      <c r="W7" s="666" t="n"/>
      <c r="X7" s="666" t="n"/>
      <c r="Y7" s="154" t="n"/>
      <c r="Z7" s="666">
        <f>+Z6</f>
        <v/>
      </c>
      <c r="AA7" s="372">
        <f>EDATE(AA6,1)</f>
        <v/>
      </c>
      <c r="AB7" s="666" t="n"/>
      <c r="AC7" s="666" t="n"/>
      <c r="AD7" s="666" t="n"/>
      <c r="AE7" s="666" t="n"/>
      <c r="AF7" s="666" t="n"/>
      <c r="AG7" s="666" t="n"/>
      <c r="AH7" s="666" t="n"/>
      <c r="AI7" s="666" t="n"/>
      <c r="AJ7" s="666" t="n"/>
      <c r="AK7" s="666" t="n"/>
      <c r="AL7" s="666" t="n"/>
      <c r="AM7" s="666" t="n"/>
      <c r="AN7" s="666" t="n"/>
    </row>
    <row r="8">
      <c r="A8" s="149" t="inlineStr">
        <is>
          <t>July</t>
        </is>
      </c>
      <c r="B8" s="149">
        <f>B7+1</f>
        <v/>
      </c>
      <c r="C8" s="154" t="n">
        <v>740</v>
      </c>
      <c r="D8" s="154">
        <f>+D7</f>
        <v/>
      </c>
      <c r="E8" s="666" t="n">
        <v>820</v>
      </c>
      <c r="F8" s="666" t="n">
        <v>870</v>
      </c>
      <c r="G8" s="666" t="n">
        <v>960</v>
      </c>
      <c r="H8" s="666" t="n">
        <v>1010</v>
      </c>
      <c r="I8" s="666" t="n">
        <v>1080</v>
      </c>
      <c r="J8" s="666" t="n">
        <v>1140</v>
      </c>
      <c r="K8" s="666" t="n">
        <v>1200</v>
      </c>
      <c r="L8" s="666" t="n">
        <v>1260</v>
      </c>
      <c r="M8" s="666" t="n">
        <v>1350</v>
      </c>
      <c r="N8" s="666">
        <f>+N7</f>
        <v/>
      </c>
      <c r="O8" s="666">
        <f>O7</f>
        <v/>
      </c>
      <c r="P8" s="666">
        <f>P7</f>
        <v/>
      </c>
      <c r="Q8" s="666">
        <f>Q7</f>
        <v/>
      </c>
      <c r="R8" s="666">
        <f>R7</f>
        <v/>
      </c>
      <c r="S8" s="666" t="n">
        <v>1860</v>
      </c>
      <c r="T8" s="666" t="n">
        <v>1890</v>
      </c>
      <c r="U8" s="666" t="n">
        <v>1980</v>
      </c>
      <c r="V8" s="666" t="n">
        <v>2080</v>
      </c>
      <c r="W8" s="666" t="n"/>
      <c r="X8" s="666" t="n"/>
      <c r="Y8" s="154" t="n"/>
      <c r="Z8" s="666">
        <f>+Z7</f>
        <v/>
      </c>
      <c r="AA8" s="372">
        <f>EDATE(AA7,1)</f>
        <v/>
      </c>
      <c r="AB8" s="666" t="n"/>
      <c r="AC8" s="666" t="n"/>
      <c r="AD8" s="666" t="n"/>
      <c r="AE8" s="666" t="n"/>
      <c r="AF8" s="666" t="n"/>
      <c r="AG8" s="666" t="n"/>
      <c r="AH8" s="666" t="n"/>
      <c r="AI8" s="666" t="n"/>
      <c r="AJ8" s="666" t="n"/>
      <c r="AK8" s="666" t="n"/>
      <c r="AL8" s="666" t="n"/>
      <c r="AM8" s="666" t="n"/>
      <c r="AN8" s="666" t="n"/>
    </row>
    <row r="9">
      <c r="A9" s="149" t="inlineStr">
        <is>
          <t>August</t>
        </is>
      </c>
      <c r="B9" s="149">
        <f>B8+1</f>
        <v/>
      </c>
      <c r="C9" s="154" t="n">
        <v>740</v>
      </c>
      <c r="D9" s="154">
        <f>+D8</f>
        <v/>
      </c>
      <c r="E9" s="666" t="n">
        <v>820</v>
      </c>
      <c r="F9" s="666" t="n">
        <v>870</v>
      </c>
      <c r="G9" s="666" t="n">
        <v>960</v>
      </c>
      <c r="H9" s="666" t="n">
        <v>1010</v>
      </c>
      <c r="I9" s="666" t="n">
        <v>1080</v>
      </c>
      <c r="J9" s="666" t="n">
        <v>1140</v>
      </c>
      <c r="K9" s="666" t="n">
        <v>1200</v>
      </c>
      <c r="L9" s="666" t="n">
        <v>1260</v>
      </c>
      <c r="M9" s="666" t="n">
        <v>1350</v>
      </c>
      <c r="N9" s="666">
        <f>+N8</f>
        <v/>
      </c>
      <c r="O9" s="666">
        <f>O8</f>
        <v/>
      </c>
      <c r="P9" s="666">
        <f>P8</f>
        <v/>
      </c>
      <c r="Q9" s="666">
        <f>Q8</f>
        <v/>
      </c>
      <c r="R9" s="666">
        <f>R8</f>
        <v/>
      </c>
      <c r="S9" s="666" t="n">
        <v>1860</v>
      </c>
      <c r="T9" s="666" t="n">
        <v>1890</v>
      </c>
      <c r="U9" s="666" t="n">
        <v>1980</v>
      </c>
      <c r="V9" s="666" t="n">
        <v>2080</v>
      </c>
      <c r="W9" s="666" t="n"/>
      <c r="X9" s="666" t="n"/>
      <c r="Y9" s="154" t="n"/>
      <c r="Z9" s="666">
        <f>+Z8</f>
        <v/>
      </c>
      <c r="AA9" s="372">
        <f>EDATE(AA8,1)</f>
        <v/>
      </c>
      <c r="AB9" s="666" t="n"/>
      <c r="AC9" s="666" t="n"/>
      <c r="AD9" s="666" t="n"/>
      <c r="AE9" s="666" t="n"/>
      <c r="AF9" s="666" t="n"/>
      <c r="AG9" s="666" t="n"/>
      <c r="AH9" s="666" t="n"/>
      <c r="AI9" s="666" t="n"/>
      <c r="AJ9" s="666" t="n"/>
      <c r="AK9" s="666" t="n"/>
      <c r="AL9" s="666" t="n"/>
      <c r="AM9" s="666" t="n"/>
      <c r="AN9" s="666" t="n"/>
    </row>
    <row r="10">
      <c r="A10" s="149" t="inlineStr">
        <is>
          <t>September</t>
        </is>
      </c>
      <c r="B10" s="149">
        <f>B9+1</f>
        <v/>
      </c>
      <c r="C10" s="154" t="n">
        <v>740</v>
      </c>
      <c r="D10" s="154">
        <f>+D9</f>
        <v/>
      </c>
      <c r="E10" s="666" t="n">
        <v>820</v>
      </c>
      <c r="F10" s="666" t="n">
        <v>870</v>
      </c>
      <c r="G10" s="666" t="n">
        <v>960</v>
      </c>
      <c r="H10" s="666" t="n">
        <v>1010</v>
      </c>
      <c r="I10" s="666" t="n">
        <v>1080</v>
      </c>
      <c r="J10" s="666" t="n">
        <v>1140</v>
      </c>
      <c r="K10" s="666" t="n">
        <v>1200</v>
      </c>
      <c r="L10" s="666" t="n">
        <v>1260</v>
      </c>
      <c r="M10" s="666" t="n">
        <v>1350</v>
      </c>
      <c r="N10" s="666">
        <f>+N9</f>
        <v/>
      </c>
      <c r="O10" s="666">
        <f>O9</f>
        <v/>
      </c>
      <c r="P10" s="666">
        <f>P9</f>
        <v/>
      </c>
      <c r="Q10" s="666">
        <f>Q9</f>
        <v/>
      </c>
      <c r="R10" s="666">
        <f>R9</f>
        <v/>
      </c>
      <c r="S10" s="666" t="n">
        <v>1860</v>
      </c>
      <c r="T10" s="666" t="n">
        <v>1890</v>
      </c>
      <c r="U10" s="666" t="n">
        <v>1980</v>
      </c>
      <c r="V10" s="666" t="n">
        <v>2080</v>
      </c>
      <c r="W10" s="666" t="n"/>
      <c r="X10" s="666" t="n"/>
      <c r="Y10" s="154" t="n"/>
      <c r="Z10" s="666">
        <f>+Z9</f>
        <v/>
      </c>
      <c r="AA10" s="372">
        <f>EDATE(AA9,1)</f>
        <v/>
      </c>
      <c r="AB10" s="666" t="n"/>
      <c r="AC10" s="666" t="n"/>
      <c r="AD10" s="666" t="n"/>
      <c r="AE10" s="666" t="n"/>
      <c r="AF10" s="666" t="n"/>
      <c r="AG10" s="666" t="n"/>
      <c r="AH10" s="666" t="n"/>
      <c r="AI10" s="666" t="n"/>
      <c r="AJ10" s="666" t="n"/>
      <c r="AK10" s="666" t="n"/>
      <c r="AL10" s="666" t="n"/>
      <c r="AM10" s="666" t="n"/>
      <c r="AN10" s="666" t="n"/>
    </row>
    <row r="11">
      <c r="A11" s="149" t="inlineStr">
        <is>
          <t>October</t>
        </is>
      </c>
      <c r="B11" s="149">
        <f>B10+1</f>
        <v/>
      </c>
      <c r="C11" s="154" t="n">
        <v>740</v>
      </c>
      <c r="D11" s="154">
        <f>+D10</f>
        <v/>
      </c>
      <c r="E11" s="666" t="n">
        <v>820</v>
      </c>
      <c r="F11" s="666" t="n">
        <v>870</v>
      </c>
      <c r="G11" s="666" t="n">
        <v>960</v>
      </c>
      <c r="H11" s="666" t="n">
        <v>1010</v>
      </c>
      <c r="I11" s="666" t="n">
        <v>1080</v>
      </c>
      <c r="J11" s="666" t="n">
        <v>1140</v>
      </c>
      <c r="K11" s="666" t="n">
        <v>1200</v>
      </c>
      <c r="L11" s="666" t="n">
        <v>1270</v>
      </c>
      <c r="M11" s="666" t="n">
        <v>1350</v>
      </c>
      <c r="N11" s="666" t="n">
        <v>1420</v>
      </c>
      <c r="O11" s="666">
        <f>+O10+10</f>
        <v/>
      </c>
      <c r="P11" s="666">
        <f>P10</f>
        <v/>
      </c>
      <c r="Q11" s="666">
        <f>Q10</f>
        <v/>
      </c>
      <c r="R11" s="666">
        <f>R10</f>
        <v/>
      </c>
      <c r="S11" s="666" t="n">
        <v>1860</v>
      </c>
      <c r="T11" s="666" t="n">
        <v>1890</v>
      </c>
      <c r="U11" s="666" t="n">
        <v>1990</v>
      </c>
      <c r="V11" s="666" t="n">
        <v>2090</v>
      </c>
      <c r="W11" s="666" t="n"/>
      <c r="X11" s="666" t="n"/>
      <c r="Y11" s="154" t="n"/>
      <c r="Z11" s="666">
        <f>+Z10</f>
        <v/>
      </c>
      <c r="AA11" s="372">
        <f>EDATE(AA10,1)</f>
        <v/>
      </c>
      <c r="AB11" s="666" t="n"/>
      <c r="AC11" s="666" t="n"/>
      <c r="AD11" s="666" t="n"/>
      <c r="AE11" s="666" t="n"/>
      <c r="AF11" s="666" t="n"/>
      <c r="AG11" s="666" t="n"/>
      <c r="AH11" s="666" t="n"/>
      <c r="AI11" s="666" t="n"/>
      <c r="AJ11" s="666" t="n"/>
      <c r="AK11" s="666" t="n"/>
      <c r="AL11" s="666" t="n"/>
      <c r="AM11" s="666" t="n"/>
      <c r="AN11" s="666" t="n"/>
    </row>
    <row r="12">
      <c r="A12" s="149" t="inlineStr">
        <is>
          <t>November</t>
        </is>
      </c>
      <c r="B12" s="149">
        <f>B11+1</f>
        <v/>
      </c>
      <c r="C12" s="154" t="n">
        <v>740</v>
      </c>
      <c r="D12" s="154">
        <f>+D11</f>
        <v/>
      </c>
      <c r="E12" s="666" t="n">
        <v>820</v>
      </c>
      <c r="F12" s="666" t="n">
        <v>870</v>
      </c>
      <c r="G12" s="666" t="n">
        <v>960</v>
      </c>
      <c r="H12" s="666" t="n">
        <v>1010</v>
      </c>
      <c r="I12" s="666" t="n">
        <v>1080</v>
      </c>
      <c r="J12" s="666" t="n">
        <v>1140</v>
      </c>
      <c r="K12" s="666" t="n">
        <v>1200</v>
      </c>
      <c r="L12" s="666" t="n">
        <v>1270</v>
      </c>
      <c r="M12" s="666" t="n">
        <v>1350</v>
      </c>
      <c r="N12" s="666">
        <f>+N11</f>
        <v/>
      </c>
      <c r="O12" s="666">
        <f>O11</f>
        <v/>
      </c>
      <c r="P12" s="666">
        <f>P11</f>
        <v/>
      </c>
      <c r="Q12" s="666">
        <f>Q11</f>
        <v/>
      </c>
      <c r="R12" s="666">
        <f>R11</f>
        <v/>
      </c>
      <c r="S12" s="666" t="n">
        <v>1860</v>
      </c>
      <c r="T12" s="666" t="n">
        <v>1890</v>
      </c>
      <c r="U12" s="666" t="n">
        <v>1990</v>
      </c>
      <c r="V12" s="666" t="n">
        <v>2090</v>
      </c>
      <c r="W12" s="666" t="n"/>
      <c r="X12" s="666" t="n"/>
      <c r="Y12" s="154" t="n"/>
      <c r="Z12" s="666">
        <f>+Z11</f>
        <v/>
      </c>
      <c r="AA12" s="372">
        <f>EDATE(AA11,1)</f>
        <v/>
      </c>
      <c r="AB12" s="666" t="n"/>
      <c r="AC12" s="666" t="n"/>
      <c r="AD12" s="666" t="n"/>
      <c r="AE12" s="666" t="n"/>
      <c r="AF12" s="666" t="n"/>
      <c r="AG12" s="666" t="n"/>
      <c r="AH12" s="666" t="n"/>
      <c r="AI12" s="666" t="n"/>
      <c r="AJ12" s="666" t="n"/>
      <c r="AK12" s="666" t="n"/>
      <c r="AL12" s="666" t="n"/>
      <c r="AM12" s="666" t="n"/>
      <c r="AN12" s="666" t="n"/>
    </row>
    <row r="13">
      <c r="A13" s="149" t="inlineStr">
        <is>
          <t>December</t>
        </is>
      </c>
      <c r="B13" s="149">
        <f>B12+1</f>
        <v/>
      </c>
      <c r="C13" s="154" t="n">
        <v>740</v>
      </c>
      <c r="D13" s="154">
        <f>+D12</f>
        <v/>
      </c>
      <c r="E13" s="666" t="n">
        <v>820</v>
      </c>
      <c r="F13" s="666" t="n">
        <v>870</v>
      </c>
      <c r="G13" s="666" t="n">
        <v>960</v>
      </c>
      <c r="H13" s="666" t="n">
        <v>1010</v>
      </c>
      <c r="I13" s="666" t="n">
        <v>1080</v>
      </c>
      <c r="J13" s="666" t="n">
        <v>1140</v>
      </c>
      <c r="K13" s="666" t="n">
        <v>1200</v>
      </c>
      <c r="L13" s="666" t="n">
        <v>1270</v>
      </c>
      <c r="M13" s="666" t="n">
        <v>1350</v>
      </c>
      <c r="N13" s="666">
        <f>+N12</f>
        <v/>
      </c>
      <c r="O13" s="666">
        <f>O12</f>
        <v/>
      </c>
      <c r="P13" s="666">
        <f>P12</f>
        <v/>
      </c>
      <c r="Q13" s="666">
        <f>Q12</f>
        <v/>
      </c>
      <c r="R13" s="666">
        <f>R12</f>
        <v/>
      </c>
      <c r="S13" s="666" t="n">
        <v>1860</v>
      </c>
      <c r="T13" s="666" t="n">
        <v>1890</v>
      </c>
      <c r="U13" s="666" t="n">
        <v>1990</v>
      </c>
      <c r="V13" s="666" t="n">
        <v>2090</v>
      </c>
      <c r="W13" s="666" t="n"/>
      <c r="X13" s="666" t="n"/>
      <c r="Y13" s="154" t="n"/>
      <c r="Z13" s="666">
        <f>+Z12</f>
        <v/>
      </c>
      <c r="AA13" s="372">
        <f>EDATE(AA12,1)</f>
        <v/>
      </c>
      <c r="AB13" s="666" t="n"/>
      <c r="AC13" s="666" t="n"/>
      <c r="AD13" s="666" t="n"/>
      <c r="AE13" s="666" t="n"/>
      <c r="AF13" s="666" t="n"/>
      <c r="AG13" s="666" t="n"/>
      <c r="AH13" s="666" t="n"/>
      <c r="AI13" s="666" t="n"/>
      <c r="AJ13" s="666" t="n"/>
      <c r="AK13" s="666" t="n"/>
      <c r="AL13" s="666" t="n"/>
      <c r="AM13" s="666" t="n"/>
      <c r="AN13" s="666" t="n"/>
    </row>
    <row r="14">
      <c r="C14" s="667">
        <f>SUM(C2:C13)</f>
        <v/>
      </c>
      <c r="D14" s="667">
        <f>SUM(D2:D13)</f>
        <v/>
      </c>
      <c r="E14" s="668">
        <f>SUM(E2:E13)</f>
        <v/>
      </c>
      <c r="F14" s="668">
        <f>SUM(F2:F13)</f>
        <v/>
      </c>
      <c r="G14" s="668">
        <f>SUM(G2:G13)</f>
        <v/>
      </c>
      <c r="H14" s="668">
        <f>SUM(H2:H13)</f>
        <v/>
      </c>
      <c r="I14" s="668">
        <f>SUM(I2:I13)</f>
        <v/>
      </c>
      <c r="J14" s="668">
        <f>SUM(J2:J13)</f>
        <v/>
      </c>
      <c r="K14" s="668">
        <f>SUM(K2:K13)</f>
        <v/>
      </c>
      <c r="L14" s="668">
        <f>SUM(L2:L13)</f>
        <v/>
      </c>
      <c r="M14" s="668">
        <f>SUM(M2:M13)</f>
        <v/>
      </c>
      <c r="N14" s="668">
        <f>SUM(N2:N13)</f>
        <v/>
      </c>
      <c r="O14" s="668">
        <f>SUM(O2:O13)</f>
        <v/>
      </c>
      <c r="P14" s="668">
        <f>SUM(P2:P13)</f>
        <v/>
      </c>
      <c r="Q14" s="668">
        <f>SUM(Q2:Q13)</f>
        <v/>
      </c>
      <c r="R14" s="668">
        <f>SUM(R2:R13)</f>
        <v/>
      </c>
      <c r="S14" s="668">
        <f>SUM(S2:S13)</f>
        <v/>
      </c>
      <c r="T14" s="668">
        <f>SUM(T2:T13)</f>
        <v/>
      </c>
      <c r="U14" s="668">
        <f>SUM(U2:U13)</f>
        <v/>
      </c>
      <c r="V14" s="666" t="n"/>
      <c r="Z14" s="666">
        <f>Z13</f>
        <v/>
      </c>
      <c r="AA14" s="372">
        <f>EDATE(AA13,1)</f>
        <v/>
      </c>
    </row>
    <row r="15">
      <c r="B15" s="372" t="n">
        <v>38384</v>
      </c>
      <c r="Z15" s="666">
        <f>Z14</f>
        <v/>
      </c>
      <c r="AA15" s="372">
        <f>EDATE(AA14,1)</f>
        <v/>
      </c>
    </row>
    <row r="16">
      <c r="A16" s="158" t="inlineStr">
        <is>
          <t>Start Date</t>
        </is>
      </c>
      <c r="B16" s="157" t="n">
        <v>38473</v>
      </c>
      <c r="Z16" s="666">
        <f>Z15+40</f>
        <v/>
      </c>
      <c r="AA16" s="372">
        <f>EDATE(AA15,1)</f>
        <v/>
      </c>
    </row>
    <row r="17" ht="18" customHeight="1">
      <c r="A17" s="158" t="inlineStr">
        <is>
          <t>Disability</t>
        </is>
      </c>
      <c r="B17" s="669">
        <f>S14</f>
        <v/>
      </c>
      <c r="N17" s="668" t="n"/>
      <c r="R17" s="377" t="inlineStr">
        <is>
          <t>Total</t>
        </is>
      </c>
      <c r="Z17" s="666">
        <f>Z16</f>
        <v/>
      </c>
      <c r="AA17" s="372">
        <f>EDATE(AA16,1)</f>
        <v/>
      </c>
    </row>
    <row r="18">
      <c r="R18" s="376">
        <f>SUMIFS(Z2:Z265,AA2:AA265,"&gt;="&amp;Summary!C114,AA2:AA265,"&lt;="&amp;Summary!C115)</f>
        <v/>
      </c>
      <c r="W18" s="154">
        <f>SUM(Z3:Z6)</f>
        <v/>
      </c>
      <c r="X18" s="154" t="n"/>
      <c r="Z18" s="666">
        <f>Z17</f>
        <v/>
      </c>
      <c r="AA18" s="372">
        <f>EDATE(AA17,1)</f>
        <v/>
      </c>
    </row>
    <row r="19">
      <c r="Z19" s="666">
        <f>Z18</f>
        <v/>
      </c>
      <c r="AA19" s="372">
        <f>EDATE(AA18,1)</f>
        <v/>
      </c>
    </row>
    <row r="20">
      <c r="N20" s="666" t="n"/>
      <c r="O20" s="666" t="n"/>
      <c r="P20" s="666" t="n"/>
      <c r="Q20" s="666" t="n"/>
      <c r="R20" s="666" t="n"/>
      <c r="S20" s="666" t="n"/>
      <c r="Z20" s="666">
        <f>Z19</f>
        <v/>
      </c>
      <c r="AA20" s="372">
        <f>EDATE(AA19,1)</f>
        <v/>
      </c>
    </row>
    <row r="21">
      <c r="N21" s="666" t="n"/>
      <c r="O21" s="666" t="n"/>
      <c r="P21" s="666" t="n"/>
      <c r="Q21" s="666" t="n"/>
      <c r="R21" s="666" t="n"/>
      <c r="S21" s="666" t="n"/>
      <c r="Z21" s="666">
        <f>Z20</f>
        <v/>
      </c>
      <c r="AA21" s="372">
        <f>EDATE(AA20,1)</f>
        <v/>
      </c>
    </row>
    <row r="22">
      <c r="B22" s="151" t="inlineStr">
        <is>
          <t>To qualify, you must:</t>
        </is>
      </c>
      <c r="N22" s="666" t="n"/>
      <c r="O22" s="666" t="n"/>
      <c r="P22" s="666" t="n"/>
      <c r="Q22" s="666" t="n"/>
      <c r="R22" s="666" t="n"/>
      <c r="S22" s="666" t="n"/>
      <c r="Z22" s="666">
        <f>Z21</f>
        <v/>
      </c>
      <c r="AA22" s="372">
        <f>EDATE(AA21,1)</f>
        <v/>
      </c>
    </row>
    <row r="23">
      <c r="B23" s="152" t="inlineStr">
        <is>
          <t>be a South African citizen or permanent resident or refugee and living in South Africa at the time of application</t>
        </is>
      </c>
      <c r="N23" s="666" t="n"/>
      <c r="O23" s="666" t="n"/>
      <c r="P23" s="666" t="n"/>
      <c r="Q23" s="666" t="n"/>
      <c r="R23" s="666" t="n"/>
      <c r="S23" s="666" t="n"/>
      <c r="Z23" s="666">
        <f>Z22</f>
        <v/>
      </c>
      <c r="AA23" s="372">
        <f>EDATE(AA22,1)</f>
        <v/>
      </c>
    </row>
    <row r="24">
      <c r="B24" s="152" t="inlineStr">
        <is>
          <t>be between 18 and 59 years old</t>
        </is>
      </c>
      <c r="N24" s="666" t="n"/>
      <c r="O24" s="666" t="n"/>
      <c r="P24" s="666" t="n"/>
      <c r="Q24" s="666" t="n"/>
      <c r="R24" s="666" t="n"/>
      <c r="S24" s="666" t="n"/>
      <c r="Z24" s="666">
        <f>Z23</f>
        <v/>
      </c>
      <c r="AA24" s="372">
        <f>EDATE(AA23,1)</f>
        <v/>
      </c>
    </row>
    <row r="25">
      <c r="B25" s="152" t="inlineStr">
        <is>
          <t>not be cared for in a state institution</t>
        </is>
      </c>
      <c r="N25" s="666" t="n"/>
      <c r="O25" s="666" t="n"/>
      <c r="P25" s="666" t="n"/>
      <c r="Q25" s="666" t="n"/>
      <c r="R25" s="666" t="n"/>
      <c r="S25" s="666" t="n"/>
      <c r="Z25" s="666">
        <f>Z24</f>
        <v/>
      </c>
      <c r="AA25" s="372">
        <f>EDATE(AA24,1)</f>
        <v/>
      </c>
    </row>
    <row r="26">
      <c r="B26" s="152" t="inlineStr">
        <is>
          <t>have a 13-digit, bar-coded identity document (ID)</t>
        </is>
      </c>
      <c r="N26" s="666" t="n"/>
      <c r="O26" s="666" t="n"/>
      <c r="P26" s="666" t="n"/>
      <c r="Q26" s="666" t="n"/>
      <c r="R26" s="666" t="n"/>
      <c r="S26" s="666" t="n"/>
      <c r="Z26" s="666">
        <f>Z25</f>
        <v/>
      </c>
      <c r="AA26" s="372">
        <f>EDATE(AA25,1)</f>
        <v/>
      </c>
    </row>
    <row r="27">
      <c r="B27" s="152" t="inlineStr">
        <is>
          <t>not earn more than R78 120 if you are single or R156 240 if married.</t>
        </is>
      </c>
      <c r="N27" s="666" t="n"/>
      <c r="O27" s="666" t="n"/>
      <c r="P27" s="666" t="n"/>
      <c r="Q27" s="666" t="n"/>
      <c r="R27" s="666" t="n"/>
      <c r="S27" s="666" t="n"/>
      <c r="Z27" s="666">
        <f>Z26</f>
        <v/>
      </c>
      <c r="AA27" s="372">
        <f>EDATE(AA26,1)</f>
        <v/>
      </c>
    </row>
    <row r="28">
      <c r="B28" s="152" t="inlineStr">
        <is>
          <t>not have assets worth more than R1 115 400 if you are single or R2 230 800 if you are married</t>
        </is>
      </c>
      <c r="N28" s="666" t="n"/>
      <c r="O28" s="666" t="n"/>
      <c r="P28" s="666" t="n"/>
      <c r="Q28" s="666" t="n"/>
      <c r="R28" s="666" t="n"/>
      <c r="S28" s="666" t="n"/>
      <c r="Z28" s="666">
        <f>Z27</f>
        <v/>
      </c>
      <c r="AA28" s="372">
        <f>EDATE(AA27,1)</f>
        <v/>
      </c>
    </row>
    <row r="29">
      <c r="B29" s="152" t="inlineStr">
        <is>
          <t>undergo a medical examination where a doctor appointed by the state will assess the degree of your disability</t>
        </is>
      </c>
      <c r="N29" s="666" t="n"/>
      <c r="O29" s="666" t="n"/>
      <c r="P29" s="666" t="n"/>
      <c r="Q29" s="666" t="n"/>
      <c r="R29" s="666" t="n"/>
      <c r="S29" s="666" t="n"/>
      <c r="Z29" s="666">
        <f>E5</f>
        <v/>
      </c>
      <c r="AA29" s="372">
        <f>EDATE(AA28,1)</f>
        <v/>
      </c>
    </row>
    <row r="30">
      <c r="B30" s="152" t="inlineStr">
        <is>
          <t>bring along any previous medical records and reports when you make the application and when the assessment is done.</t>
        </is>
      </c>
      <c r="Z30" s="666">
        <f>Z29</f>
        <v/>
      </c>
      <c r="AA30" s="372">
        <f>EDATE(AA29,1)</f>
        <v/>
      </c>
    </row>
    <row r="31">
      <c r="Z31" s="666">
        <f>Z30</f>
        <v/>
      </c>
      <c r="AA31" s="372">
        <f>EDATE(AA30,1)</f>
        <v/>
      </c>
    </row>
    <row r="32">
      <c r="Z32" s="666">
        <f>Z31</f>
        <v/>
      </c>
      <c r="AA32" s="372">
        <f>EDATE(AA31,1)</f>
        <v/>
      </c>
    </row>
    <row r="33">
      <c r="Z33" s="666">
        <f>Z32</f>
        <v/>
      </c>
      <c r="AA33" s="372">
        <f>EDATE(AA32,1)</f>
        <v/>
      </c>
    </row>
    <row r="34">
      <c r="Z34" s="666">
        <f>Z33</f>
        <v/>
      </c>
      <c r="AA34" s="372">
        <f>EDATE(AA33,1)</f>
        <v/>
      </c>
    </row>
    <row r="35">
      <c r="Z35" s="666">
        <f>Z34</f>
        <v/>
      </c>
      <c r="AA35" s="372">
        <f>EDATE(AA34,1)</f>
        <v/>
      </c>
    </row>
    <row r="36">
      <c r="Z36" s="666">
        <f>Z35</f>
        <v/>
      </c>
      <c r="AA36" s="372">
        <f>EDATE(AA35,1)</f>
        <v/>
      </c>
    </row>
    <row r="37">
      <c r="Z37" s="666">
        <f>Z36</f>
        <v/>
      </c>
      <c r="AA37" s="372">
        <f>EDATE(AA36,1)</f>
        <v/>
      </c>
    </row>
    <row r="38">
      <c r="Z38" s="666">
        <f>Z37</f>
        <v/>
      </c>
      <c r="AA38" s="372">
        <f>EDATE(AA37,1)</f>
        <v/>
      </c>
    </row>
    <row r="39">
      <c r="Z39" s="666">
        <f>Z38</f>
        <v/>
      </c>
      <c r="AA39" s="372">
        <f>EDATE(AA38,1)</f>
        <v/>
      </c>
    </row>
    <row r="40">
      <c r="Z40" s="666">
        <f>Z39</f>
        <v/>
      </c>
      <c r="AA40" s="372">
        <f>EDATE(AA39,1)</f>
        <v/>
      </c>
    </row>
    <row r="41">
      <c r="Z41" s="666">
        <f>F5</f>
        <v/>
      </c>
      <c r="AA41" s="372">
        <f>EDATE(AA40,1)</f>
        <v/>
      </c>
    </row>
    <row r="42">
      <c r="Z42" s="666">
        <f>Z41</f>
        <v/>
      </c>
      <c r="AA42" s="372">
        <f>EDATE(AA41,1)</f>
        <v/>
      </c>
    </row>
    <row r="43">
      <c r="Z43" s="666">
        <f>Z42</f>
        <v/>
      </c>
      <c r="AA43" s="372">
        <f>EDATE(AA42,1)</f>
        <v/>
      </c>
    </row>
    <row r="44">
      <c r="Z44" s="666">
        <f>Z43</f>
        <v/>
      </c>
      <c r="AA44" s="372">
        <f>EDATE(AA43,1)</f>
        <v/>
      </c>
    </row>
    <row r="45">
      <c r="Z45" s="666">
        <f>Z44</f>
        <v/>
      </c>
      <c r="AA45" s="372">
        <f>EDATE(AA44,1)</f>
        <v/>
      </c>
    </row>
    <row r="46">
      <c r="Z46" s="666">
        <f>Z45</f>
        <v/>
      </c>
      <c r="AA46" s="372">
        <f>EDATE(AA45,1)</f>
        <v/>
      </c>
    </row>
    <row r="47">
      <c r="Z47" s="666">
        <f>Z46</f>
        <v/>
      </c>
      <c r="AA47" s="372">
        <f>EDATE(AA46,1)</f>
        <v/>
      </c>
    </row>
    <row r="48">
      <c r="Z48" s="666">
        <f>Z47</f>
        <v/>
      </c>
      <c r="AA48" s="372">
        <f>EDATE(AA47,1)</f>
        <v/>
      </c>
    </row>
    <row r="49">
      <c r="Z49" s="666">
        <f>Z48</f>
        <v/>
      </c>
      <c r="AA49" s="372">
        <f>EDATE(AA48,1)</f>
        <v/>
      </c>
    </row>
    <row r="50">
      <c r="Z50" s="666">
        <f>Z49</f>
        <v/>
      </c>
      <c r="AA50" s="372">
        <f>EDATE(AA49,1)</f>
        <v/>
      </c>
    </row>
    <row r="51">
      <c r="Z51" s="666">
        <f>Z50</f>
        <v/>
      </c>
      <c r="AA51" s="372">
        <f>EDATE(AA50,1)</f>
        <v/>
      </c>
    </row>
    <row r="52">
      <c r="Z52" s="666">
        <f>Z51</f>
        <v/>
      </c>
      <c r="AA52" s="372">
        <f>EDATE(AA51,1)</f>
        <v/>
      </c>
    </row>
    <row r="53">
      <c r="Z53" s="666">
        <f>G5</f>
        <v/>
      </c>
      <c r="AA53" s="372">
        <f>EDATE(AA52,1)</f>
        <v/>
      </c>
    </row>
    <row r="54">
      <c r="Z54" s="666">
        <f>Z53</f>
        <v/>
      </c>
      <c r="AA54" s="372">
        <f>EDATE(AA53,1)</f>
        <v/>
      </c>
    </row>
    <row r="55">
      <c r="Z55" s="666">
        <f>Z54</f>
        <v/>
      </c>
      <c r="AA55" s="372">
        <f>EDATE(AA54,1)</f>
        <v/>
      </c>
    </row>
    <row r="56">
      <c r="Z56" s="666">
        <f>Z55</f>
        <v/>
      </c>
      <c r="AA56" s="372">
        <f>EDATE(AA55,1)</f>
        <v/>
      </c>
    </row>
    <row r="57">
      <c r="Z57" s="666">
        <f>Z56</f>
        <v/>
      </c>
      <c r="AA57" s="372">
        <f>EDATE(AA56,1)</f>
        <v/>
      </c>
    </row>
    <row r="58">
      <c r="Z58" s="666">
        <f>Z57</f>
        <v/>
      </c>
      <c r="AA58" s="372">
        <f>EDATE(AA57,1)</f>
        <v/>
      </c>
    </row>
    <row r="59">
      <c r="Z59" s="666">
        <f>Z58</f>
        <v/>
      </c>
      <c r="AA59" s="372">
        <f>EDATE(AA58,1)</f>
        <v/>
      </c>
    </row>
    <row r="60">
      <c r="Z60" s="666">
        <f>Z59</f>
        <v/>
      </c>
      <c r="AA60" s="372">
        <f>EDATE(AA59,1)</f>
        <v/>
      </c>
    </row>
    <row r="61">
      <c r="Z61" s="666">
        <f>Z60</f>
        <v/>
      </c>
      <c r="AA61" s="372">
        <f>EDATE(AA60,1)</f>
        <v/>
      </c>
    </row>
    <row r="62">
      <c r="Z62" s="666">
        <f>Z61</f>
        <v/>
      </c>
      <c r="AA62" s="372">
        <f>EDATE(AA61,1)</f>
        <v/>
      </c>
    </row>
    <row r="63">
      <c r="Z63" s="666">
        <f>Z62</f>
        <v/>
      </c>
      <c r="AA63" s="372">
        <f>EDATE(AA62,1)</f>
        <v/>
      </c>
    </row>
    <row r="64">
      <c r="Z64" s="666">
        <f>Z63</f>
        <v/>
      </c>
      <c r="AA64" s="372">
        <f>EDATE(AA63,1)</f>
        <v/>
      </c>
    </row>
    <row r="65">
      <c r="Z65" s="666">
        <f>H5</f>
        <v/>
      </c>
      <c r="AA65" s="372">
        <f>EDATE(AA64,1)</f>
        <v/>
      </c>
    </row>
    <row r="66">
      <c r="Z66" s="666">
        <f>Z65</f>
        <v/>
      </c>
      <c r="AA66" s="372">
        <f>EDATE(AA65,1)</f>
        <v/>
      </c>
    </row>
    <row r="67">
      <c r="Z67" s="666">
        <f>Z66</f>
        <v/>
      </c>
      <c r="AA67" s="372">
        <f>EDATE(AA66,1)</f>
        <v/>
      </c>
    </row>
    <row r="68">
      <c r="Z68" s="666">
        <f>Z67</f>
        <v/>
      </c>
      <c r="AA68" s="372">
        <f>EDATE(AA67,1)</f>
        <v/>
      </c>
    </row>
    <row r="69">
      <c r="Z69" s="666">
        <f>Z68</f>
        <v/>
      </c>
      <c r="AA69" s="372">
        <f>EDATE(AA68,1)</f>
        <v/>
      </c>
    </row>
    <row r="70">
      <c r="Z70" s="666">
        <f>Z69</f>
        <v/>
      </c>
      <c r="AA70" s="372">
        <f>EDATE(AA69,1)</f>
        <v/>
      </c>
    </row>
    <row r="71">
      <c r="Z71" s="666">
        <f>Z70</f>
        <v/>
      </c>
      <c r="AA71" s="372">
        <f>EDATE(AA70,1)</f>
        <v/>
      </c>
    </row>
    <row r="72">
      <c r="Z72" s="666">
        <f>Z71</f>
        <v/>
      </c>
      <c r="AA72" s="372">
        <f>EDATE(AA71,1)</f>
        <v/>
      </c>
    </row>
    <row r="73">
      <c r="Z73" s="666">
        <f>Z72</f>
        <v/>
      </c>
      <c r="AA73" s="372">
        <f>EDATE(AA72,1)</f>
        <v/>
      </c>
    </row>
    <row r="74">
      <c r="Z74" s="666">
        <f>Z73</f>
        <v/>
      </c>
      <c r="AA74" s="372">
        <f>EDATE(AA73,1)</f>
        <v/>
      </c>
    </row>
    <row r="75">
      <c r="Z75" s="666">
        <f>Z74</f>
        <v/>
      </c>
      <c r="AA75" s="372">
        <f>EDATE(AA74,1)</f>
        <v/>
      </c>
    </row>
    <row r="76">
      <c r="Z76" s="666">
        <f>Z75</f>
        <v/>
      </c>
      <c r="AA76" s="372">
        <f>EDATE(AA75,1)</f>
        <v/>
      </c>
    </row>
    <row r="77">
      <c r="Z77" s="666">
        <f>I5</f>
        <v/>
      </c>
      <c r="AA77" s="372">
        <f>EDATE(AA76,1)</f>
        <v/>
      </c>
    </row>
    <row r="78">
      <c r="Z78" s="666">
        <f>Z77</f>
        <v/>
      </c>
      <c r="AA78" s="372">
        <f>EDATE(AA77,1)</f>
        <v/>
      </c>
    </row>
    <row r="79">
      <c r="Z79" s="666">
        <f>Z78</f>
        <v/>
      </c>
      <c r="AA79" s="372">
        <f>EDATE(AA78,1)</f>
        <v/>
      </c>
    </row>
    <row r="80">
      <c r="Z80" s="666">
        <f>Z79</f>
        <v/>
      </c>
      <c r="AA80" s="372">
        <f>EDATE(AA79,1)</f>
        <v/>
      </c>
    </row>
    <row r="81">
      <c r="Z81" s="666">
        <f>Z80</f>
        <v/>
      </c>
      <c r="AA81" s="372">
        <f>EDATE(AA80,1)</f>
        <v/>
      </c>
    </row>
    <row r="82">
      <c r="Z82" s="666">
        <f>Z81</f>
        <v/>
      </c>
      <c r="AA82" s="372">
        <f>EDATE(AA81,1)</f>
        <v/>
      </c>
    </row>
    <row r="83">
      <c r="Z83" s="666">
        <f>Z82</f>
        <v/>
      </c>
      <c r="AA83" s="372">
        <f>EDATE(AA82,1)</f>
        <v/>
      </c>
    </row>
    <row r="84">
      <c r="Z84" s="666">
        <f>Z83</f>
        <v/>
      </c>
      <c r="AA84" s="372">
        <f>EDATE(AA83,1)</f>
        <v/>
      </c>
    </row>
    <row r="85">
      <c r="Z85" s="666">
        <f>Z84</f>
        <v/>
      </c>
      <c r="AA85" s="372">
        <f>EDATE(AA84,1)</f>
        <v/>
      </c>
    </row>
    <row r="86">
      <c r="Z86" s="666">
        <f>Z85</f>
        <v/>
      </c>
      <c r="AA86" s="372">
        <f>EDATE(AA85,1)</f>
        <v/>
      </c>
    </row>
    <row r="87">
      <c r="Z87" s="666">
        <f>Z86</f>
        <v/>
      </c>
      <c r="AA87" s="372">
        <f>EDATE(AA86,1)</f>
        <v/>
      </c>
    </row>
    <row r="88">
      <c r="Z88" s="666">
        <f>Z87</f>
        <v/>
      </c>
      <c r="AA88" s="372">
        <f>EDATE(AA87,1)</f>
        <v/>
      </c>
    </row>
    <row r="89">
      <c r="Z89" s="666">
        <f>J5</f>
        <v/>
      </c>
      <c r="AA89" s="372">
        <f>EDATE(AA88,1)</f>
        <v/>
      </c>
    </row>
    <row r="90">
      <c r="Z90" s="666">
        <f>Z89</f>
        <v/>
      </c>
      <c r="AA90" s="372">
        <f>EDATE(AA89,1)</f>
        <v/>
      </c>
    </row>
    <row r="91">
      <c r="Z91" s="666">
        <f>Z90</f>
        <v/>
      </c>
      <c r="AA91" s="372">
        <f>EDATE(AA90,1)</f>
        <v/>
      </c>
    </row>
    <row r="92">
      <c r="Z92" s="666">
        <f>Z91</f>
        <v/>
      </c>
      <c r="AA92" s="372">
        <f>EDATE(AA91,1)</f>
        <v/>
      </c>
    </row>
    <row r="93">
      <c r="Z93" s="666">
        <f>Z92</f>
        <v/>
      </c>
      <c r="AA93" s="372">
        <f>EDATE(AA92,1)</f>
        <v/>
      </c>
    </row>
    <row r="94">
      <c r="Z94" s="666">
        <f>Z93</f>
        <v/>
      </c>
      <c r="AA94" s="372">
        <f>EDATE(AA93,1)</f>
        <v/>
      </c>
    </row>
    <row r="95">
      <c r="Z95" s="666">
        <f>Z94</f>
        <v/>
      </c>
      <c r="AA95" s="372">
        <f>EDATE(AA94,1)</f>
        <v/>
      </c>
    </row>
    <row r="96">
      <c r="Z96" s="666">
        <f>Z95</f>
        <v/>
      </c>
      <c r="AA96" s="372">
        <f>EDATE(AA95,1)</f>
        <v/>
      </c>
    </row>
    <row r="97">
      <c r="Z97" s="666">
        <f>Z96</f>
        <v/>
      </c>
      <c r="AA97" s="372">
        <f>EDATE(AA96,1)</f>
        <v/>
      </c>
    </row>
    <row r="98">
      <c r="Z98" s="666">
        <f>Z97</f>
        <v/>
      </c>
      <c r="AA98" s="372">
        <f>EDATE(AA97,1)</f>
        <v/>
      </c>
    </row>
    <row r="99">
      <c r="Z99" s="666">
        <f>Z98</f>
        <v/>
      </c>
      <c r="AA99" s="372">
        <f>EDATE(AA98,1)</f>
        <v/>
      </c>
    </row>
    <row r="100">
      <c r="Z100" s="666">
        <f>Z99</f>
        <v/>
      </c>
      <c r="AA100" s="372">
        <f>EDATE(AA99,1)</f>
        <v/>
      </c>
    </row>
    <row r="101">
      <c r="Z101" s="666">
        <f>K5</f>
        <v/>
      </c>
      <c r="AA101" s="372">
        <f>EDATE(AA100,1)</f>
        <v/>
      </c>
    </row>
    <row r="102">
      <c r="Z102" s="666">
        <f>Z101</f>
        <v/>
      </c>
      <c r="AA102" s="372">
        <f>EDATE(AA101,1)</f>
        <v/>
      </c>
    </row>
    <row r="103">
      <c r="Z103" s="666">
        <f>Z102</f>
        <v/>
      </c>
      <c r="AA103" s="372">
        <f>EDATE(AA102,1)</f>
        <v/>
      </c>
    </row>
    <row r="104">
      <c r="Z104" s="666">
        <f>Z103</f>
        <v/>
      </c>
      <c r="AA104" s="372">
        <f>EDATE(AA103,1)</f>
        <v/>
      </c>
    </row>
    <row r="105">
      <c r="Z105" s="666">
        <f>Z104</f>
        <v/>
      </c>
      <c r="AA105" s="372">
        <f>EDATE(AA104,1)</f>
        <v/>
      </c>
    </row>
    <row r="106">
      <c r="Z106" s="666">
        <f>Z105</f>
        <v/>
      </c>
      <c r="AA106" s="372">
        <f>EDATE(AA105,1)</f>
        <v/>
      </c>
    </row>
    <row r="107">
      <c r="Z107" s="666">
        <f>Z106</f>
        <v/>
      </c>
      <c r="AA107" s="372">
        <f>EDATE(AA106,1)</f>
        <v/>
      </c>
    </row>
    <row r="108">
      <c r="Z108" s="666">
        <f>Z107</f>
        <v/>
      </c>
      <c r="AA108" s="372">
        <f>EDATE(AA107,1)</f>
        <v/>
      </c>
    </row>
    <row r="109">
      <c r="Z109" s="666">
        <f>Z108</f>
        <v/>
      </c>
      <c r="AA109" s="372">
        <f>EDATE(AA108,1)</f>
        <v/>
      </c>
    </row>
    <row r="110">
      <c r="Z110" s="666">
        <f>Z109</f>
        <v/>
      </c>
      <c r="AA110" s="372">
        <f>EDATE(AA109,1)</f>
        <v/>
      </c>
    </row>
    <row r="111">
      <c r="Z111" s="666">
        <f>Z110</f>
        <v/>
      </c>
      <c r="AA111" s="372">
        <f>EDATE(AA110,1)</f>
        <v/>
      </c>
    </row>
    <row r="112">
      <c r="Z112" s="666">
        <f>Z111</f>
        <v/>
      </c>
      <c r="AA112" s="372">
        <f>EDATE(AA111,1)</f>
        <v/>
      </c>
    </row>
    <row r="113">
      <c r="Z113" s="666">
        <f>L5</f>
        <v/>
      </c>
      <c r="AA113" s="372">
        <f>EDATE(AA112,1)</f>
        <v/>
      </c>
    </row>
    <row r="114">
      <c r="Z114" s="666">
        <f>Z113</f>
        <v/>
      </c>
      <c r="AA114" s="372">
        <f>EDATE(AA113,1)</f>
        <v/>
      </c>
    </row>
    <row r="115">
      <c r="Z115" s="666">
        <f>Z114</f>
        <v/>
      </c>
      <c r="AA115" s="372">
        <f>EDATE(AA114,1)</f>
        <v/>
      </c>
    </row>
    <row r="116">
      <c r="Z116" s="666">
        <f>Z115</f>
        <v/>
      </c>
      <c r="AA116" s="372">
        <f>EDATE(AA115,1)</f>
        <v/>
      </c>
    </row>
    <row r="117">
      <c r="Z117" s="666">
        <f>Z116</f>
        <v/>
      </c>
      <c r="AA117" s="372">
        <f>EDATE(AA116,1)</f>
        <v/>
      </c>
    </row>
    <row r="118">
      <c r="Z118" s="666">
        <f>Z117</f>
        <v/>
      </c>
      <c r="AA118" s="372">
        <f>EDATE(AA117,1)</f>
        <v/>
      </c>
    </row>
    <row r="119">
      <c r="Z119" s="666" t="n">
        <v>1270</v>
      </c>
      <c r="AA119" s="372">
        <f>EDATE(AA118,1)</f>
        <v/>
      </c>
    </row>
    <row r="120">
      <c r="Z120" s="666">
        <f>Z119</f>
        <v/>
      </c>
      <c r="AA120" s="372">
        <f>EDATE(AA119,1)</f>
        <v/>
      </c>
    </row>
    <row r="121">
      <c r="Z121" s="666">
        <f>Z120</f>
        <v/>
      </c>
      <c r="AA121" s="372">
        <f>EDATE(AA120,1)</f>
        <v/>
      </c>
    </row>
    <row r="122">
      <c r="Z122" s="666">
        <f>Z121</f>
        <v/>
      </c>
      <c r="AA122" s="372">
        <f>EDATE(AA121,1)</f>
        <v/>
      </c>
    </row>
    <row r="123">
      <c r="Z123" s="666">
        <f>Z122</f>
        <v/>
      </c>
      <c r="AA123" s="372">
        <f>EDATE(AA122,1)</f>
        <v/>
      </c>
    </row>
    <row r="124">
      <c r="Z124" s="666">
        <f>Z123</f>
        <v/>
      </c>
      <c r="AA124" s="372">
        <f>EDATE(AA123,1)</f>
        <v/>
      </c>
    </row>
    <row r="125">
      <c r="Z125" s="666">
        <f>M5</f>
        <v/>
      </c>
      <c r="AA125" s="372">
        <f>EDATE(AA124,1)</f>
        <v/>
      </c>
    </row>
    <row r="126">
      <c r="Z126" s="666">
        <f>M6</f>
        <v/>
      </c>
      <c r="AA126" s="372">
        <f>EDATE(AA125,1)</f>
        <v/>
      </c>
    </row>
    <row r="127">
      <c r="Z127" s="666">
        <f>M7</f>
        <v/>
      </c>
      <c r="AA127" s="372">
        <f>EDATE(AA126,1)</f>
        <v/>
      </c>
    </row>
    <row r="128">
      <c r="Z128" s="666">
        <f>M8</f>
        <v/>
      </c>
      <c r="AA128" s="372">
        <f>EDATE(AA127,1)</f>
        <v/>
      </c>
    </row>
    <row r="129">
      <c r="Z129" s="666">
        <f>M9</f>
        <v/>
      </c>
      <c r="AA129" s="372">
        <f>EDATE(AA128,1)</f>
        <v/>
      </c>
    </row>
    <row r="130">
      <c r="Z130" s="666">
        <f>M10</f>
        <v/>
      </c>
      <c r="AA130" s="372">
        <f>EDATE(AA129,1)</f>
        <v/>
      </c>
    </row>
    <row r="131">
      <c r="Z131" s="666">
        <f>M11</f>
        <v/>
      </c>
      <c r="AA131" s="372">
        <f>EDATE(AA130,1)</f>
        <v/>
      </c>
    </row>
    <row r="132">
      <c r="Z132" s="666">
        <f>M12</f>
        <v/>
      </c>
      <c r="AA132" s="372">
        <f>EDATE(AA131,1)</f>
        <v/>
      </c>
    </row>
    <row r="133">
      <c r="Z133" s="666">
        <f>M13</f>
        <v/>
      </c>
      <c r="AA133" s="372">
        <f>EDATE(AA132,1)</f>
        <v/>
      </c>
    </row>
    <row r="134">
      <c r="Z134" s="666">
        <f>Z133</f>
        <v/>
      </c>
      <c r="AA134" s="372">
        <f>EDATE(AA133,1)</f>
        <v/>
      </c>
    </row>
    <row r="135">
      <c r="Z135" s="666">
        <f>Z134</f>
        <v/>
      </c>
      <c r="AA135" s="372">
        <f>EDATE(AA134,1)</f>
        <v/>
      </c>
    </row>
    <row r="136">
      <c r="Z136" s="666">
        <f>Z135</f>
        <v/>
      </c>
      <c r="AA136" s="372">
        <f>EDATE(AA135,1)</f>
        <v/>
      </c>
    </row>
    <row r="137">
      <c r="Z137" s="666">
        <f>N5</f>
        <v/>
      </c>
      <c r="AA137" s="372">
        <f>EDATE(AA136,1)</f>
        <v/>
      </c>
    </row>
    <row r="138">
      <c r="Z138" s="666">
        <f>Z137</f>
        <v/>
      </c>
      <c r="AA138" s="372">
        <f>EDATE(AA137,1)</f>
        <v/>
      </c>
    </row>
    <row r="139">
      <c r="Z139" s="666">
        <f>Z138</f>
        <v/>
      </c>
      <c r="AA139" s="372">
        <f>EDATE(AA138,1)</f>
        <v/>
      </c>
    </row>
    <row r="140">
      <c r="Z140" s="666">
        <f>Z139</f>
        <v/>
      </c>
      <c r="AA140" s="372">
        <f>EDATE(AA139,1)</f>
        <v/>
      </c>
    </row>
    <row r="141">
      <c r="Z141" s="666">
        <f>Z140</f>
        <v/>
      </c>
      <c r="AA141" s="372">
        <f>EDATE(AA140,1)</f>
        <v/>
      </c>
    </row>
    <row r="142">
      <c r="Z142" s="666">
        <f>Z141</f>
        <v/>
      </c>
      <c r="AA142" s="372">
        <f>EDATE(AA141,1)</f>
        <v/>
      </c>
    </row>
    <row r="143">
      <c r="Z143" s="666">
        <f>Z142</f>
        <v/>
      </c>
      <c r="AA143" s="372">
        <f>EDATE(AA142,1)</f>
        <v/>
      </c>
    </row>
    <row r="144">
      <c r="Z144" s="666">
        <f>Z143</f>
        <v/>
      </c>
      <c r="AA144" s="372">
        <f>EDATE(AA143,1)</f>
        <v/>
      </c>
    </row>
    <row r="145">
      <c r="Z145" s="666">
        <f>Z144</f>
        <v/>
      </c>
      <c r="AA145" s="372">
        <f>EDATE(AA144,1)</f>
        <v/>
      </c>
    </row>
    <row r="146">
      <c r="Z146" s="666">
        <f>Z145</f>
        <v/>
      </c>
      <c r="AA146" s="372">
        <f>EDATE(AA145,1)</f>
        <v/>
      </c>
    </row>
    <row r="147">
      <c r="Z147" s="666">
        <f>Z146</f>
        <v/>
      </c>
      <c r="AA147" s="372">
        <f>EDATE(AA146,1)</f>
        <v/>
      </c>
    </row>
    <row r="148">
      <c r="Z148" s="666">
        <f>Z147</f>
        <v/>
      </c>
      <c r="AA148" s="372">
        <f>EDATE(AA147,1)</f>
        <v/>
      </c>
    </row>
    <row r="149">
      <c r="Z149" s="666">
        <f>O5</f>
        <v/>
      </c>
      <c r="AA149" s="372">
        <f>EDATE(AA148,1)</f>
        <v/>
      </c>
    </row>
    <row r="150">
      <c r="Z150" s="666">
        <f>Z149</f>
        <v/>
      </c>
      <c r="AA150" s="372">
        <f>EDATE(AA149,1)</f>
        <v/>
      </c>
    </row>
    <row r="151">
      <c r="Z151" s="666">
        <f>Z150</f>
        <v/>
      </c>
      <c r="AA151" s="372">
        <f>EDATE(AA150,1)</f>
        <v/>
      </c>
    </row>
    <row r="152">
      <c r="Z152" s="666">
        <f>Z151</f>
        <v/>
      </c>
      <c r="AA152" s="372">
        <f>EDATE(AA151,1)</f>
        <v/>
      </c>
    </row>
    <row r="153">
      <c r="Z153" s="666">
        <f>Z152</f>
        <v/>
      </c>
      <c r="AA153" s="372">
        <f>EDATE(AA152,1)</f>
        <v/>
      </c>
    </row>
    <row r="154">
      <c r="Z154" s="666">
        <f>Z153</f>
        <v/>
      </c>
      <c r="AA154" s="372">
        <f>EDATE(AA153,1)</f>
        <v/>
      </c>
    </row>
    <row r="155">
      <c r="Z155" s="666">
        <f>Z154</f>
        <v/>
      </c>
      <c r="AA155" s="372">
        <f>EDATE(AA154,1)</f>
        <v/>
      </c>
    </row>
    <row r="156">
      <c r="Z156" s="666">
        <f>Z155</f>
        <v/>
      </c>
      <c r="AA156" s="372">
        <f>EDATE(AA155,1)</f>
        <v/>
      </c>
    </row>
    <row r="157">
      <c r="Z157" s="666">
        <f>Z156</f>
        <v/>
      </c>
      <c r="AA157" s="372">
        <f>EDATE(AA156,1)</f>
        <v/>
      </c>
    </row>
    <row r="158">
      <c r="Z158" s="666">
        <f>Z157</f>
        <v/>
      </c>
      <c r="AA158" s="372">
        <f>EDATE(AA157,1)</f>
        <v/>
      </c>
    </row>
    <row r="159">
      <c r="Z159" s="666">
        <f>Z158</f>
        <v/>
      </c>
      <c r="AA159" s="372">
        <f>EDATE(AA158,1)</f>
        <v/>
      </c>
    </row>
    <row r="160">
      <c r="Z160" s="666">
        <f>Z159</f>
        <v/>
      </c>
      <c r="AA160" s="372">
        <f>EDATE(AA159,1)</f>
        <v/>
      </c>
    </row>
    <row r="161">
      <c r="Z161" s="666">
        <f>P5</f>
        <v/>
      </c>
      <c r="AA161" s="372">
        <f>EDATE(AA160,1)</f>
        <v/>
      </c>
    </row>
    <row r="162">
      <c r="Z162" s="666">
        <f>Z161</f>
        <v/>
      </c>
      <c r="AA162" s="372">
        <f>EDATE(AA161,1)</f>
        <v/>
      </c>
    </row>
    <row r="163">
      <c r="Z163" s="666">
        <f>Z162</f>
        <v/>
      </c>
      <c r="AA163" s="372">
        <f>EDATE(AA162,1)</f>
        <v/>
      </c>
    </row>
    <row r="164">
      <c r="Z164" s="666">
        <f>Z163</f>
        <v/>
      </c>
      <c r="AA164" s="372">
        <f>EDATE(AA163,1)</f>
        <v/>
      </c>
    </row>
    <row r="165">
      <c r="Z165" s="666">
        <f>Z164</f>
        <v/>
      </c>
      <c r="AA165" s="372">
        <f>EDATE(AA164,1)</f>
        <v/>
      </c>
    </row>
    <row r="166">
      <c r="Z166" s="666">
        <f>Z165</f>
        <v/>
      </c>
      <c r="AA166" s="372">
        <f>EDATE(AA165,1)</f>
        <v/>
      </c>
    </row>
    <row r="167">
      <c r="Z167" s="666">
        <f>Z166</f>
        <v/>
      </c>
      <c r="AA167" s="372">
        <f>EDATE(AA166,1)</f>
        <v/>
      </c>
    </row>
    <row r="168">
      <c r="Z168" s="666">
        <f>Z167</f>
        <v/>
      </c>
      <c r="AA168" s="372">
        <f>EDATE(AA167,1)</f>
        <v/>
      </c>
    </row>
    <row r="169">
      <c r="Z169" s="666">
        <f>Z168</f>
        <v/>
      </c>
      <c r="AA169" s="372">
        <f>EDATE(AA168,1)</f>
        <v/>
      </c>
    </row>
    <row r="170">
      <c r="Z170" s="666">
        <f>Z169</f>
        <v/>
      </c>
      <c r="AA170" s="372">
        <f>EDATE(AA169,1)</f>
        <v/>
      </c>
    </row>
    <row r="171">
      <c r="Z171" s="666">
        <f>Z170</f>
        <v/>
      </c>
      <c r="AA171" s="372">
        <f>EDATE(AA170,1)</f>
        <v/>
      </c>
    </row>
    <row r="172">
      <c r="Z172" s="666">
        <f>Z171</f>
        <v/>
      </c>
      <c r="AA172" s="372">
        <f>EDATE(AA171,1)</f>
        <v/>
      </c>
    </row>
    <row r="173">
      <c r="Z173" s="666">
        <f>Q5</f>
        <v/>
      </c>
      <c r="AA173" s="372">
        <f>EDATE(AA172,1)</f>
        <v/>
      </c>
    </row>
    <row r="174">
      <c r="Z174" s="666">
        <f>Z173</f>
        <v/>
      </c>
      <c r="AA174" s="372">
        <f>EDATE(AA173,1)</f>
        <v/>
      </c>
    </row>
    <row r="175">
      <c r="Z175" s="666">
        <f>Z174</f>
        <v/>
      </c>
      <c r="AA175" s="372">
        <f>EDATE(AA174,1)</f>
        <v/>
      </c>
    </row>
    <row r="176">
      <c r="Z176" s="666">
        <f>Z175</f>
        <v/>
      </c>
      <c r="AA176" s="372">
        <f>EDATE(AA175,1)</f>
        <v/>
      </c>
    </row>
    <row r="177">
      <c r="Z177" s="666">
        <f>Z176</f>
        <v/>
      </c>
      <c r="AA177" s="372">
        <f>EDATE(AA176,1)</f>
        <v/>
      </c>
    </row>
    <row r="178">
      <c r="Z178" s="666">
        <f>Z177</f>
        <v/>
      </c>
      <c r="AA178" s="372">
        <f>EDATE(AA177,1)</f>
        <v/>
      </c>
    </row>
    <row r="179">
      <c r="Z179" s="666">
        <f>Z178</f>
        <v/>
      </c>
      <c r="AA179" s="372">
        <f>EDATE(AA178,1)</f>
        <v/>
      </c>
    </row>
    <row r="180">
      <c r="Z180" s="666">
        <f>Z179</f>
        <v/>
      </c>
      <c r="AA180" s="372">
        <f>EDATE(AA179,1)</f>
        <v/>
      </c>
    </row>
    <row r="181">
      <c r="Z181" s="666">
        <f>Z180</f>
        <v/>
      </c>
      <c r="AA181" s="372">
        <f>EDATE(AA180,1)</f>
        <v/>
      </c>
    </row>
    <row r="182">
      <c r="Z182" s="666">
        <f>Z181</f>
        <v/>
      </c>
      <c r="AA182" s="372">
        <f>EDATE(AA181,1)</f>
        <v/>
      </c>
    </row>
    <row r="183">
      <c r="Z183" s="666">
        <f>Z182</f>
        <v/>
      </c>
      <c r="AA183" s="372">
        <f>EDATE(AA182,1)</f>
        <v/>
      </c>
    </row>
    <row r="184">
      <c r="Z184" s="666">
        <f>Z183</f>
        <v/>
      </c>
      <c r="AA184" s="372">
        <f>EDATE(AA183,1)</f>
        <v/>
      </c>
    </row>
    <row r="185">
      <c r="Z185" s="666">
        <f>R5</f>
        <v/>
      </c>
      <c r="AA185" s="372">
        <f>EDATE(AA184,1)</f>
        <v/>
      </c>
    </row>
    <row r="186">
      <c r="Z186" s="666">
        <f>Z185</f>
        <v/>
      </c>
      <c r="AA186" s="372">
        <f>EDATE(AA185,1)</f>
        <v/>
      </c>
    </row>
    <row r="187">
      <c r="Z187" s="666">
        <f>Z186</f>
        <v/>
      </c>
      <c r="AA187" s="372">
        <f>EDATE(AA186,1)</f>
        <v/>
      </c>
    </row>
    <row r="188">
      <c r="Z188" s="666">
        <f>Z187</f>
        <v/>
      </c>
      <c r="AA188" s="372">
        <f>EDATE(AA187,1)</f>
        <v/>
      </c>
    </row>
    <row r="189">
      <c r="Z189" s="666">
        <f>Z188</f>
        <v/>
      </c>
      <c r="AA189" s="372">
        <f>EDATE(AA188,1)</f>
        <v/>
      </c>
    </row>
    <row r="190">
      <c r="Z190" s="666">
        <f>Z189</f>
        <v/>
      </c>
      <c r="AA190" s="372">
        <f>EDATE(AA189,1)</f>
        <v/>
      </c>
    </row>
    <row r="191">
      <c r="Z191" s="666">
        <f>Z190</f>
        <v/>
      </c>
      <c r="AA191" s="372">
        <f>EDATE(AA190,1)</f>
        <v/>
      </c>
    </row>
    <row r="192">
      <c r="Z192" s="666">
        <f>Z191</f>
        <v/>
      </c>
      <c r="AA192" s="372">
        <f>EDATE(AA191,1)</f>
        <v/>
      </c>
    </row>
    <row r="193">
      <c r="Z193" s="666">
        <f>Z192</f>
        <v/>
      </c>
      <c r="AA193" s="372">
        <f>EDATE(AA192,1)</f>
        <v/>
      </c>
    </row>
    <row r="194">
      <c r="Z194" s="666">
        <f>Z193</f>
        <v/>
      </c>
      <c r="AA194" s="372">
        <f>EDATE(AA193,1)</f>
        <v/>
      </c>
    </row>
    <row r="195">
      <c r="Z195" s="666">
        <f>Z194</f>
        <v/>
      </c>
      <c r="AA195" s="372">
        <f>EDATE(AA194,1)</f>
        <v/>
      </c>
    </row>
    <row r="196">
      <c r="Z196" s="666">
        <f>Z195</f>
        <v/>
      </c>
      <c r="AA196" s="372">
        <f>EDATE(AA195,1)</f>
        <v/>
      </c>
    </row>
    <row r="197">
      <c r="Z197" s="666">
        <f>S5</f>
        <v/>
      </c>
      <c r="AA197" s="372">
        <f>EDATE(AA196,1)</f>
        <v/>
      </c>
    </row>
    <row r="198">
      <c r="Z198" s="666">
        <f>Z197</f>
        <v/>
      </c>
      <c r="AA198" s="372">
        <f>EDATE(AA197,1)</f>
        <v/>
      </c>
    </row>
    <row r="199">
      <c r="Z199" s="666">
        <f>Z198</f>
        <v/>
      </c>
      <c r="AA199" s="372">
        <f>EDATE(AA198,1)</f>
        <v/>
      </c>
    </row>
    <row r="200">
      <c r="Z200" s="666">
        <f>Z199</f>
        <v/>
      </c>
      <c r="AA200" s="372">
        <f>EDATE(AA199,1)</f>
        <v/>
      </c>
    </row>
    <row r="201">
      <c r="Z201" s="666">
        <f>Z200</f>
        <v/>
      </c>
      <c r="AA201" s="372">
        <f>EDATE(AA200,1)</f>
        <v/>
      </c>
    </row>
    <row r="202">
      <c r="Z202" s="666">
        <f>Z201</f>
        <v/>
      </c>
      <c r="AA202" s="372">
        <f>EDATE(AA201,1)</f>
        <v/>
      </c>
    </row>
    <row r="203">
      <c r="Z203" s="666">
        <f>Z202</f>
        <v/>
      </c>
      <c r="AA203" s="372">
        <f>EDATE(AA202,1)</f>
        <v/>
      </c>
    </row>
    <row r="204">
      <c r="Z204" s="666">
        <f>Z203</f>
        <v/>
      </c>
      <c r="AA204" s="372">
        <f>EDATE(AA203,1)</f>
        <v/>
      </c>
    </row>
    <row r="205">
      <c r="Z205" s="666">
        <f>Z204</f>
        <v/>
      </c>
      <c r="AA205" s="372">
        <f>EDATE(AA204,1)</f>
        <v/>
      </c>
    </row>
    <row r="206">
      <c r="Z206" s="666">
        <f>Z205</f>
        <v/>
      </c>
      <c r="AA206" s="372">
        <f>EDATE(AA205,1)</f>
        <v/>
      </c>
    </row>
    <row r="207">
      <c r="Z207" s="666">
        <f>Z206</f>
        <v/>
      </c>
      <c r="AA207" s="372">
        <f>EDATE(AA206,1)</f>
        <v/>
      </c>
    </row>
    <row r="208">
      <c r="Z208" s="666">
        <f>Z207</f>
        <v/>
      </c>
      <c r="AA208" s="372">
        <f>EDATE(AA207,1)</f>
        <v/>
      </c>
    </row>
    <row r="209">
      <c r="Z209" s="666">
        <f>T5</f>
        <v/>
      </c>
      <c r="AA209" s="372">
        <f>EDATE(AA208,1)</f>
        <v/>
      </c>
    </row>
    <row r="210">
      <c r="Z210" s="666">
        <f>Z209</f>
        <v/>
      </c>
      <c r="AA210" s="372">
        <f>EDATE(AA209,1)</f>
        <v/>
      </c>
    </row>
    <row r="211">
      <c r="Z211" s="666">
        <f>Z210</f>
        <v/>
      </c>
      <c r="AA211" s="372">
        <f>EDATE(AA210,1)</f>
        <v/>
      </c>
    </row>
    <row r="212">
      <c r="Z212" s="666">
        <f>Z211</f>
        <v/>
      </c>
      <c r="AA212" s="372">
        <f>EDATE(AA211,1)</f>
        <v/>
      </c>
    </row>
    <row r="213">
      <c r="Z213" s="666">
        <f>Z212</f>
        <v/>
      </c>
      <c r="AA213" s="372">
        <f>EDATE(AA212,1)</f>
        <v/>
      </c>
    </row>
    <row r="214">
      <c r="Z214" s="666">
        <f>Z213</f>
        <v/>
      </c>
      <c r="AA214" s="372">
        <f>EDATE(AA213,1)</f>
        <v/>
      </c>
    </row>
    <row r="215">
      <c r="Z215" s="666">
        <f>Z214</f>
        <v/>
      </c>
      <c r="AA215" s="372">
        <f>EDATE(AA214,1)</f>
        <v/>
      </c>
    </row>
    <row r="216">
      <c r="Z216" s="666">
        <f>Z215</f>
        <v/>
      </c>
      <c r="AA216" s="372">
        <f>EDATE(AA215,1)</f>
        <v/>
      </c>
    </row>
    <row r="217">
      <c r="Z217" s="666">
        <f>Z216</f>
        <v/>
      </c>
      <c r="AA217" s="372">
        <f>EDATE(AA216,1)</f>
        <v/>
      </c>
    </row>
    <row r="218">
      <c r="Z218" s="666">
        <f>Z217</f>
        <v/>
      </c>
      <c r="AA218" s="372">
        <f>EDATE(AA217,1)</f>
        <v/>
      </c>
    </row>
    <row r="219">
      <c r="Z219" s="666">
        <f>Z218</f>
        <v/>
      </c>
      <c r="AA219" s="372">
        <f>EDATE(AA218,1)</f>
        <v/>
      </c>
    </row>
    <row r="220">
      <c r="Z220" s="666">
        <f>Z219</f>
        <v/>
      </c>
      <c r="AA220" s="372">
        <f>EDATE(AA219,1)</f>
        <v/>
      </c>
    </row>
    <row r="221">
      <c r="Z221" s="666" t="n">
        <v>1985</v>
      </c>
      <c r="AA221" s="372">
        <f>EDATE(AA220,1)</f>
        <v/>
      </c>
    </row>
    <row r="222">
      <c r="Z222" s="666" t="n">
        <v>1985</v>
      </c>
      <c r="AA222" s="372">
        <f>EDATE(AA221,1)</f>
        <v/>
      </c>
    </row>
    <row r="223">
      <c r="Z223" s="666" t="n">
        <v>1985</v>
      </c>
      <c r="AA223" s="372">
        <f>EDATE(AA222,1)</f>
        <v/>
      </c>
    </row>
    <row r="224">
      <c r="Z224" s="666" t="n">
        <v>1985</v>
      </c>
      <c r="AA224" s="372">
        <f>EDATE(AA223,1)</f>
        <v/>
      </c>
    </row>
    <row r="225">
      <c r="Z225" s="666" t="n">
        <v>1985</v>
      </c>
      <c r="AA225" s="372">
        <f>EDATE(AA224,1)</f>
        <v/>
      </c>
    </row>
    <row r="226">
      <c r="Z226" s="666" t="n">
        <v>1985</v>
      </c>
      <c r="AA226" s="372">
        <f>EDATE(AA225,1)</f>
        <v/>
      </c>
    </row>
    <row r="227">
      <c r="Z227" s="666" t="n">
        <v>1985</v>
      </c>
      <c r="AA227" s="372">
        <f>EDATE(AA226,1)</f>
        <v/>
      </c>
    </row>
    <row r="228">
      <c r="Z228" s="666" t="n">
        <v>1985</v>
      </c>
      <c r="AA228" s="372">
        <f>EDATE(AA227,1)</f>
        <v/>
      </c>
    </row>
    <row r="229">
      <c r="Z229" s="666" t="n">
        <v>1985</v>
      </c>
      <c r="AA229" s="372">
        <f>EDATE(AA228,1)</f>
        <v/>
      </c>
    </row>
    <row r="230">
      <c r="Z230" s="666" t="n">
        <v>1985</v>
      </c>
      <c r="AA230" s="372">
        <f>EDATE(AA229,1)</f>
        <v/>
      </c>
    </row>
    <row r="231">
      <c r="Z231" s="666" t="n">
        <v>1985</v>
      </c>
      <c r="AA231" s="372">
        <f>EDATE(AA230,1)</f>
        <v/>
      </c>
    </row>
    <row r="232">
      <c r="Z232" s="666" t="n">
        <v>1985</v>
      </c>
      <c r="AA232" s="372">
        <f>EDATE(AA231,1)</f>
        <v/>
      </c>
    </row>
    <row r="233">
      <c r="Z233" s="666" t="n">
        <v>2080</v>
      </c>
      <c r="AA233" s="372">
        <f>EDATE(AA232,1)</f>
        <v/>
      </c>
    </row>
    <row r="234">
      <c r="Z234" s="666" t="n">
        <v>2080</v>
      </c>
      <c r="AA234" s="372">
        <f>EDATE(AA233,1)</f>
        <v/>
      </c>
    </row>
    <row r="235">
      <c r="Z235" s="666" t="n">
        <v>2080</v>
      </c>
      <c r="AA235" s="372">
        <f>EDATE(AA234,1)</f>
        <v/>
      </c>
    </row>
    <row r="236">
      <c r="Z236" s="666" t="n">
        <v>2080</v>
      </c>
      <c r="AA236" s="372">
        <f>EDATE(AA235,1)</f>
        <v/>
      </c>
    </row>
    <row r="237">
      <c r="Z237" s="666" t="n">
        <v>2080</v>
      </c>
      <c r="AA237" s="372">
        <f>EDATE(AA236,1)</f>
        <v/>
      </c>
    </row>
    <row r="238">
      <c r="Z238" s="666" t="n">
        <v>2080</v>
      </c>
      <c r="AA238" s="372">
        <f>EDATE(AA237,1)</f>
        <v/>
      </c>
    </row>
    <row r="239">
      <c r="Z239" s="666" t="n">
        <v>2090</v>
      </c>
      <c r="AA239" s="372">
        <f>EDATE(AA238,1)</f>
        <v/>
      </c>
    </row>
    <row r="240">
      <c r="Z240" s="666" t="n">
        <v>2090</v>
      </c>
      <c r="AA240" s="372">
        <f>EDATE(AA239,1)</f>
        <v/>
      </c>
    </row>
    <row r="241">
      <c r="Z241" s="666" t="n">
        <v>2090</v>
      </c>
      <c r="AA241" s="372">
        <f>EDATE(AA240,1)</f>
        <v/>
      </c>
    </row>
    <row r="242">
      <c r="Z242" s="666" t="n">
        <v>2090</v>
      </c>
      <c r="AA242" s="372">
        <f>EDATE(AA241,1)</f>
        <v/>
      </c>
    </row>
    <row r="243">
      <c r="Z243" s="666" t="n">
        <v>2090</v>
      </c>
      <c r="AA243" s="372">
        <f>EDATE(AA242,1)</f>
        <v/>
      </c>
    </row>
    <row r="244">
      <c r="Z244" s="666" t="n">
        <v>2090</v>
      </c>
      <c r="AA244" s="372">
        <f>EDATE(AA243,1)</f>
        <v/>
      </c>
    </row>
    <row r="245">
      <c r="AA245" s="372">
        <f>EDATE(AA244,1)</f>
        <v/>
      </c>
    </row>
    <row r="246">
      <c r="AA246" s="372">
        <f>EDATE(AA245,1)</f>
        <v/>
      </c>
    </row>
    <row r="247">
      <c r="AA247" s="372">
        <f>EDATE(AA246,1)</f>
        <v/>
      </c>
    </row>
    <row r="248">
      <c r="AA248" s="372">
        <f>EDATE(AA247,1)</f>
        <v/>
      </c>
    </row>
    <row r="249">
      <c r="AA249" s="372">
        <f>EDATE(AA248,1)</f>
        <v/>
      </c>
    </row>
    <row r="250">
      <c r="AA250" s="372">
        <f>EDATE(AA249,1)</f>
        <v/>
      </c>
    </row>
    <row r="251">
      <c r="AA251" s="372">
        <f>EDATE(AA250,1)</f>
        <v/>
      </c>
    </row>
    <row r="252">
      <c r="AA252" s="372">
        <f>EDATE(AA251,1)</f>
        <v/>
      </c>
    </row>
    <row r="253">
      <c r="AA253" s="372">
        <f>EDATE(AA252,1)</f>
        <v/>
      </c>
    </row>
    <row r="254">
      <c r="AA254" s="372">
        <f>EDATE(AA253,1)</f>
        <v/>
      </c>
    </row>
    <row r="255">
      <c r="AA255" s="372">
        <f>EDATE(AA254,1)</f>
        <v/>
      </c>
    </row>
    <row r="256">
      <c r="AA256" s="372">
        <f>EDATE(AA255,1)</f>
        <v/>
      </c>
    </row>
    <row r="257">
      <c r="AA257" s="372">
        <f>EDATE(AA256,1)</f>
        <v/>
      </c>
    </row>
    <row r="258">
      <c r="AA258" s="372">
        <f>EDATE(AA257,1)</f>
        <v/>
      </c>
    </row>
    <row r="259">
      <c r="AA259" s="372">
        <f>EDATE(AA258,1)</f>
        <v/>
      </c>
    </row>
    <row r="260">
      <c r="AA260" s="372">
        <f>EDATE(AA259,1)</f>
        <v/>
      </c>
    </row>
    <row r="261">
      <c r="AA261" s="372">
        <f>EDATE(AA260,1)</f>
        <v/>
      </c>
    </row>
    <row r="262">
      <c r="AA262" s="372">
        <f>EDATE(AA261,1)</f>
        <v/>
      </c>
    </row>
    <row r="263">
      <c r="AA263" s="372">
        <f>EDATE(AA262,1)</f>
        <v/>
      </c>
    </row>
    <row r="264">
      <c r="AA264" s="372">
        <f>EDATE(AA263,1)</f>
        <v/>
      </c>
    </row>
    <row r="265">
      <c r="AA265" s="372">
        <f>EDATE(AA264,1)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R249"/>
  <sheetViews>
    <sheetView workbookViewId="0">
      <selection activeCell="Q24" sqref="Q24"/>
    </sheetView>
  </sheetViews>
  <sheetFormatPr baseColWidth="8" defaultRowHeight="13.2"/>
  <cols>
    <col width="10.5546875" bestFit="1" customWidth="1" min="5" max="16"/>
  </cols>
  <sheetData>
    <row r="1" ht="18" customHeight="1">
      <c r="A1" s="166" t="inlineStr">
        <is>
          <t>OSD for Social Services Professions</t>
        </is>
      </c>
      <c r="B1" s="95" t="n"/>
      <c r="C1" s="167" t="n"/>
    </row>
    <row r="2" ht="15.6" customHeight="1">
      <c r="A2" s="168" t="inlineStr">
        <is>
          <t>Notch History</t>
        </is>
      </c>
      <c r="C2" s="167" t="n"/>
    </row>
    <row r="3">
      <c r="D3" t="inlineStr">
        <is>
          <t>Increase</t>
        </is>
      </c>
      <c r="H3" s="169" t="n">
        <v>0.075</v>
      </c>
      <c r="I3" s="169" t="n">
        <v>0.068</v>
      </c>
      <c r="J3" s="169" t="n">
        <v>0.07000000000000001</v>
      </c>
      <c r="K3" s="169" t="n">
        <v>0.066</v>
      </c>
      <c r="L3" s="169" t="n">
        <v>0.07400000000000001</v>
      </c>
      <c r="M3" s="169" t="n">
        <v>0.07000000000000001</v>
      </c>
      <c r="N3" s="169" t="n">
        <v>0.076</v>
      </c>
      <c r="O3" s="169" t="n">
        <v>0.073</v>
      </c>
      <c r="P3" s="169" t="n">
        <v>0.06999648734091712</v>
      </c>
      <c r="Q3" s="169" t="n">
        <v>0.06199573226934674</v>
      </c>
    </row>
    <row r="4" ht="28.8" customHeight="1">
      <c r="A4" s="170" t="n"/>
      <c r="B4" s="171" t="inlineStr">
        <is>
          <t>Salary Band</t>
        </is>
      </c>
      <c r="C4" s="170" t="inlineStr">
        <is>
          <t>Salary Notch</t>
        </is>
      </c>
      <c r="D4" s="170" t="n">
        <v>38899</v>
      </c>
      <c r="E4" s="170" t="n">
        <v>39264</v>
      </c>
      <c r="F4" s="170" t="n">
        <v>39630</v>
      </c>
      <c r="G4" s="170" t="n">
        <v>39995</v>
      </c>
      <c r="H4" s="170" t="n">
        <v>40360</v>
      </c>
      <c r="I4" s="170" t="n">
        <v>40664</v>
      </c>
      <c r="J4" s="170" t="n">
        <v>41030</v>
      </c>
      <c r="K4" s="170" t="n">
        <v>41365</v>
      </c>
      <c r="L4" s="170" t="n">
        <v>41730</v>
      </c>
      <c r="M4" s="170" t="n">
        <v>42095</v>
      </c>
      <c r="N4" s="170" t="n">
        <v>42461</v>
      </c>
      <c r="O4" s="170" t="n">
        <v>42826</v>
      </c>
      <c r="P4" s="170" t="n">
        <v>43191</v>
      </c>
      <c r="Q4" s="170" t="n">
        <v>43556</v>
      </c>
    </row>
    <row r="5" ht="18" customHeight="1">
      <c r="B5" s="172" t="inlineStr">
        <is>
          <t>Social Auxiliary Worker and Social Worker</t>
        </is>
      </c>
    </row>
    <row r="6" ht="14.4" customHeight="1">
      <c r="A6" s="173" t="n">
        <v>1</v>
      </c>
      <c r="B6" s="529" t="inlineStr">
        <is>
          <t>Social Auxiliary Worker Grade 1</t>
        </is>
      </c>
      <c r="C6" s="174" t="n">
        <v>1</v>
      </c>
      <c r="G6" s="175" t="n">
        <v>75069</v>
      </c>
      <c r="H6" s="175" t="n">
        <v>80700</v>
      </c>
      <c r="I6" s="175" t="n">
        <v>86187</v>
      </c>
      <c r="J6" s="176" t="n">
        <v>92220</v>
      </c>
      <c r="K6" s="176" t="n">
        <v>98307</v>
      </c>
      <c r="L6" s="175" t="n">
        <v>105582</v>
      </c>
      <c r="M6" s="175" t="n">
        <v>112974</v>
      </c>
      <c r="N6" s="175" t="n">
        <v>121560</v>
      </c>
      <c r="O6" s="175" t="n">
        <v>130434</v>
      </c>
      <c r="P6" s="175" t="n">
        <v>139563</v>
      </c>
      <c r="Q6" s="175" t="n">
        <v>148215</v>
      </c>
      <c r="R6" s="191" t="n"/>
    </row>
    <row r="7" ht="14.4" customHeight="1">
      <c r="A7" s="173" t="n"/>
      <c r="C7" s="174" t="n">
        <v>2</v>
      </c>
      <c r="G7" s="175" t="n">
        <v>77325</v>
      </c>
      <c r="H7" s="175" t="n">
        <v>83124</v>
      </c>
      <c r="I7" s="175" t="n">
        <v>88776</v>
      </c>
      <c r="J7" s="176" t="n">
        <v>94989</v>
      </c>
      <c r="K7" s="176" t="n">
        <v>101259</v>
      </c>
      <c r="L7" s="175" t="n">
        <v>108753</v>
      </c>
      <c r="M7" s="175" t="n">
        <v>116367</v>
      </c>
      <c r="N7" s="175" t="n">
        <v>125211</v>
      </c>
      <c r="O7" s="175" t="n">
        <v>134352</v>
      </c>
      <c r="P7" s="175" t="n">
        <v>143757</v>
      </c>
      <c r="Q7" s="175" t="n">
        <v>152670</v>
      </c>
      <c r="R7" s="191" t="n"/>
    </row>
    <row r="8" ht="14.4" customHeight="1">
      <c r="A8" s="173" t="n"/>
      <c r="C8" s="174" t="n">
        <v>3</v>
      </c>
      <c r="G8" s="175" t="n">
        <v>79641</v>
      </c>
      <c r="H8" s="175" t="n">
        <v>85614</v>
      </c>
      <c r="I8" s="175" t="n">
        <v>91437</v>
      </c>
      <c r="J8" s="176" t="n">
        <v>97839</v>
      </c>
      <c r="K8" s="176" t="n">
        <v>104295</v>
      </c>
      <c r="L8" s="175" t="n">
        <v>112014</v>
      </c>
      <c r="M8" s="175" t="n">
        <v>119856</v>
      </c>
      <c r="N8" s="175" t="n">
        <v>128964</v>
      </c>
      <c r="O8" s="175" t="n">
        <v>138378</v>
      </c>
      <c r="P8" s="175" t="n">
        <v>148065</v>
      </c>
      <c r="Q8" s="175" t="n">
        <v>157245</v>
      </c>
      <c r="R8" s="191" t="n"/>
    </row>
    <row r="9" ht="14.4" customHeight="1">
      <c r="A9" s="173" t="n"/>
      <c r="C9" s="174" t="n">
        <v>4</v>
      </c>
      <c r="G9" s="175" t="n">
        <v>82035</v>
      </c>
      <c r="H9" s="175" t="n">
        <v>88188</v>
      </c>
      <c r="I9" s="175" t="n">
        <v>94185</v>
      </c>
      <c r="J9" s="176" t="n">
        <v>100779</v>
      </c>
      <c r="K9" s="176" t="n">
        <v>107430</v>
      </c>
      <c r="L9" s="175" t="n">
        <v>115380</v>
      </c>
      <c r="M9" s="175" t="n">
        <v>123456</v>
      </c>
      <c r="N9" s="175" t="n">
        <v>132840</v>
      </c>
      <c r="O9" s="175" t="n">
        <v>142536</v>
      </c>
      <c r="P9" s="175" t="n">
        <v>152514</v>
      </c>
      <c r="Q9" s="175" t="n">
        <v>161970</v>
      </c>
      <c r="R9" s="191" t="n"/>
    </row>
    <row r="10" ht="14.4" customHeight="1">
      <c r="A10" s="173" t="n"/>
      <c r="C10" s="174" t="n">
        <v>5</v>
      </c>
      <c r="G10" s="175" t="n">
        <v>84498</v>
      </c>
      <c r="H10" s="175" t="n">
        <v>90834</v>
      </c>
      <c r="I10" s="175" t="n">
        <v>97011</v>
      </c>
      <c r="J10" s="176" t="n">
        <v>103803</v>
      </c>
      <c r="K10" s="176" t="n">
        <v>110655</v>
      </c>
      <c r="L10" s="175" t="n">
        <v>118842</v>
      </c>
      <c r="M10" s="175" t="n">
        <v>127161</v>
      </c>
      <c r="N10" s="175" t="n">
        <v>136824</v>
      </c>
      <c r="O10" s="175" t="n">
        <v>146811</v>
      </c>
      <c r="P10" s="175" t="n">
        <v>157089</v>
      </c>
      <c r="Q10" s="175" t="n">
        <v>166830</v>
      </c>
      <c r="R10" s="191" t="n"/>
    </row>
    <row r="11" ht="14.4" customHeight="1">
      <c r="A11" s="173" t="n">
        <v>2</v>
      </c>
      <c r="B11" s="528" t="inlineStr">
        <is>
          <t>Social Auxiliary Worker Grade 2</t>
        </is>
      </c>
      <c r="C11" s="174" t="n">
        <v>1</v>
      </c>
      <c r="G11" s="175" t="n">
        <v>89640</v>
      </c>
      <c r="H11" s="175" t="n">
        <v>96363</v>
      </c>
      <c r="I11" s="175" t="n">
        <v>102915</v>
      </c>
      <c r="J11" s="176" t="n">
        <v>110118</v>
      </c>
      <c r="K11" s="176" t="n">
        <v>117387</v>
      </c>
      <c r="L11" s="175" t="n">
        <v>126075</v>
      </c>
      <c r="M11" s="175" t="n">
        <v>134901</v>
      </c>
      <c r="N11" s="175" t="n">
        <v>145152</v>
      </c>
      <c r="O11" s="175" t="n">
        <v>155748</v>
      </c>
      <c r="P11" s="175" t="n">
        <v>166650</v>
      </c>
      <c r="Q11" s="175" t="n">
        <v>176982</v>
      </c>
      <c r="R11" s="191" t="n"/>
    </row>
    <row r="12" ht="14.4" customHeight="1">
      <c r="A12" s="173" t="n"/>
      <c r="C12" s="174" t="n">
        <v>2</v>
      </c>
      <c r="G12" s="175" t="n">
        <v>92328</v>
      </c>
      <c r="H12" s="175" t="n">
        <v>99252</v>
      </c>
      <c r="I12" s="175" t="n">
        <v>106002</v>
      </c>
      <c r="J12" s="176" t="n">
        <v>113421</v>
      </c>
      <c r="K12" s="176" t="n">
        <v>120906</v>
      </c>
      <c r="L12" s="175" t="n">
        <v>129852</v>
      </c>
      <c r="M12" s="175" t="n">
        <v>138942</v>
      </c>
      <c r="N12" s="175" t="n">
        <v>149502</v>
      </c>
      <c r="O12" s="175" t="n">
        <v>160416</v>
      </c>
      <c r="P12" s="175" t="n">
        <v>171645</v>
      </c>
      <c r="Q12" s="175" t="n">
        <v>182286</v>
      </c>
      <c r="R12" s="191" t="n"/>
    </row>
    <row r="13" ht="14.4" customHeight="1">
      <c r="A13" s="173" t="n"/>
      <c r="C13" s="174" t="n">
        <v>3</v>
      </c>
      <c r="G13" s="175" t="n">
        <v>95097</v>
      </c>
      <c r="H13" s="175" t="n">
        <v>102228</v>
      </c>
      <c r="I13" s="175" t="n">
        <v>109179</v>
      </c>
      <c r="J13" s="176" t="n">
        <v>116823</v>
      </c>
      <c r="K13" s="176" t="n">
        <v>124533</v>
      </c>
      <c r="L13" s="175" t="n">
        <v>133749</v>
      </c>
      <c r="M13" s="175" t="n">
        <v>143112</v>
      </c>
      <c r="N13" s="175" t="n">
        <v>153990</v>
      </c>
      <c r="O13" s="175" t="n">
        <v>165231</v>
      </c>
      <c r="P13" s="175" t="n">
        <v>176796</v>
      </c>
      <c r="Q13" s="175" t="n">
        <v>187758</v>
      </c>
      <c r="R13" s="191" t="n"/>
    </row>
    <row r="14" ht="14.4" customHeight="1">
      <c r="A14" s="173" t="n"/>
      <c r="C14" s="174" t="n">
        <v>4</v>
      </c>
      <c r="G14" s="175" t="n">
        <v>97950</v>
      </c>
      <c r="H14" s="175" t="n">
        <v>105297</v>
      </c>
      <c r="I14" s="175" t="n">
        <v>112458</v>
      </c>
      <c r="J14" s="176" t="n">
        <v>120330</v>
      </c>
      <c r="K14" s="176" t="n">
        <v>128271</v>
      </c>
      <c r="L14" s="175" t="n">
        <v>137763</v>
      </c>
      <c r="M14" s="175" t="n">
        <v>147405</v>
      </c>
      <c r="N14" s="175" t="n">
        <v>158607</v>
      </c>
      <c r="O14" s="175" t="n">
        <v>170184</v>
      </c>
      <c r="P14" s="175" t="n">
        <v>182097</v>
      </c>
      <c r="Q14" s="175" t="n">
        <v>193386</v>
      </c>
      <c r="R14" s="191" t="n"/>
    </row>
    <row r="15" ht="14.4" customHeight="1">
      <c r="A15" s="173" t="n"/>
      <c r="C15" s="174" t="n">
        <v>5</v>
      </c>
      <c r="G15" s="175" t="n">
        <v>100887</v>
      </c>
      <c r="H15" s="175" t="n">
        <v>108453</v>
      </c>
      <c r="I15" s="175" t="n">
        <v>115827</v>
      </c>
      <c r="J15" s="176" t="n">
        <v>123936</v>
      </c>
      <c r="K15" s="176" t="n">
        <v>132117</v>
      </c>
      <c r="L15" s="175" t="n">
        <v>141894</v>
      </c>
      <c r="M15" s="175" t="n">
        <v>151827</v>
      </c>
      <c r="N15" s="175" t="n">
        <v>163365</v>
      </c>
      <c r="O15" s="175" t="n">
        <v>175290</v>
      </c>
      <c r="P15" s="175" t="n">
        <v>187560</v>
      </c>
      <c r="Q15" s="175" t="n">
        <v>199188</v>
      </c>
      <c r="R15" s="191" t="n"/>
    </row>
    <row r="16" ht="14.4" customHeight="1">
      <c r="A16" s="530" t="n">
        <v>3</v>
      </c>
      <c r="B16" s="528" t="inlineStr">
        <is>
          <t>Social Auxiliary Worker Grade 3</t>
        </is>
      </c>
      <c r="C16" s="174" t="n">
        <v>1</v>
      </c>
      <c r="G16" s="175" t="n">
        <v>107034</v>
      </c>
      <c r="H16" s="175" t="n">
        <v>115062</v>
      </c>
      <c r="I16" s="175" t="n">
        <v>122886</v>
      </c>
      <c r="J16" s="176" t="n">
        <v>131487</v>
      </c>
      <c r="K16" s="176" t="n">
        <v>140166</v>
      </c>
      <c r="L16" s="175" t="n">
        <v>150537</v>
      </c>
      <c r="M16" s="175" t="n">
        <v>161076</v>
      </c>
      <c r="N16" s="175" t="n">
        <v>173319</v>
      </c>
      <c r="O16" s="175" t="n">
        <v>185970</v>
      </c>
      <c r="P16" s="175" t="n">
        <v>198987</v>
      </c>
      <c r="Q16" s="175" t="n">
        <v>211323</v>
      </c>
      <c r="R16" s="191" t="n"/>
    </row>
    <row r="17" ht="14.4" customHeight="1">
      <c r="C17" s="174" t="n">
        <v>2</v>
      </c>
      <c r="G17" s="175" t="n">
        <v>110244</v>
      </c>
      <c r="H17" s="175" t="n">
        <v>118512</v>
      </c>
      <c r="I17" s="175" t="n">
        <v>126570</v>
      </c>
      <c r="J17" s="176" t="n">
        <v>135429</v>
      </c>
      <c r="K17" s="176" t="n">
        <v>144366</v>
      </c>
      <c r="L17" s="175" t="n">
        <v>155049</v>
      </c>
      <c r="M17" s="175" t="n">
        <v>165903</v>
      </c>
      <c r="N17" s="175" t="n">
        <v>178512</v>
      </c>
      <c r="O17" s="175" t="n">
        <v>191544</v>
      </c>
      <c r="P17" s="175" t="n">
        <v>204951</v>
      </c>
      <c r="Q17" s="175" t="n">
        <v>217659</v>
      </c>
      <c r="R17" s="191" t="n"/>
    </row>
    <row r="18" ht="14.4" customHeight="1">
      <c r="C18" s="174" t="n">
        <v>3</v>
      </c>
      <c r="G18" s="175" t="n">
        <v>113550</v>
      </c>
      <c r="H18" s="175" t="n">
        <v>122067</v>
      </c>
      <c r="I18" s="175" t="n">
        <v>130368</v>
      </c>
      <c r="J18" s="176" t="n">
        <v>139494</v>
      </c>
      <c r="K18" s="176" t="n">
        <v>148701</v>
      </c>
      <c r="L18" s="175" t="n">
        <v>159705</v>
      </c>
      <c r="M18" s="175" t="n">
        <v>170883</v>
      </c>
      <c r="N18" s="175" t="n">
        <v>183870</v>
      </c>
      <c r="O18" s="175" t="n">
        <v>197292</v>
      </c>
      <c r="P18" s="175" t="n">
        <v>211101</v>
      </c>
      <c r="Q18" s="175" t="n">
        <v>224190</v>
      </c>
      <c r="R18" s="191" t="n"/>
    </row>
    <row r="19" ht="14.4" customHeight="1">
      <c r="C19" s="174" t="n">
        <v>4</v>
      </c>
      <c r="G19" s="175" t="n">
        <v>116961</v>
      </c>
      <c r="H19" s="175" t="n">
        <v>125733</v>
      </c>
      <c r="I19" s="175" t="n">
        <v>134283</v>
      </c>
      <c r="J19" s="176" t="n">
        <v>143682</v>
      </c>
      <c r="K19" s="176" t="n">
        <v>153165</v>
      </c>
      <c r="L19" s="175" t="n">
        <v>164499</v>
      </c>
      <c r="M19" s="175" t="n">
        <v>176013</v>
      </c>
      <c r="N19" s="175" t="n">
        <v>189390</v>
      </c>
      <c r="O19" s="175" t="n">
        <v>203214</v>
      </c>
      <c r="P19" s="175" t="n">
        <v>217440</v>
      </c>
      <c r="Q19" s="175" t="n">
        <v>230922</v>
      </c>
      <c r="R19" s="191" t="n"/>
    </row>
    <row r="20" ht="14.4" customHeight="1">
      <c r="C20" s="174" t="n">
        <v>5</v>
      </c>
      <c r="G20" s="175" t="n">
        <v>120468</v>
      </c>
      <c r="H20" s="175" t="n">
        <v>129504</v>
      </c>
      <c r="I20" s="175" t="n">
        <v>138309</v>
      </c>
      <c r="J20" s="176" t="n">
        <v>147990</v>
      </c>
      <c r="K20" s="176" t="n">
        <v>157758</v>
      </c>
      <c r="L20" s="175" t="n">
        <v>169431</v>
      </c>
      <c r="M20" s="175" t="n">
        <v>181290</v>
      </c>
      <c r="N20" s="175" t="n">
        <v>195069</v>
      </c>
      <c r="O20" s="175" t="n">
        <v>209310</v>
      </c>
      <c r="P20" s="175" t="n">
        <v>223962</v>
      </c>
      <c r="Q20" s="175" t="n">
        <v>237849</v>
      </c>
      <c r="R20" s="191" t="n"/>
    </row>
    <row r="21" ht="14.4" customHeight="1">
      <c r="C21" s="174" t="n">
        <v>6</v>
      </c>
      <c r="G21" s="175" t="n">
        <v>124080</v>
      </c>
      <c r="H21" s="175" t="n">
        <v>133386</v>
      </c>
      <c r="I21" s="175" t="n">
        <v>142455</v>
      </c>
      <c r="J21" s="176" t="n">
        <v>152427</v>
      </c>
      <c r="K21" s="176" t="n">
        <v>162486</v>
      </c>
      <c r="L21" s="175" t="n">
        <v>174510</v>
      </c>
      <c r="M21" s="175" t="n">
        <v>186726</v>
      </c>
      <c r="N21" s="175" t="n">
        <v>200916</v>
      </c>
      <c r="O21" s="175" t="n">
        <v>215583</v>
      </c>
      <c r="P21" s="175" t="n">
        <v>230673</v>
      </c>
      <c r="Q21" s="175" t="n">
        <v>244974</v>
      </c>
      <c r="R21" s="191" t="n"/>
    </row>
    <row r="22" ht="14.4" customHeight="1">
      <c r="C22" s="174" t="n">
        <v>7</v>
      </c>
      <c r="G22" s="175" t="n">
        <v>127803</v>
      </c>
      <c r="H22" s="175" t="n">
        <v>137388</v>
      </c>
      <c r="I22" s="175" t="n">
        <v>146730</v>
      </c>
      <c r="J22" s="176" t="n">
        <v>157002</v>
      </c>
      <c r="K22" s="176" t="n">
        <v>167364</v>
      </c>
      <c r="L22" s="175" t="n">
        <v>179748</v>
      </c>
      <c r="M22" s="175" t="n">
        <v>192330</v>
      </c>
      <c r="N22" s="175" t="n">
        <v>206946</v>
      </c>
      <c r="O22" s="178" t="n">
        <v>222054</v>
      </c>
      <c r="P22" s="178" t="n">
        <v>237597</v>
      </c>
      <c r="Q22" s="178" t="n">
        <v>252327</v>
      </c>
      <c r="R22" s="191" t="n"/>
    </row>
    <row r="23" ht="14.4" customHeight="1">
      <c r="C23" s="174" t="n">
        <v>8</v>
      </c>
      <c r="G23" s="175" t="n">
        <v>130467</v>
      </c>
      <c r="H23" s="175" t="n">
        <v>140253</v>
      </c>
      <c r="I23" s="175" t="n">
        <v>149790</v>
      </c>
      <c r="J23" s="176" t="n">
        <v>160275</v>
      </c>
      <c r="K23" s="176" t="n">
        <v>170853</v>
      </c>
      <c r="L23" s="175" t="n">
        <v>183495</v>
      </c>
      <c r="M23" s="175" t="n">
        <v>196341</v>
      </c>
      <c r="N23" s="175" t="n">
        <v>211263</v>
      </c>
      <c r="O23" s="175" t="n">
        <v>226686</v>
      </c>
      <c r="P23" s="175" t="n">
        <v>242553</v>
      </c>
      <c r="Q23" s="178" t="n">
        <v>257592</v>
      </c>
      <c r="R23" s="191" t="n"/>
    </row>
    <row r="24" ht="14.4" customHeight="1">
      <c r="C24" s="174" t="n">
        <v>9</v>
      </c>
      <c r="G24" s="175" t="n">
        <v>134382</v>
      </c>
      <c r="H24" s="175" t="n">
        <v>144462</v>
      </c>
      <c r="I24" s="175" t="n">
        <v>154284</v>
      </c>
      <c r="J24" s="176" t="n">
        <v>165084</v>
      </c>
      <c r="K24" s="176" t="n">
        <v>175980</v>
      </c>
      <c r="L24" s="175" t="n">
        <v>189003</v>
      </c>
      <c r="M24" s="175" t="n">
        <v>202233</v>
      </c>
      <c r="N24" s="175" t="n">
        <v>217602</v>
      </c>
      <c r="O24" s="175" t="n">
        <v>233487</v>
      </c>
      <c r="P24" s="175" t="n">
        <v>249831</v>
      </c>
      <c r="Q24" s="175" t="n">
        <v>265320</v>
      </c>
      <c r="R24" s="191" t="n"/>
    </row>
    <row r="25" ht="14.4" customHeight="1">
      <c r="A25" s="173" t="n">
        <v>4</v>
      </c>
      <c r="B25" s="528" t="inlineStr">
        <is>
          <t>Social Worker Grade 1</t>
        </is>
      </c>
      <c r="C25" s="174" t="n">
        <v>1</v>
      </c>
      <c r="G25" s="175" t="n">
        <v>130467</v>
      </c>
      <c r="H25" s="175" t="n">
        <v>140253</v>
      </c>
      <c r="I25" s="175" t="n">
        <v>149790</v>
      </c>
      <c r="J25" s="176" t="n">
        <v>160275</v>
      </c>
      <c r="K25" s="176" t="n">
        <v>170853</v>
      </c>
      <c r="L25" s="175" t="n">
        <v>183495</v>
      </c>
      <c r="M25" s="175" t="n">
        <v>196341</v>
      </c>
      <c r="N25" s="175" t="n">
        <v>211263</v>
      </c>
      <c r="O25" s="175" t="n">
        <v>226686</v>
      </c>
      <c r="P25" s="175" t="n">
        <v>242553</v>
      </c>
      <c r="Q25" s="175" t="n">
        <v>257592</v>
      </c>
      <c r="R25" s="191" t="n"/>
    </row>
    <row r="26" ht="14.4" customHeight="1">
      <c r="A26" s="173" t="n"/>
      <c r="C26" s="174" t="n">
        <v>2</v>
      </c>
      <c r="G26" s="175" t="n">
        <v>134382</v>
      </c>
      <c r="H26" s="175" t="n">
        <v>144462</v>
      </c>
      <c r="I26" s="175" t="n">
        <v>154284</v>
      </c>
      <c r="J26" s="176" t="n">
        <v>165084</v>
      </c>
      <c r="K26" s="176" t="n">
        <v>175980</v>
      </c>
      <c r="L26" s="175" t="n">
        <v>189003</v>
      </c>
      <c r="M26" s="175" t="n">
        <v>202233</v>
      </c>
      <c r="N26" s="175" t="n">
        <v>217602</v>
      </c>
      <c r="O26" s="175" t="n">
        <v>233487</v>
      </c>
      <c r="P26" s="175" t="n">
        <v>249831</v>
      </c>
      <c r="Q26" s="175" t="n">
        <v>265320</v>
      </c>
      <c r="R26" s="191" t="n"/>
    </row>
    <row r="27" ht="14.4" customHeight="1">
      <c r="A27" s="173" t="n"/>
      <c r="B27" s="528" t="n"/>
      <c r="C27" s="174" t="n">
        <v>3</v>
      </c>
      <c r="G27" s="175" t="n">
        <v>138414</v>
      </c>
      <c r="H27" s="175" t="n">
        <v>148794</v>
      </c>
      <c r="I27" s="175" t="n">
        <v>158913</v>
      </c>
      <c r="J27" s="176" t="n">
        <v>170037</v>
      </c>
      <c r="K27" s="176" t="n">
        <v>181260</v>
      </c>
      <c r="L27" s="175" t="n">
        <v>194673</v>
      </c>
      <c r="M27" s="175" t="n">
        <v>208299</v>
      </c>
      <c r="N27" s="175" t="n">
        <v>224130</v>
      </c>
      <c r="O27" s="175" t="n">
        <v>240492</v>
      </c>
      <c r="P27" s="175" t="n">
        <v>257325</v>
      </c>
      <c r="Q27" s="175" t="n">
        <v>273279</v>
      </c>
      <c r="R27" s="191" t="n"/>
    </row>
    <row r="28" ht="14.4" customHeight="1">
      <c r="A28" s="173" t="n"/>
      <c r="B28" s="528" t="n"/>
      <c r="C28" s="174" t="n">
        <v>4</v>
      </c>
      <c r="G28" s="175" t="n">
        <v>142563</v>
      </c>
      <c r="H28" s="175" t="n">
        <v>153255</v>
      </c>
      <c r="I28" s="175" t="n">
        <v>163677</v>
      </c>
      <c r="J28" s="176" t="n">
        <v>175134</v>
      </c>
      <c r="K28" s="176" t="n">
        <v>186693</v>
      </c>
      <c r="L28" s="175" t="n">
        <v>200508</v>
      </c>
      <c r="M28" s="175" t="n">
        <v>214545</v>
      </c>
      <c r="N28" s="175" t="n">
        <v>230850</v>
      </c>
      <c r="O28" s="175" t="n">
        <v>247701</v>
      </c>
      <c r="P28" s="175" t="n">
        <v>265041</v>
      </c>
      <c r="Q28" s="175" t="n">
        <v>281475</v>
      </c>
      <c r="R28" s="191" t="n"/>
    </row>
    <row r="29" ht="14.4" customHeight="1">
      <c r="A29" s="173" t="n"/>
      <c r="B29" s="528" t="n"/>
      <c r="C29" s="174" t="n">
        <v>5</v>
      </c>
      <c r="G29" s="175" t="n">
        <v>146841</v>
      </c>
      <c r="H29" s="175" t="n">
        <v>157854</v>
      </c>
      <c r="I29" s="175" t="n">
        <v>168588</v>
      </c>
      <c r="J29" s="176" t="n">
        <v>180390</v>
      </c>
      <c r="K29" s="176" t="n">
        <v>192297</v>
      </c>
      <c r="L29" s="175" t="n">
        <v>206526</v>
      </c>
      <c r="M29" s="175" t="n">
        <v>220983</v>
      </c>
      <c r="N29" s="175" t="n">
        <v>237777</v>
      </c>
      <c r="O29" s="175" t="n">
        <v>255135</v>
      </c>
      <c r="P29" s="175" t="n">
        <v>272994</v>
      </c>
      <c r="Q29" s="175" t="n">
        <v>289920</v>
      </c>
      <c r="R29" s="191" t="n"/>
    </row>
    <row r="30" ht="14.4" customHeight="1">
      <c r="A30" s="173" t="n"/>
      <c r="B30" s="528" t="n"/>
      <c r="C30" s="174" t="n">
        <v>6</v>
      </c>
      <c r="G30" s="175" t="n">
        <v>151245</v>
      </c>
      <c r="H30" s="175" t="n">
        <v>162588</v>
      </c>
      <c r="I30" s="175" t="n">
        <v>173643</v>
      </c>
      <c r="J30" s="176" t="n">
        <v>185799</v>
      </c>
      <c r="K30" s="176" t="n">
        <v>198063</v>
      </c>
      <c r="L30" s="175" t="n">
        <v>212721</v>
      </c>
      <c r="M30" s="175" t="n">
        <v>227610</v>
      </c>
      <c r="N30" s="175" t="n">
        <v>244908</v>
      </c>
      <c r="O30" s="175" t="n">
        <v>262785</v>
      </c>
      <c r="P30" s="175" t="n">
        <v>281181</v>
      </c>
      <c r="Q30" s="175" t="n">
        <v>298614</v>
      </c>
      <c r="R30" s="191" t="n"/>
    </row>
    <row r="31" ht="14.4" customHeight="1">
      <c r="A31" s="173" t="n">
        <v>5</v>
      </c>
      <c r="B31" s="528" t="inlineStr">
        <is>
          <t>Social Worker Grade 2</t>
        </is>
      </c>
      <c r="C31" s="174" t="n">
        <v>1</v>
      </c>
      <c r="G31" s="175" t="n">
        <v>160455</v>
      </c>
      <c r="H31" s="175" t="n">
        <v>172488</v>
      </c>
      <c r="I31" s="175" t="n">
        <v>184218</v>
      </c>
      <c r="J31" s="176" t="n">
        <v>197112</v>
      </c>
      <c r="K31" s="176" t="n">
        <v>210120</v>
      </c>
      <c r="L31" s="175" t="n">
        <v>225669</v>
      </c>
      <c r="M31" s="175" t="n">
        <v>241467</v>
      </c>
      <c r="N31" s="175" t="n">
        <v>259818</v>
      </c>
      <c r="O31" s="175" t="n">
        <v>278784</v>
      </c>
      <c r="P31" s="175" t="n">
        <v>298299</v>
      </c>
      <c r="Q31" s="175" t="n">
        <v>316794</v>
      </c>
      <c r="R31" s="191" t="n"/>
    </row>
    <row r="32" ht="14.4" customHeight="1">
      <c r="A32" s="173" t="n"/>
      <c r="C32" s="174" t="n">
        <v>2</v>
      </c>
      <c r="G32" s="175" t="n">
        <v>165267</v>
      </c>
      <c r="H32" s="175" t="n">
        <v>177663</v>
      </c>
      <c r="I32" s="175" t="n">
        <v>189744</v>
      </c>
      <c r="J32" s="176" t="n">
        <v>203025</v>
      </c>
      <c r="K32" s="176" t="n">
        <v>216426</v>
      </c>
      <c r="L32" s="175" t="n">
        <v>232443</v>
      </c>
      <c r="M32" s="175" t="n">
        <v>248715</v>
      </c>
      <c r="N32" s="175" t="n">
        <v>267618</v>
      </c>
      <c r="O32" s="175" t="n">
        <v>287154</v>
      </c>
      <c r="P32" s="175" t="n">
        <v>305820</v>
      </c>
      <c r="Q32" s="175" t="n">
        <v>323253</v>
      </c>
      <c r="R32" s="191" t="n"/>
    </row>
    <row r="33" ht="14.4" customHeight="1">
      <c r="A33" s="173" t="n"/>
      <c r="B33" s="528" t="n"/>
      <c r="C33" s="174" t="n">
        <v>3</v>
      </c>
      <c r="G33" s="175" t="n">
        <v>170223</v>
      </c>
      <c r="H33" s="175" t="n">
        <v>182991</v>
      </c>
      <c r="I33" s="175" t="n">
        <v>195435</v>
      </c>
      <c r="J33" s="176" t="n">
        <v>209115</v>
      </c>
      <c r="K33" s="176" t="n">
        <v>222918</v>
      </c>
      <c r="L33" s="175" t="n">
        <v>239415</v>
      </c>
      <c r="M33" s="175" t="n">
        <v>256173</v>
      </c>
      <c r="N33" s="175" t="n">
        <v>275643</v>
      </c>
      <c r="O33" s="175" t="n">
        <v>295764</v>
      </c>
      <c r="P33" s="175" t="n">
        <v>314988</v>
      </c>
      <c r="Q33" s="175" t="n">
        <v>332943</v>
      </c>
      <c r="R33" s="191" t="n"/>
    </row>
    <row r="34" ht="14.4" customHeight="1">
      <c r="A34" s="173" t="n"/>
      <c r="B34" s="528" t="n"/>
      <c r="C34" s="174" t="n">
        <v>4</v>
      </c>
      <c r="G34" s="175" t="n">
        <v>175332</v>
      </c>
      <c r="H34" s="175" t="n">
        <v>188481</v>
      </c>
      <c r="I34" s="175" t="n">
        <v>201297</v>
      </c>
      <c r="J34" s="176" t="n">
        <v>215388</v>
      </c>
      <c r="K34" s="176" t="n">
        <v>229605</v>
      </c>
      <c r="L34" s="175" t="n">
        <v>246597</v>
      </c>
      <c r="M34" s="175" t="n">
        <v>263859</v>
      </c>
      <c r="N34" s="175" t="n">
        <v>283911</v>
      </c>
      <c r="O34" s="175" t="n">
        <v>304638</v>
      </c>
      <c r="P34" s="175" t="n">
        <v>324438</v>
      </c>
      <c r="Q34" s="175" t="n">
        <v>342930</v>
      </c>
      <c r="R34" s="191" t="n"/>
    </row>
    <row r="35" ht="14.4" customHeight="1">
      <c r="A35" s="173" t="n"/>
      <c r="B35" s="528" t="n"/>
      <c r="C35" s="174" t="n">
        <v>5</v>
      </c>
      <c r="G35" s="175" t="n">
        <v>180588</v>
      </c>
      <c r="H35" s="175" t="n">
        <v>194133</v>
      </c>
      <c r="I35" s="175" t="n">
        <v>207333</v>
      </c>
      <c r="J35" s="176" t="n">
        <v>221847</v>
      </c>
      <c r="K35" s="176" t="n">
        <v>236490</v>
      </c>
      <c r="L35" s="175" t="n">
        <v>253989</v>
      </c>
      <c r="M35" s="175" t="n">
        <v>271767</v>
      </c>
      <c r="N35" s="175" t="n">
        <v>292422</v>
      </c>
      <c r="O35" s="175" t="n">
        <v>313770</v>
      </c>
      <c r="P35" s="175" t="n">
        <v>334164</v>
      </c>
      <c r="Q35" s="175" t="n">
        <v>353211</v>
      </c>
      <c r="R35" s="191" t="n"/>
    </row>
    <row r="36" ht="14.4" customHeight="1">
      <c r="A36" s="173" t="n"/>
      <c r="B36" s="528" t="n"/>
      <c r="C36" s="174" t="n">
        <v>6</v>
      </c>
      <c r="G36" s="175" t="n">
        <v>186006</v>
      </c>
      <c r="H36" s="175" t="n">
        <v>199956</v>
      </c>
      <c r="I36" s="175" t="n">
        <v>213552</v>
      </c>
      <c r="J36" s="176" t="n">
        <v>228501</v>
      </c>
      <c r="K36" s="176" t="n">
        <v>243582</v>
      </c>
      <c r="L36" s="175" t="n">
        <v>261606</v>
      </c>
      <c r="M36" s="175" t="n">
        <v>279918</v>
      </c>
      <c r="N36" s="175" t="n">
        <v>301191</v>
      </c>
      <c r="O36" s="175" t="n">
        <v>323178</v>
      </c>
      <c r="P36" s="175" t="n">
        <v>344184</v>
      </c>
      <c r="Q36" s="175" t="n">
        <v>363801</v>
      </c>
      <c r="R36" s="191" t="n"/>
    </row>
    <row r="37" ht="14.4" customHeight="1">
      <c r="A37" s="173" t="n">
        <v>6</v>
      </c>
      <c r="B37" s="528" t="inlineStr">
        <is>
          <t>Social Worker Grade 3</t>
        </is>
      </c>
      <c r="C37" s="174" t="n">
        <v>1</v>
      </c>
      <c r="G37" s="175" t="n">
        <v>196446</v>
      </c>
      <c r="H37" s="175" t="n">
        <v>211179</v>
      </c>
      <c r="I37" s="175" t="n">
        <v>225540</v>
      </c>
      <c r="J37" s="176" t="n">
        <v>241329</v>
      </c>
      <c r="K37" s="176" t="n">
        <v>257256</v>
      </c>
      <c r="L37" s="175" t="n">
        <v>276294</v>
      </c>
      <c r="M37" s="175" t="n">
        <v>295635</v>
      </c>
      <c r="N37" s="175" t="n">
        <v>318102</v>
      </c>
      <c r="O37" s="175" t="n">
        <v>341322</v>
      </c>
      <c r="P37" s="175" t="n">
        <v>363507</v>
      </c>
      <c r="Q37" s="175" t="n">
        <v>384228</v>
      </c>
      <c r="R37" s="191" t="n"/>
    </row>
    <row r="38" ht="14.4" customHeight="1">
      <c r="A38" s="173" t="n"/>
      <c r="C38" s="174" t="n">
        <v>2</v>
      </c>
      <c r="G38" s="175" t="n">
        <v>202341</v>
      </c>
      <c r="H38" s="175" t="n">
        <v>217518</v>
      </c>
      <c r="I38" s="175" t="n">
        <v>232308</v>
      </c>
      <c r="J38" s="176" t="n">
        <v>248571</v>
      </c>
      <c r="K38" s="176" t="n">
        <v>264978</v>
      </c>
      <c r="L38" s="175" t="n">
        <v>284586</v>
      </c>
      <c r="M38" s="175" t="n">
        <v>304506</v>
      </c>
      <c r="N38" s="175" t="n">
        <v>327648</v>
      </c>
      <c r="O38" s="175" t="n">
        <v>351567</v>
      </c>
      <c r="P38" s="175" t="n">
        <v>374418</v>
      </c>
      <c r="Q38" s="175" t="n">
        <v>395760</v>
      </c>
      <c r="R38" s="191" t="n"/>
    </row>
    <row r="39" ht="14.4" customHeight="1">
      <c r="A39" s="173" t="n"/>
      <c r="B39" s="528" t="n"/>
      <c r="C39" s="174" t="n">
        <v>3</v>
      </c>
      <c r="G39" s="175" t="n">
        <v>208410</v>
      </c>
      <c r="H39" s="175" t="n">
        <v>224040</v>
      </c>
      <c r="I39" s="175" t="n">
        <v>239274</v>
      </c>
      <c r="J39" s="176" t="n">
        <v>256023</v>
      </c>
      <c r="K39" s="176" t="n">
        <v>272922</v>
      </c>
      <c r="L39" s="175" t="n">
        <v>293118</v>
      </c>
      <c r="M39" s="175" t="n">
        <v>313635</v>
      </c>
      <c r="N39" s="175" t="n">
        <v>337470</v>
      </c>
      <c r="O39" s="175" t="n">
        <v>362106</v>
      </c>
      <c r="P39" s="175" t="n">
        <v>385644</v>
      </c>
      <c r="Q39" s="175" t="n">
        <v>407625</v>
      </c>
      <c r="R39" s="191" t="n"/>
    </row>
    <row r="40" ht="14.4" customHeight="1">
      <c r="A40" s="173" t="n"/>
      <c r="B40" s="528" t="n"/>
      <c r="C40" s="174" t="n">
        <v>4</v>
      </c>
      <c r="G40" s="175" t="n">
        <v>214662</v>
      </c>
      <c r="H40" s="175" t="n">
        <v>230763</v>
      </c>
      <c r="I40" s="175" t="n">
        <v>246456</v>
      </c>
      <c r="J40" s="176" t="n">
        <v>263709</v>
      </c>
      <c r="K40" s="176" t="n">
        <v>281115</v>
      </c>
      <c r="L40" s="175" t="n">
        <v>301917</v>
      </c>
      <c r="M40" s="175" t="n">
        <v>323052</v>
      </c>
      <c r="N40" s="175" t="n">
        <v>347604</v>
      </c>
      <c r="O40" s="175" t="n">
        <v>372978</v>
      </c>
      <c r="P40" s="175" t="n">
        <v>397221</v>
      </c>
      <c r="Q40" s="175" t="n">
        <v>419862</v>
      </c>
      <c r="R40" s="191" t="n"/>
    </row>
    <row r="41" ht="14.4" customHeight="1">
      <c r="A41" s="173" t="n"/>
      <c r="B41" s="528" t="n"/>
      <c r="C41" s="174" t="n">
        <v>5</v>
      </c>
      <c r="G41" s="175" t="n">
        <v>221103</v>
      </c>
      <c r="H41" s="175" t="n">
        <v>237687</v>
      </c>
      <c r="I41" s="175" t="n">
        <v>253851</v>
      </c>
      <c r="J41" s="176" t="n">
        <v>271620</v>
      </c>
      <c r="K41" s="176" t="n">
        <v>289548</v>
      </c>
      <c r="L41" s="175" t="n">
        <v>310974</v>
      </c>
      <c r="M41" s="175" t="n">
        <v>332742</v>
      </c>
      <c r="N41" s="175" t="n">
        <v>358029</v>
      </c>
      <c r="O41" s="175" t="n">
        <v>384165</v>
      </c>
      <c r="P41" s="175" t="n">
        <v>409137</v>
      </c>
      <c r="Q41" s="175" t="n">
        <v>432459</v>
      </c>
      <c r="R41" s="191" t="n"/>
    </row>
    <row r="42" ht="14.4" customHeight="1">
      <c r="A42" s="173" t="n"/>
      <c r="B42" s="528" t="n"/>
      <c r="C42" s="174" t="n">
        <v>6</v>
      </c>
      <c r="G42" s="175" t="n">
        <v>227736</v>
      </c>
      <c r="H42" s="175" t="n">
        <v>244815</v>
      </c>
      <c r="I42" s="175" t="n">
        <v>261462</v>
      </c>
      <c r="J42" s="176" t="n">
        <v>279765</v>
      </c>
      <c r="K42" s="176" t="n">
        <v>298230</v>
      </c>
      <c r="L42" s="175" t="n">
        <v>320298</v>
      </c>
      <c r="M42" s="175" t="n">
        <v>342720</v>
      </c>
      <c r="N42" s="175" t="n">
        <v>368766</v>
      </c>
      <c r="O42" s="175" t="n">
        <v>395685</v>
      </c>
      <c r="P42" s="175" t="n">
        <v>421404</v>
      </c>
      <c r="Q42" s="175" t="n">
        <v>445425</v>
      </c>
      <c r="R42" s="191" t="n"/>
    </row>
    <row r="43" ht="14.4" customHeight="1">
      <c r="A43" s="173" t="n">
        <v>7</v>
      </c>
      <c r="B43" s="528" t="inlineStr">
        <is>
          <t>Social Worker Grade 4</t>
        </is>
      </c>
      <c r="C43" s="174" t="n">
        <v>1</v>
      </c>
      <c r="G43" s="175" t="n">
        <v>241605</v>
      </c>
      <c r="H43" s="175" t="n">
        <v>259725</v>
      </c>
      <c r="I43" s="175" t="n">
        <v>277386</v>
      </c>
      <c r="J43" s="176" t="n">
        <v>296802</v>
      </c>
      <c r="K43" s="176" t="n">
        <v>316392</v>
      </c>
      <c r="L43" s="175" t="n">
        <v>339804</v>
      </c>
      <c r="M43" s="175" t="n">
        <v>363591</v>
      </c>
      <c r="N43" s="175" t="n">
        <v>391224</v>
      </c>
      <c r="O43" s="175" t="n">
        <v>419784</v>
      </c>
      <c r="P43" s="175" t="n">
        <v>447069</v>
      </c>
      <c r="Q43" s="175" t="n">
        <v>472551</v>
      </c>
      <c r="R43" s="191" t="n"/>
    </row>
    <row r="44" ht="14.4" customHeight="1">
      <c r="A44" s="173" t="n"/>
      <c r="C44" s="174" t="n">
        <v>2</v>
      </c>
      <c r="G44" s="175" t="n">
        <v>248853</v>
      </c>
      <c r="H44" s="175" t="n">
        <v>267516</v>
      </c>
      <c r="I44" s="175" t="n">
        <v>285708</v>
      </c>
      <c r="J44" s="176" t="n">
        <v>305709</v>
      </c>
      <c r="K44" s="176" t="n">
        <v>325887</v>
      </c>
      <c r="L44" s="175" t="n">
        <v>350004</v>
      </c>
      <c r="M44" s="175" t="n">
        <v>374505</v>
      </c>
      <c r="N44" s="175" t="n">
        <v>402966</v>
      </c>
      <c r="O44" s="175" t="n">
        <v>432384</v>
      </c>
      <c r="P44" s="175" t="n">
        <v>460488</v>
      </c>
      <c r="Q44" s="175" t="n">
        <v>486735</v>
      </c>
      <c r="R44" s="191" t="n"/>
    </row>
    <row r="45" ht="14.4" customHeight="1">
      <c r="A45" s="173" t="n"/>
      <c r="B45" s="528" t="n"/>
      <c r="C45" s="174" t="n">
        <v>3</v>
      </c>
      <c r="G45" s="175" t="n">
        <v>256320</v>
      </c>
      <c r="H45" s="175" t="n">
        <v>275544</v>
      </c>
      <c r="I45" s="175" t="n">
        <v>294282</v>
      </c>
      <c r="J45" s="176" t="n">
        <v>314883</v>
      </c>
      <c r="K45" s="176" t="n">
        <v>335664</v>
      </c>
      <c r="L45" s="175" t="n">
        <v>360504</v>
      </c>
      <c r="M45" s="175" t="n">
        <v>385740</v>
      </c>
      <c r="N45" s="175" t="n">
        <v>415056</v>
      </c>
      <c r="O45" s="175" t="n">
        <v>445356</v>
      </c>
      <c r="P45" s="175" t="n">
        <v>474303</v>
      </c>
      <c r="Q45" s="175" t="n">
        <v>501339</v>
      </c>
      <c r="R45" s="191" t="n"/>
    </row>
    <row r="46" ht="14.4" customHeight="1">
      <c r="A46" s="173" t="n"/>
      <c r="B46" s="528" t="n"/>
      <c r="C46" s="174" t="n">
        <v>4</v>
      </c>
      <c r="G46" s="175" t="n">
        <v>264009</v>
      </c>
      <c r="H46" s="175" t="n">
        <v>283809</v>
      </c>
      <c r="I46" s="175" t="n">
        <v>303108</v>
      </c>
      <c r="J46" s="176" t="n">
        <v>324327</v>
      </c>
      <c r="K46" s="176" t="n">
        <v>345732</v>
      </c>
      <c r="L46" s="175" t="n">
        <v>371316</v>
      </c>
      <c r="M46" s="175" t="n">
        <v>397308</v>
      </c>
      <c r="N46" s="175" t="n">
        <v>427503</v>
      </c>
      <c r="O46" s="175" t="n">
        <v>458712</v>
      </c>
      <c r="P46" s="175" t="n">
        <v>488529</v>
      </c>
      <c r="Q46" s="175" t="n">
        <v>516375</v>
      </c>
      <c r="R46" s="191" t="n"/>
    </row>
    <row r="47" ht="14.4" customHeight="1">
      <c r="A47" s="173" t="n"/>
      <c r="B47" s="528" t="n"/>
      <c r="C47" s="174" t="n">
        <v>5</v>
      </c>
      <c r="G47" s="175" t="n">
        <v>271929</v>
      </c>
      <c r="H47" s="175" t="n">
        <v>292323</v>
      </c>
      <c r="I47" s="175" t="n">
        <v>312201</v>
      </c>
      <c r="J47" s="176" t="n">
        <v>334056</v>
      </c>
      <c r="K47" s="176" t="n">
        <v>356103</v>
      </c>
      <c r="L47" s="175" t="n">
        <v>382455</v>
      </c>
      <c r="M47" s="175" t="n">
        <v>409227</v>
      </c>
      <c r="N47" s="175" t="n">
        <v>440328</v>
      </c>
      <c r="O47" s="175" t="n">
        <v>472473</v>
      </c>
      <c r="P47" s="175" t="n">
        <v>503184</v>
      </c>
      <c r="Q47" s="175" t="n">
        <v>531864</v>
      </c>
      <c r="R47" s="191" t="n"/>
    </row>
    <row r="48" ht="14.4" customHeight="1">
      <c r="A48" s="173" t="n"/>
      <c r="B48" s="528" t="n"/>
      <c r="C48" s="174" t="n">
        <v>6</v>
      </c>
      <c r="G48" s="175" t="n">
        <v>280089</v>
      </c>
      <c r="H48" s="175" t="n">
        <v>301095</v>
      </c>
      <c r="I48" s="175" t="n">
        <v>321570</v>
      </c>
      <c r="J48" s="176" t="n">
        <v>344079</v>
      </c>
      <c r="K48" s="176" t="n">
        <v>366789</v>
      </c>
      <c r="L48" s="175" t="n">
        <v>393930</v>
      </c>
      <c r="M48" s="175" t="n">
        <v>421506</v>
      </c>
      <c r="N48" s="175" t="n">
        <v>453540</v>
      </c>
      <c r="O48" s="175" t="n">
        <v>486648</v>
      </c>
      <c r="P48" s="175" t="n">
        <v>518280</v>
      </c>
      <c r="Q48" s="175" t="n">
        <v>547821</v>
      </c>
      <c r="R48" s="191" t="n"/>
    </row>
    <row r="49" ht="14.4" customHeight="1">
      <c r="A49" s="173" t="n"/>
      <c r="B49" s="528" t="n"/>
      <c r="C49" s="174" t="n">
        <v>7</v>
      </c>
      <c r="G49" s="175" t="n">
        <v>288489</v>
      </c>
      <c r="H49" s="175" t="n">
        <v>310125</v>
      </c>
      <c r="I49" s="175" t="n">
        <v>331215</v>
      </c>
      <c r="J49" s="176" t="n">
        <v>354399</v>
      </c>
      <c r="K49" s="176" t="n">
        <v>377790</v>
      </c>
      <c r="L49" s="175" t="n">
        <v>405747</v>
      </c>
      <c r="M49" s="175" t="n">
        <v>434148</v>
      </c>
      <c r="N49" s="175" t="n">
        <v>467142</v>
      </c>
      <c r="O49" s="175" t="n">
        <v>501243</v>
      </c>
      <c r="P49" s="175" t="n">
        <v>533823</v>
      </c>
      <c r="Q49" s="175" t="n">
        <v>564252</v>
      </c>
      <c r="R49" s="191" t="n"/>
    </row>
    <row r="50" ht="14.4" customHeight="1">
      <c r="A50" s="173" t="n"/>
      <c r="B50" s="528" t="n"/>
      <c r="C50" s="174" t="n">
        <v>8</v>
      </c>
      <c r="G50" s="175" t="n">
        <v>297144</v>
      </c>
      <c r="H50" s="175" t="n">
        <v>319431</v>
      </c>
      <c r="I50" s="175" t="n">
        <v>341151</v>
      </c>
      <c r="J50" s="176" t="n">
        <v>365031</v>
      </c>
      <c r="K50" s="176" t="n">
        <v>389124</v>
      </c>
      <c r="L50" s="175" t="n">
        <v>417918</v>
      </c>
      <c r="M50" s="175" t="n">
        <v>447171</v>
      </c>
      <c r="N50" s="175" t="n">
        <v>481155</v>
      </c>
      <c r="O50" s="175" t="n">
        <v>516279</v>
      </c>
      <c r="P50" s="175" t="n">
        <v>549837</v>
      </c>
      <c r="Q50" s="175" t="n">
        <v>581178</v>
      </c>
      <c r="R50" s="191" t="n"/>
    </row>
    <row r="51" ht="14.4" customHeight="1">
      <c r="A51" s="173" t="n">
        <v>8</v>
      </c>
      <c r="B51" s="528" t="inlineStr">
        <is>
          <t>Social Work Supervisor Grade 1</t>
        </is>
      </c>
      <c r="C51" s="174" t="n">
        <v>1</v>
      </c>
      <c r="G51" s="175" t="n">
        <v>196446</v>
      </c>
      <c r="H51" s="175" t="n">
        <v>211179</v>
      </c>
      <c r="I51" s="175" t="n">
        <v>225540</v>
      </c>
      <c r="J51" s="176" t="n">
        <v>241329</v>
      </c>
      <c r="K51" s="176" t="n">
        <v>257256</v>
      </c>
      <c r="L51" s="175" t="n">
        <v>276294</v>
      </c>
      <c r="M51" s="175" t="n">
        <v>295635</v>
      </c>
      <c r="N51" s="175" t="n">
        <v>318102</v>
      </c>
      <c r="O51" s="175" t="n">
        <v>341322</v>
      </c>
      <c r="P51" s="175" t="n">
        <v>363507</v>
      </c>
      <c r="Q51" s="180" t="n">
        <v>384228</v>
      </c>
      <c r="R51" s="191" t="n"/>
    </row>
    <row r="52" ht="14.4" customHeight="1">
      <c r="A52" s="173" t="n"/>
      <c r="C52" s="174" t="n">
        <v>2</v>
      </c>
      <c r="G52" s="175" t="n">
        <v>202341</v>
      </c>
      <c r="H52" s="175" t="n">
        <v>217518</v>
      </c>
      <c r="I52" s="175" t="n">
        <v>232308</v>
      </c>
      <c r="J52" s="176" t="n">
        <v>248571</v>
      </c>
      <c r="K52" s="176" t="n">
        <v>264978</v>
      </c>
      <c r="L52" s="175" t="n">
        <v>284586</v>
      </c>
      <c r="M52" s="175" t="n">
        <v>304506</v>
      </c>
      <c r="N52" s="175" t="n">
        <v>327648</v>
      </c>
      <c r="O52" s="175" t="n">
        <v>351567</v>
      </c>
      <c r="P52" s="175" t="n">
        <v>374418</v>
      </c>
      <c r="Q52" s="175" t="n">
        <v>395760</v>
      </c>
      <c r="R52" s="191" t="n"/>
    </row>
    <row r="53" ht="14.4" customHeight="1">
      <c r="A53" s="173" t="n"/>
      <c r="B53" s="528" t="n"/>
      <c r="C53" s="174" t="n">
        <v>3</v>
      </c>
      <c r="G53" s="175" t="n">
        <v>208410</v>
      </c>
      <c r="H53" s="175" t="n">
        <v>224040</v>
      </c>
      <c r="I53" s="175" t="n">
        <v>239274</v>
      </c>
      <c r="J53" s="176" t="n">
        <v>256023</v>
      </c>
      <c r="K53" s="176" t="n">
        <v>272922</v>
      </c>
      <c r="L53" s="175" t="n">
        <v>293118</v>
      </c>
      <c r="M53" s="175" t="n">
        <v>313635</v>
      </c>
      <c r="N53" s="175" t="n">
        <v>337470</v>
      </c>
      <c r="O53" s="175" t="n">
        <v>362106</v>
      </c>
      <c r="P53" s="175" t="n">
        <v>385644</v>
      </c>
      <c r="Q53" s="175" t="n">
        <v>407625</v>
      </c>
      <c r="R53" s="191" t="n"/>
    </row>
    <row r="54" ht="14.4" customHeight="1">
      <c r="A54" s="173" t="n"/>
      <c r="B54" s="528" t="n"/>
      <c r="C54" s="174" t="n">
        <v>4</v>
      </c>
      <c r="G54" s="175" t="n">
        <v>214662</v>
      </c>
      <c r="H54" s="175" t="n">
        <v>230763</v>
      </c>
      <c r="I54" s="175" t="n">
        <v>246456</v>
      </c>
      <c r="J54" s="176" t="n">
        <v>263709</v>
      </c>
      <c r="K54" s="176" t="n">
        <v>281115</v>
      </c>
      <c r="L54" s="175" t="n">
        <v>301917</v>
      </c>
      <c r="M54" s="175" t="n">
        <v>323052</v>
      </c>
      <c r="N54" s="175" t="n">
        <v>347604</v>
      </c>
      <c r="O54" s="175" t="n">
        <v>372978</v>
      </c>
      <c r="P54" s="175" t="n">
        <v>397221</v>
      </c>
      <c r="Q54" s="178" t="n">
        <v>419862</v>
      </c>
      <c r="R54" s="191" t="n"/>
    </row>
    <row r="55" ht="14.4" customHeight="1">
      <c r="A55" s="173" t="n"/>
      <c r="B55" s="528" t="n"/>
      <c r="C55" s="174" t="n">
        <v>5</v>
      </c>
      <c r="G55" s="175" t="n">
        <v>221103</v>
      </c>
      <c r="H55" s="175" t="n">
        <v>237687</v>
      </c>
      <c r="I55" s="175" t="n">
        <v>253851</v>
      </c>
      <c r="J55" s="176" t="n">
        <v>271620</v>
      </c>
      <c r="K55" s="176" t="n">
        <v>289548</v>
      </c>
      <c r="L55" s="175" t="n">
        <v>310974</v>
      </c>
      <c r="M55" s="175" t="n">
        <v>332742</v>
      </c>
      <c r="N55" s="175" t="n">
        <v>358029</v>
      </c>
      <c r="O55" s="175" t="n">
        <v>384165</v>
      </c>
      <c r="P55" s="175" t="n">
        <v>409137</v>
      </c>
      <c r="Q55" s="175" t="n">
        <v>432459</v>
      </c>
      <c r="R55" s="191" t="n"/>
    </row>
    <row r="56" ht="14.4" customHeight="1">
      <c r="A56" s="173" t="n"/>
      <c r="B56" s="528" t="n"/>
      <c r="C56" s="174" t="n">
        <v>6</v>
      </c>
      <c r="G56" s="175" t="n">
        <v>227736</v>
      </c>
      <c r="H56" s="175" t="n">
        <v>244815</v>
      </c>
      <c r="I56" s="175" t="n">
        <v>261462</v>
      </c>
      <c r="J56" s="176" t="n">
        <v>279765</v>
      </c>
      <c r="K56" s="176" t="n">
        <v>298230</v>
      </c>
      <c r="L56" s="175" t="n">
        <v>320298</v>
      </c>
      <c r="M56" s="175" t="n">
        <v>342720</v>
      </c>
      <c r="N56" s="175" t="n">
        <v>368766</v>
      </c>
      <c r="O56" s="175" t="n">
        <v>395685</v>
      </c>
      <c r="P56" s="175" t="n">
        <v>421404</v>
      </c>
      <c r="Q56" s="175" t="n">
        <v>445425</v>
      </c>
      <c r="R56" s="191" t="n"/>
    </row>
    <row r="57" ht="14.4" customHeight="1">
      <c r="A57" s="173" t="n">
        <v>9</v>
      </c>
      <c r="B57" s="528" t="inlineStr">
        <is>
          <t>Social Work Supervisor Grade 2</t>
        </is>
      </c>
      <c r="C57" s="174" t="n">
        <v>1</v>
      </c>
      <c r="G57" s="175" t="n">
        <v>241605</v>
      </c>
      <c r="H57" s="175" t="n">
        <v>259725</v>
      </c>
      <c r="I57" s="175" t="n">
        <v>277386</v>
      </c>
      <c r="J57" s="176" t="n">
        <v>296802</v>
      </c>
      <c r="K57" s="176" t="n">
        <v>316392</v>
      </c>
      <c r="L57" s="175" t="n">
        <v>339804</v>
      </c>
      <c r="M57" s="175" t="n">
        <v>363591</v>
      </c>
      <c r="N57" s="175" t="n">
        <v>391224</v>
      </c>
      <c r="O57" s="175" t="n">
        <v>419784</v>
      </c>
      <c r="P57" s="175" t="n">
        <v>447069</v>
      </c>
      <c r="Q57" s="175" t="n">
        <v>472551</v>
      </c>
      <c r="R57" s="191" t="n"/>
    </row>
    <row r="58" ht="14.4" customHeight="1">
      <c r="A58" s="173" t="n"/>
      <c r="C58" s="174" t="n">
        <v>2</v>
      </c>
      <c r="G58" s="175" t="n">
        <v>248853</v>
      </c>
      <c r="H58" s="175" t="n">
        <v>267516</v>
      </c>
      <c r="I58" s="175" t="n">
        <v>285708</v>
      </c>
      <c r="J58" s="176" t="n">
        <v>305709</v>
      </c>
      <c r="K58" s="176" t="n">
        <v>325887</v>
      </c>
      <c r="L58" s="175" t="n">
        <v>350004</v>
      </c>
      <c r="M58" s="175" t="n">
        <v>374505</v>
      </c>
      <c r="N58" s="175" t="n">
        <v>402966</v>
      </c>
      <c r="O58" s="175" t="n">
        <v>432384</v>
      </c>
      <c r="P58" s="175" t="n">
        <v>460488</v>
      </c>
      <c r="Q58" s="175" t="n">
        <v>486735</v>
      </c>
      <c r="R58" s="191" t="n"/>
    </row>
    <row r="59" ht="14.4" customHeight="1">
      <c r="A59" s="173" t="n"/>
      <c r="B59" s="528" t="n"/>
      <c r="C59" s="174" t="n">
        <v>3</v>
      </c>
      <c r="G59" s="175" t="n">
        <v>256320</v>
      </c>
      <c r="H59" s="175" t="n">
        <v>275544</v>
      </c>
      <c r="I59" s="175" t="n">
        <v>294282</v>
      </c>
      <c r="J59" s="176" t="n">
        <v>314883</v>
      </c>
      <c r="K59" s="176" t="n">
        <v>335664</v>
      </c>
      <c r="L59" s="175" t="n">
        <v>360504</v>
      </c>
      <c r="M59" s="175" t="n">
        <v>385740</v>
      </c>
      <c r="N59" s="175" t="n">
        <v>415056</v>
      </c>
      <c r="O59" s="175" t="n">
        <v>445356</v>
      </c>
      <c r="P59" s="175" t="n">
        <v>474303</v>
      </c>
      <c r="Q59" s="178" t="n">
        <v>501339</v>
      </c>
      <c r="R59" s="191" t="n"/>
    </row>
    <row r="60" ht="14.4" customHeight="1">
      <c r="A60" s="173" t="n"/>
      <c r="B60" s="528" t="n"/>
      <c r="C60" s="174" t="n">
        <v>4</v>
      </c>
      <c r="G60" s="175" t="n">
        <v>264009</v>
      </c>
      <c r="H60" s="175" t="n">
        <v>283809</v>
      </c>
      <c r="I60" s="175" t="n">
        <v>303108</v>
      </c>
      <c r="J60" s="176" t="n">
        <v>324327</v>
      </c>
      <c r="K60" s="176" t="n">
        <v>345732</v>
      </c>
      <c r="L60" s="175" t="n">
        <v>371316</v>
      </c>
      <c r="M60" s="175" t="n">
        <v>397308</v>
      </c>
      <c r="N60" s="175" t="n">
        <v>427503</v>
      </c>
      <c r="O60" s="175" t="n">
        <v>458712</v>
      </c>
      <c r="P60" s="175" t="n">
        <v>488529</v>
      </c>
      <c r="Q60" s="175" t="n">
        <v>516375</v>
      </c>
      <c r="R60" s="191" t="n"/>
    </row>
    <row r="61" ht="14.4" customHeight="1">
      <c r="A61" s="173" t="n"/>
      <c r="B61" s="528" t="n"/>
      <c r="C61" s="174" t="n">
        <v>5</v>
      </c>
      <c r="G61" s="175" t="n">
        <v>271929</v>
      </c>
      <c r="H61" s="175" t="n">
        <v>292323</v>
      </c>
      <c r="I61" s="175" t="n">
        <v>312201</v>
      </c>
      <c r="J61" s="176" t="n">
        <v>334056</v>
      </c>
      <c r="K61" s="176" t="n">
        <v>356103</v>
      </c>
      <c r="L61" s="175" t="n">
        <v>382455</v>
      </c>
      <c r="M61" s="175" t="n">
        <v>409227</v>
      </c>
      <c r="N61" s="175" t="n">
        <v>440328</v>
      </c>
      <c r="O61" s="175" t="n">
        <v>472473</v>
      </c>
      <c r="P61" s="175" t="n">
        <v>503184</v>
      </c>
      <c r="Q61" s="175" t="n">
        <v>531864</v>
      </c>
      <c r="R61" s="191" t="n"/>
    </row>
    <row r="62" ht="14.4" customHeight="1">
      <c r="A62" s="173" t="n"/>
      <c r="B62" s="528" t="n"/>
      <c r="C62" s="174" t="n">
        <v>6</v>
      </c>
      <c r="G62" s="175" t="n">
        <v>280089</v>
      </c>
      <c r="H62" s="175" t="n">
        <v>301095</v>
      </c>
      <c r="I62" s="175" t="n">
        <v>321570</v>
      </c>
      <c r="J62" s="176" t="n">
        <v>344079</v>
      </c>
      <c r="K62" s="176" t="n">
        <v>366789</v>
      </c>
      <c r="L62" s="175" t="n">
        <v>393930</v>
      </c>
      <c r="M62" s="175" t="n">
        <v>421506</v>
      </c>
      <c r="N62" s="175" t="n">
        <v>453540</v>
      </c>
      <c r="O62" s="175" t="n">
        <v>486648</v>
      </c>
      <c r="P62" s="175" t="n">
        <v>518280</v>
      </c>
      <c r="Q62" s="175" t="n">
        <v>547821</v>
      </c>
      <c r="R62" s="191" t="n"/>
    </row>
    <row r="63" ht="14.4" customHeight="1">
      <c r="A63" s="173" t="n"/>
      <c r="B63" s="528" t="n"/>
      <c r="C63" s="174" t="n">
        <v>7</v>
      </c>
      <c r="G63" s="175" t="n">
        <v>288489</v>
      </c>
      <c r="H63" s="175" t="n">
        <v>310125</v>
      </c>
      <c r="I63" s="175" t="n">
        <v>331215</v>
      </c>
      <c r="J63" s="176" t="n">
        <v>354399</v>
      </c>
      <c r="K63" s="176" t="n">
        <v>377790</v>
      </c>
      <c r="L63" s="175" t="n">
        <v>405747</v>
      </c>
      <c r="M63" s="175" t="n">
        <v>434148</v>
      </c>
      <c r="N63" s="175" t="n">
        <v>467142</v>
      </c>
      <c r="O63" s="175" t="n">
        <v>501243</v>
      </c>
      <c r="P63" s="175" t="n">
        <v>533823</v>
      </c>
      <c r="Q63" s="175" t="n">
        <v>564252</v>
      </c>
      <c r="R63" s="191" t="n"/>
    </row>
    <row r="64" ht="14.4" customHeight="1">
      <c r="A64" s="173" t="n"/>
      <c r="B64" s="528" t="n"/>
      <c r="C64" s="174" t="n">
        <v>8</v>
      </c>
      <c r="G64" s="175" t="n">
        <v>297144</v>
      </c>
      <c r="H64" s="175" t="n">
        <v>319431</v>
      </c>
      <c r="I64" s="175" t="n">
        <v>341151</v>
      </c>
      <c r="J64" s="176" t="n">
        <v>365031</v>
      </c>
      <c r="K64" s="176" t="n">
        <v>389124</v>
      </c>
      <c r="L64" s="175" t="n">
        <v>417918</v>
      </c>
      <c r="M64" s="175" t="n">
        <v>447171</v>
      </c>
      <c r="N64" s="175" t="n">
        <v>481155</v>
      </c>
      <c r="O64" s="175" t="n">
        <v>516279</v>
      </c>
      <c r="P64" s="175" t="n">
        <v>549837</v>
      </c>
      <c r="Q64" s="175" t="n">
        <v>581178</v>
      </c>
      <c r="R64" s="191" t="n"/>
    </row>
    <row r="65" ht="14.4" customHeight="1">
      <c r="A65" s="173" t="n"/>
      <c r="B65" s="528" t="n"/>
      <c r="C65" s="174" t="n">
        <v>9</v>
      </c>
      <c r="G65" s="175" t="n">
        <v>306060</v>
      </c>
      <c r="H65" s="175" t="n">
        <v>329016</v>
      </c>
      <c r="I65" s="175" t="n">
        <v>351390</v>
      </c>
      <c r="J65" s="176" t="n">
        <v>375987</v>
      </c>
      <c r="K65" s="176" t="n">
        <v>400803</v>
      </c>
      <c r="L65" s="175" t="n">
        <v>430461</v>
      </c>
      <c r="M65" s="175" t="n">
        <v>460593</v>
      </c>
      <c r="N65" s="175" t="n">
        <v>495597</v>
      </c>
      <c r="O65" s="175" t="n">
        <v>531777</v>
      </c>
      <c r="P65" s="175" t="n">
        <v>566343</v>
      </c>
      <c r="Q65" s="175" t="n">
        <v>598626</v>
      </c>
      <c r="R65" s="191" t="n"/>
    </row>
    <row r="66" ht="14.4" customHeight="1">
      <c r="A66" s="173" t="n"/>
      <c r="B66" s="528" t="n"/>
      <c r="C66" s="174" t="n">
        <v>10</v>
      </c>
      <c r="G66" s="175" t="n">
        <v>315243</v>
      </c>
      <c r="H66" s="175" t="n">
        <v>338886</v>
      </c>
      <c r="I66" s="175" t="n">
        <v>361929</v>
      </c>
      <c r="J66" s="176" t="n">
        <v>387264</v>
      </c>
      <c r="K66" s="176" t="n">
        <v>412824</v>
      </c>
      <c r="L66" s="175" t="n">
        <v>443373</v>
      </c>
      <c r="M66" s="175" t="n">
        <v>474408</v>
      </c>
      <c r="N66" s="175" t="n">
        <v>510462</v>
      </c>
      <c r="O66" s="175" t="n">
        <v>547725</v>
      </c>
      <c r="P66" s="175" t="n">
        <v>583326</v>
      </c>
      <c r="Q66" s="175" t="n">
        <v>616575</v>
      </c>
      <c r="R66" s="191" t="n"/>
    </row>
    <row r="67" ht="14.4" customHeight="1">
      <c r="A67" s="173" t="n"/>
      <c r="B67" s="528" t="n"/>
      <c r="C67" s="174" t="n">
        <v>11</v>
      </c>
      <c r="G67" s="175" t="n">
        <v>324702</v>
      </c>
      <c r="H67" s="175" t="n">
        <v>349056</v>
      </c>
      <c r="I67" s="175" t="n">
        <v>372792</v>
      </c>
      <c r="J67" s="176" t="n">
        <v>398886</v>
      </c>
      <c r="K67" s="176" t="n">
        <v>425211</v>
      </c>
      <c r="L67" s="175" t="n">
        <v>456678</v>
      </c>
      <c r="M67" s="175" t="n">
        <v>488646</v>
      </c>
      <c r="N67" s="175" t="n">
        <v>525783</v>
      </c>
      <c r="O67" s="175" t="n">
        <v>564165</v>
      </c>
      <c r="P67" s="175" t="n">
        <v>600837</v>
      </c>
      <c r="Q67" s="175" t="n">
        <v>635085</v>
      </c>
      <c r="R67" s="191" t="n"/>
    </row>
    <row r="68" ht="14.4" customHeight="1">
      <c r="A68" s="173" t="n"/>
      <c r="B68" s="528" t="n"/>
      <c r="C68" s="174" t="n">
        <v>12</v>
      </c>
      <c r="G68" s="175" t="n">
        <v>334443</v>
      </c>
      <c r="H68" s="175" t="n">
        <v>359526</v>
      </c>
      <c r="I68" s="175" t="n">
        <v>383973</v>
      </c>
      <c r="J68" s="176" t="n">
        <v>410850</v>
      </c>
      <c r="K68" s="176" t="n">
        <v>437967</v>
      </c>
      <c r="L68" s="175" t="n">
        <v>470376</v>
      </c>
      <c r="M68" s="175" t="n">
        <v>503301</v>
      </c>
      <c r="N68" s="175" t="n">
        <v>541551</v>
      </c>
      <c r="O68" s="175" t="n">
        <v>581085</v>
      </c>
      <c r="P68" s="175" t="n">
        <v>618855</v>
      </c>
      <c r="Q68" s="175" t="n">
        <v>654129</v>
      </c>
      <c r="R68" s="191" t="n"/>
    </row>
    <row r="69" ht="14.4" customHeight="1">
      <c r="A69" s="173" t="n"/>
      <c r="B69" s="528" t="n"/>
      <c r="C69" s="174" t="n">
        <v>13</v>
      </c>
      <c r="G69" s="175" t="n">
        <v>344475</v>
      </c>
      <c r="H69" s="175" t="n">
        <v>370311</v>
      </c>
      <c r="I69" s="175" t="n">
        <v>395493</v>
      </c>
      <c r="J69" s="176" t="n">
        <v>423177</v>
      </c>
      <c r="K69" s="176" t="n">
        <v>451107</v>
      </c>
      <c r="L69" s="175" t="n">
        <v>484488</v>
      </c>
      <c r="M69" s="175" t="n">
        <v>518403</v>
      </c>
      <c r="N69" s="175" t="n">
        <v>557802</v>
      </c>
      <c r="O69" s="175" t="n">
        <v>598521</v>
      </c>
      <c r="P69" s="175" t="n">
        <v>637425</v>
      </c>
      <c r="Q69" s="175" t="n">
        <v>673758</v>
      </c>
      <c r="R69" s="191" t="n"/>
    </row>
    <row r="70" ht="14.4" customHeight="1">
      <c r="A70" s="173" t="n"/>
      <c r="B70" s="528" t="n"/>
      <c r="C70" s="174" t="n">
        <v>14</v>
      </c>
      <c r="G70" s="175" t="n">
        <v>354807</v>
      </c>
      <c r="H70" s="175" t="n">
        <v>381417</v>
      </c>
      <c r="I70" s="175" t="n">
        <v>407352</v>
      </c>
      <c r="J70" s="176" t="n">
        <v>435867</v>
      </c>
      <c r="K70" s="176" t="n">
        <v>464634</v>
      </c>
      <c r="L70" s="175" t="n">
        <v>499017</v>
      </c>
      <c r="M70" s="175" t="n">
        <v>533949</v>
      </c>
      <c r="N70" s="175" t="n">
        <v>574530</v>
      </c>
      <c r="O70" s="175" t="n">
        <v>616470</v>
      </c>
      <c r="P70" s="175" t="n">
        <v>656541</v>
      </c>
      <c r="Q70" s="175" t="n">
        <v>693963</v>
      </c>
      <c r="R70" s="191" t="n"/>
    </row>
    <row r="71" ht="14.4" customHeight="1">
      <c r="A71" s="173" t="n"/>
      <c r="B71" s="528" t="n"/>
      <c r="C71" s="174" t="n">
        <v>15</v>
      </c>
      <c r="G71" s="175" t="n">
        <v>365457</v>
      </c>
      <c r="H71" s="175" t="n">
        <v>392865</v>
      </c>
      <c r="I71" s="175" t="n">
        <v>419580</v>
      </c>
      <c r="J71" s="176" t="n">
        <v>448950</v>
      </c>
      <c r="K71" s="176" t="n">
        <v>478581</v>
      </c>
      <c r="L71" s="175" t="n">
        <v>513996</v>
      </c>
      <c r="M71" s="175" t="n">
        <v>549975</v>
      </c>
      <c r="N71" s="175" t="n">
        <v>591774</v>
      </c>
      <c r="O71" s="175" t="n">
        <v>634974</v>
      </c>
      <c r="P71" s="175" t="n">
        <v>676248</v>
      </c>
      <c r="Q71" s="175" t="n">
        <v>714795</v>
      </c>
      <c r="R71" s="191" t="n"/>
    </row>
    <row r="72" ht="14.4" customHeight="1">
      <c r="A72" s="173" t="n">
        <v>10</v>
      </c>
      <c r="B72" s="528" t="inlineStr">
        <is>
          <t>Social Work Manager Grade 1</t>
        </is>
      </c>
      <c r="C72" s="174" t="n">
        <v>1</v>
      </c>
      <c r="G72" s="175" t="n">
        <v>410262</v>
      </c>
      <c r="H72" s="175" t="n">
        <v>441033</v>
      </c>
      <c r="I72" s="175" t="n">
        <v>471024</v>
      </c>
      <c r="J72" s="176" t="n">
        <v>503997</v>
      </c>
      <c r="K72" s="176" t="n">
        <v>537261</v>
      </c>
      <c r="L72" s="175" t="n">
        <v>577017</v>
      </c>
      <c r="M72" s="175" t="n">
        <v>617409</v>
      </c>
      <c r="N72" s="175" t="n">
        <v>664332</v>
      </c>
      <c r="O72" s="175" t="n">
        <v>712827</v>
      </c>
      <c r="P72" s="175" t="n">
        <v>755598</v>
      </c>
      <c r="Q72" s="175" t="n">
        <v>794889</v>
      </c>
      <c r="R72" s="191" t="n"/>
    </row>
    <row r="73" ht="14.4" customHeight="1">
      <c r="A73" s="173" t="n"/>
      <c r="C73" s="174" t="n">
        <v>2</v>
      </c>
      <c r="G73" s="175" t="n">
        <v>422571</v>
      </c>
      <c r="H73" s="175" t="n">
        <v>454263</v>
      </c>
      <c r="I73" s="175" t="n">
        <v>485154</v>
      </c>
      <c r="J73" s="176" t="n">
        <v>519114</v>
      </c>
      <c r="K73" s="176" t="n">
        <v>553377</v>
      </c>
      <c r="L73" s="175" t="n">
        <v>594327</v>
      </c>
      <c r="M73" s="175" t="n">
        <v>635931</v>
      </c>
      <c r="N73" s="175" t="n">
        <v>684261</v>
      </c>
      <c r="O73" s="175" t="n">
        <v>734211</v>
      </c>
      <c r="P73" s="175" t="n">
        <v>778263</v>
      </c>
      <c r="Q73" s="175" t="n">
        <v>818733</v>
      </c>
      <c r="R73" s="191" t="n"/>
    </row>
    <row r="74" ht="14.4" customHeight="1">
      <c r="A74" s="173" t="n"/>
      <c r="B74" s="528" t="n"/>
      <c r="C74" s="174" t="n">
        <v>3</v>
      </c>
      <c r="G74" s="175" t="n">
        <v>435249</v>
      </c>
      <c r="H74" s="175" t="n">
        <v>467892</v>
      </c>
      <c r="I74" s="175" t="n">
        <v>499710</v>
      </c>
      <c r="J74" s="176" t="n">
        <v>534690</v>
      </c>
      <c r="K74" s="176" t="n">
        <v>569979</v>
      </c>
      <c r="L74" s="175" t="n">
        <v>612156</v>
      </c>
      <c r="M74" s="175" t="n">
        <v>655008</v>
      </c>
      <c r="N74" s="175" t="n">
        <v>704790</v>
      </c>
      <c r="O74" s="175" t="n">
        <v>756240</v>
      </c>
      <c r="P74" s="175" t="n">
        <v>801615</v>
      </c>
      <c r="Q74" s="175" t="n">
        <v>843300</v>
      </c>
      <c r="R74" s="191" t="n"/>
    </row>
    <row r="75" ht="14.4" customHeight="1">
      <c r="A75" s="173" t="n"/>
      <c r="B75" s="528" t="n"/>
      <c r="C75" s="174" t="n">
        <v>4</v>
      </c>
      <c r="G75" s="175" t="n">
        <v>448311</v>
      </c>
      <c r="H75" s="175" t="n">
        <v>481935</v>
      </c>
      <c r="I75" s="175" t="n">
        <v>514707</v>
      </c>
      <c r="J75" s="176" t="n">
        <v>550737</v>
      </c>
      <c r="K75" s="176" t="n">
        <v>587085</v>
      </c>
      <c r="L75" s="175" t="n">
        <v>630528</v>
      </c>
      <c r="M75" s="175" t="n">
        <v>674664</v>
      </c>
      <c r="N75" s="175" t="n">
        <v>725937</v>
      </c>
      <c r="O75" s="175" t="n">
        <v>778929</v>
      </c>
      <c r="P75" s="175" t="n">
        <v>825666</v>
      </c>
      <c r="Q75" s="175" t="n">
        <v>868602</v>
      </c>
      <c r="R75" s="191" t="n"/>
    </row>
    <row r="76" ht="14.4" customHeight="1">
      <c r="A76" s="173" t="n"/>
      <c r="B76" s="528" t="n"/>
      <c r="C76" s="174" t="n">
        <v>5</v>
      </c>
      <c r="G76" s="175" t="n">
        <v>461760</v>
      </c>
      <c r="H76" s="175" t="n">
        <v>496392</v>
      </c>
      <c r="I76" s="175" t="n">
        <v>530148</v>
      </c>
      <c r="J76" s="176" t="n">
        <v>567258</v>
      </c>
      <c r="K76" s="176" t="n">
        <v>604698</v>
      </c>
      <c r="L76" s="175" t="n">
        <v>649446</v>
      </c>
      <c r="M76" s="175" t="n">
        <v>694908</v>
      </c>
      <c r="N76" s="175" t="n">
        <v>747720</v>
      </c>
      <c r="O76" s="175" t="n">
        <v>802305</v>
      </c>
      <c r="P76" s="175" t="n">
        <v>850443</v>
      </c>
      <c r="Q76" s="175" t="n">
        <v>894666</v>
      </c>
      <c r="R76" s="191" t="n"/>
    </row>
    <row r="77" ht="14.4" customHeight="1">
      <c r="A77" s="173" t="n">
        <v>11</v>
      </c>
      <c r="B77" s="528" t="inlineStr">
        <is>
          <t>Social Work Manager Grade 2</t>
        </is>
      </c>
      <c r="C77" s="174" t="n">
        <v>1</v>
      </c>
      <c r="G77" s="175" t="n">
        <v>489882</v>
      </c>
      <c r="H77" s="175" t="n">
        <v>526623</v>
      </c>
      <c r="I77" s="175" t="n">
        <v>562434</v>
      </c>
      <c r="J77" s="176" t="n">
        <v>601803</v>
      </c>
      <c r="K77" s="176" t="n">
        <v>641523</v>
      </c>
      <c r="L77" s="175" t="n">
        <v>688995</v>
      </c>
      <c r="M77" s="175" t="n">
        <v>737226</v>
      </c>
      <c r="N77" s="175" t="n">
        <v>793254</v>
      </c>
      <c r="O77" s="175" t="n">
        <v>851163</v>
      </c>
      <c r="P77" s="175" t="n">
        <v>902232</v>
      </c>
      <c r="Q77" s="175" t="n">
        <v>949149</v>
      </c>
      <c r="R77" s="191" t="n"/>
    </row>
    <row r="78" ht="14.4" customHeight="1">
      <c r="A78" s="173" t="n"/>
      <c r="C78" s="174" t="n">
        <v>2</v>
      </c>
      <c r="G78" s="175" t="n">
        <v>504576</v>
      </c>
      <c r="H78" s="175" t="n">
        <v>542418</v>
      </c>
      <c r="I78" s="175" t="n">
        <v>579303</v>
      </c>
      <c r="J78" s="176" t="n">
        <v>619854</v>
      </c>
      <c r="K78" s="176" t="n">
        <v>660765</v>
      </c>
      <c r="L78" s="175" t="n">
        <v>709662</v>
      </c>
      <c r="M78" s="175" t="n">
        <v>759339</v>
      </c>
      <c r="N78" s="175" t="n">
        <v>817050</v>
      </c>
      <c r="O78" s="175" t="n">
        <v>876696</v>
      </c>
      <c r="P78" s="175" t="n">
        <v>929298</v>
      </c>
      <c r="Q78" s="175" t="n">
        <v>977622</v>
      </c>
      <c r="R78" s="191" t="n"/>
    </row>
    <row r="79" ht="14.4" customHeight="1">
      <c r="A79" s="173" t="n"/>
      <c r="B79" s="528" t="n"/>
      <c r="C79" s="174" t="n">
        <v>3</v>
      </c>
      <c r="G79" s="175" t="n">
        <v>519714</v>
      </c>
      <c r="H79" s="175" t="n">
        <v>558693</v>
      </c>
      <c r="I79" s="175" t="n">
        <v>596685</v>
      </c>
      <c r="J79" s="176" t="n">
        <v>638454</v>
      </c>
      <c r="K79" s="176" t="n">
        <v>680592</v>
      </c>
      <c r="L79" s="175" t="n">
        <v>730956</v>
      </c>
      <c r="M79" s="175" t="n">
        <v>782124</v>
      </c>
      <c r="N79" s="175" t="n">
        <v>841566</v>
      </c>
      <c r="O79" s="175" t="n">
        <v>903000</v>
      </c>
      <c r="P79" s="175" t="n">
        <v>957180</v>
      </c>
      <c r="Q79" s="175" t="n">
        <v>1006953</v>
      </c>
      <c r="R79" s="191" t="n"/>
    </row>
    <row r="80" ht="14.4" customHeight="1">
      <c r="A80" s="173" t="n"/>
      <c r="B80" s="528" t="n"/>
      <c r="C80" s="174" t="n">
        <v>4</v>
      </c>
      <c r="G80" s="175" t="n">
        <v>535305</v>
      </c>
      <c r="H80" s="175" t="n">
        <v>575454</v>
      </c>
      <c r="I80" s="175" t="n">
        <v>614586</v>
      </c>
      <c r="J80" s="176" t="n">
        <v>657606</v>
      </c>
      <c r="K80" s="176" t="n">
        <v>701007</v>
      </c>
      <c r="L80" s="175" t="n">
        <v>752883</v>
      </c>
      <c r="M80" s="175" t="n">
        <v>805584</v>
      </c>
      <c r="N80" s="175" t="n">
        <v>866808</v>
      </c>
      <c r="O80" s="175" t="n">
        <v>930084</v>
      </c>
      <c r="P80" s="175" t="n">
        <v>985890</v>
      </c>
      <c r="Q80" s="175" t="n">
        <v>1037157</v>
      </c>
      <c r="R80" s="191" t="n"/>
    </row>
    <row r="81" ht="14.4" customHeight="1">
      <c r="A81" s="173" t="n"/>
      <c r="B81" s="528" t="n"/>
      <c r="C81" s="174" t="n">
        <v>5</v>
      </c>
      <c r="G81" s="175" t="n">
        <v>551364</v>
      </c>
      <c r="H81" s="175" t="n">
        <v>592716</v>
      </c>
      <c r="I81" s="175" t="n">
        <v>633021</v>
      </c>
      <c r="J81" s="176" t="n">
        <v>677331</v>
      </c>
      <c r="K81" s="176" t="n">
        <v>722034</v>
      </c>
      <c r="L81" s="175" t="n">
        <v>775464</v>
      </c>
      <c r="M81" s="175" t="n">
        <v>829746</v>
      </c>
      <c r="N81" s="175" t="n">
        <v>892806</v>
      </c>
      <c r="O81" s="175" t="n">
        <v>957981</v>
      </c>
      <c r="P81" s="175" t="n">
        <v>1015461</v>
      </c>
      <c r="Q81" s="175" t="n">
        <v>1068264</v>
      </c>
      <c r="R81" s="191" t="n"/>
    </row>
    <row r="82" ht="14.4" customHeight="1">
      <c r="A82" s="173" t="n"/>
      <c r="B82" s="528" t="n"/>
      <c r="C82" s="174" t="n">
        <v>6</v>
      </c>
      <c r="G82" s="175" t="n">
        <v>567906</v>
      </c>
      <c r="H82" s="175" t="n">
        <v>610500</v>
      </c>
      <c r="I82" s="175" t="n">
        <v>652014</v>
      </c>
      <c r="J82" s="176" t="n">
        <v>697656</v>
      </c>
      <c r="K82" s="176" t="n">
        <v>743700</v>
      </c>
      <c r="L82" s="175" t="n">
        <v>798735</v>
      </c>
      <c r="M82" s="175" t="n">
        <v>854646</v>
      </c>
      <c r="N82" s="175" t="n">
        <v>919599</v>
      </c>
      <c r="O82" s="175" t="n">
        <v>986730</v>
      </c>
      <c r="P82" s="175" t="n">
        <v>1045935</v>
      </c>
      <c r="Q82" s="175" t="n">
        <v>1100325</v>
      </c>
      <c r="R82" s="191" t="n"/>
    </row>
    <row r="83" ht="14.4" customHeight="1">
      <c r="A83" s="173" t="n">
        <v>12</v>
      </c>
      <c r="B83" s="528" t="inlineStr">
        <is>
          <t>Social Work Policy Developer Grade 1</t>
        </is>
      </c>
      <c r="C83" s="174" t="n">
        <v>1</v>
      </c>
      <c r="G83" s="175" t="n">
        <v>186006</v>
      </c>
      <c r="H83" s="175" t="n">
        <v>199956</v>
      </c>
      <c r="I83" s="175" t="n">
        <v>213552</v>
      </c>
      <c r="J83" s="176" t="n">
        <v>228501</v>
      </c>
      <c r="K83" s="176" t="n">
        <v>243582</v>
      </c>
      <c r="L83" s="175" t="n">
        <v>261606</v>
      </c>
      <c r="M83" s="175" t="n">
        <v>279918</v>
      </c>
      <c r="N83" s="175" t="n">
        <v>301191</v>
      </c>
      <c r="O83" s="175" t="n">
        <v>323178</v>
      </c>
      <c r="P83" s="175" t="n">
        <v>344184</v>
      </c>
      <c r="Q83" s="175" t="n">
        <v>363801</v>
      </c>
      <c r="R83" s="191" t="n"/>
    </row>
    <row r="84" ht="14.4" customHeight="1">
      <c r="A84" s="173" t="n"/>
      <c r="C84" s="174" t="n">
        <v>2</v>
      </c>
      <c r="G84" s="175" t="n">
        <v>191589</v>
      </c>
      <c r="H84" s="175" t="n">
        <v>205959</v>
      </c>
      <c r="I84" s="175" t="n">
        <v>219963</v>
      </c>
      <c r="J84" s="176" t="n">
        <v>235359</v>
      </c>
      <c r="K84" s="176" t="n">
        <v>250893</v>
      </c>
      <c r="L84" s="175" t="n">
        <v>269460</v>
      </c>
      <c r="M84" s="175" t="n">
        <v>288321</v>
      </c>
      <c r="N84" s="175" t="n">
        <v>310233</v>
      </c>
      <c r="O84" s="175" t="n">
        <v>332880</v>
      </c>
      <c r="P84" s="175" t="n">
        <v>354516</v>
      </c>
      <c r="Q84" s="175" t="n">
        <v>374724</v>
      </c>
      <c r="R84" s="191" t="n"/>
    </row>
    <row r="85" ht="14.4" customHeight="1">
      <c r="A85" s="173" t="n"/>
      <c r="B85" s="528" t="n"/>
      <c r="C85" s="174" t="n">
        <v>3</v>
      </c>
      <c r="G85" s="175" t="n">
        <v>196446</v>
      </c>
      <c r="H85" s="175" t="n">
        <v>211179</v>
      </c>
      <c r="I85" s="175" t="n">
        <v>225540</v>
      </c>
      <c r="J85" s="176" t="n">
        <v>241329</v>
      </c>
      <c r="K85" s="176" t="n">
        <v>257256</v>
      </c>
      <c r="L85" s="175" t="n">
        <v>276294</v>
      </c>
      <c r="M85" s="175" t="n">
        <v>295635</v>
      </c>
      <c r="N85" s="175" t="n">
        <v>318102</v>
      </c>
      <c r="O85" s="175" t="n">
        <v>341322</v>
      </c>
      <c r="P85" s="175" t="n">
        <v>363507</v>
      </c>
      <c r="Q85" s="175" t="n">
        <v>384228</v>
      </c>
      <c r="R85" s="191" t="n"/>
    </row>
    <row r="86" ht="14.4" customHeight="1">
      <c r="A86" s="173" t="n"/>
      <c r="B86" s="528" t="n"/>
      <c r="C86" s="174" t="n">
        <v>4</v>
      </c>
      <c r="G86" s="175" t="n">
        <v>202341</v>
      </c>
      <c r="H86" s="175" t="n">
        <v>217518</v>
      </c>
      <c r="I86" s="175" t="n">
        <v>232308</v>
      </c>
      <c r="J86" s="176" t="n">
        <v>248571</v>
      </c>
      <c r="K86" s="176" t="n">
        <v>264978</v>
      </c>
      <c r="L86" s="175" t="n">
        <v>284586</v>
      </c>
      <c r="M86" s="175" t="n">
        <v>304506</v>
      </c>
      <c r="N86" s="175" t="n">
        <v>327648</v>
      </c>
      <c r="O86" s="175" t="n">
        <v>351567</v>
      </c>
      <c r="P86" s="175" t="n">
        <v>374418</v>
      </c>
      <c r="Q86" s="175" t="n">
        <v>395760</v>
      </c>
      <c r="R86" s="191" t="n"/>
    </row>
    <row r="87" ht="14.4" customHeight="1">
      <c r="A87" s="173" t="n"/>
      <c r="B87" s="528" t="n"/>
      <c r="C87" s="174" t="n">
        <v>5</v>
      </c>
      <c r="G87" s="175" t="n">
        <v>208410</v>
      </c>
      <c r="H87" s="175" t="n">
        <v>224040</v>
      </c>
      <c r="I87" s="175" t="n">
        <v>239274</v>
      </c>
      <c r="J87" s="176" t="n">
        <v>256023</v>
      </c>
      <c r="K87" s="176" t="n">
        <v>272922</v>
      </c>
      <c r="L87" s="175" t="n">
        <v>293118</v>
      </c>
      <c r="M87" s="175" t="n">
        <v>313635</v>
      </c>
      <c r="N87" s="175" t="n">
        <v>337470</v>
      </c>
      <c r="O87" s="175" t="n">
        <v>362106</v>
      </c>
      <c r="P87" s="175" t="n">
        <v>385644</v>
      </c>
      <c r="Q87" s="175" t="n">
        <v>407625</v>
      </c>
      <c r="R87" s="191" t="n"/>
    </row>
    <row r="88" ht="14.4" customHeight="1">
      <c r="A88" s="173" t="n">
        <v>13</v>
      </c>
      <c r="B88" s="528" t="inlineStr">
        <is>
          <t>Social Work Policy Developer Grade 2</t>
        </is>
      </c>
      <c r="C88" s="174" t="n">
        <v>1</v>
      </c>
      <c r="G88" s="175" t="n">
        <v>221103</v>
      </c>
      <c r="H88" s="175" t="n">
        <v>237687</v>
      </c>
      <c r="I88" s="175" t="n">
        <v>253851</v>
      </c>
      <c r="J88" s="176" t="n">
        <v>271620</v>
      </c>
      <c r="K88" s="176" t="n">
        <v>289548</v>
      </c>
      <c r="L88" s="175" t="n">
        <v>310974</v>
      </c>
      <c r="M88" s="175" t="n">
        <v>332742</v>
      </c>
      <c r="N88" s="175" t="n">
        <v>358029</v>
      </c>
      <c r="O88" s="175" t="n">
        <v>384165</v>
      </c>
      <c r="P88" s="175" t="n">
        <v>409137</v>
      </c>
      <c r="Q88" s="175" t="n">
        <v>432459</v>
      </c>
      <c r="R88" s="191" t="n"/>
    </row>
    <row r="89" ht="14.4" customHeight="1">
      <c r="A89" s="173" t="n"/>
      <c r="C89" s="174" t="n">
        <v>2</v>
      </c>
      <c r="G89" s="175" t="n">
        <v>227736</v>
      </c>
      <c r="H89" s="175" t="n">
        <v>244815</v>
      </c>
      <c r="I89" s="175" t="n">
        <v>261462</v>
      </c>
      <c r="J89" s="176" t="n">
        <v>279765</v>
      </c>
      <c r="K89" s="176" t="n">
        <v>298230</v>
      </c>
      <c r="L89" s="175" t="n">
        <v>320298</v>
      </c>
      <c r="M89" s="175" t="n">
        <v>342720</v>
      </c>
      <c r="N89" s="175" t="n">
        <v>368766</v>
      </c>
      <c r="O89" s="175" t="n">
        <v>395685</v>
      </c>
      <c r="P89" s="175" t="n">
        <v>421404</v>
      </c>
      <c r="Q89" s="175" t="n">
        <v>445425</v>
      </c>
      <c r="R89" s="191" t="n"/>
    </row>
    <row r="90" ht="14.4" customHeight="1">
      <c r="A90" s="173" t="n"/>
      <c r="B90" s="528" t="n"/>
      <c r="C90" s="174" t="n">
        <v>3</v>
      </c>
      <c r="G90" s="175" t="n">
        <v>234570</v>
      </c>
      <c r="H90" s="175" t="n">
        <v>252162</v>
      </c>
      <c r="I90" s="175" t="n">
        <v>269310</v>
      </c>
      <c r="J90" s="176" t="n">
        <v>288162</v>
      </c>
      <c r="K90" s="176" t="n">
        <v>307182</v>
      </c>
      <c r="L90" s="175" t="n">
        <v>329913</v>
      </c>
      <c r="M90" s="175" t="n">
        <v>353007</v>
      </c>
      <c r="N90" s="175" t="n">
        <v>379836</v>
      </c>
      <c r="O90" s="175" t="n">
        <v>407565</v>
      </c>
      <c r="P90" s="175" t="n">
        <v>434058</v>
      </c>
      <c r="Q90" s="175" t="n">
        <v>458799</v>
      </c>
      <c r="R90" s="191" t="n"/>
    </row>
    <row r="91" ht="14.4" customHeight="1">
      <c r="A91" s="173" t="n"/>
      <c r="B91" s="528" t="n"/>
      <c r="C91" s="174" t="n">
        <v>4</v>
      </c>
      <c r="G91" s="175" t="n">
        <v>241605</v>
      </c>
      <c r="H91" s="175" t="n">
        <v>259725</v>
      </c>
      <c r="I91" s="175" t="n">
        <v>277386</v>
      </c>
      <c r="J91" s="176" t="n">
        <v>296802</v>
      </c>
      <c r="K91" s="176" t="n">
        <v>316392</v>
      </c>
      <c r="L91" s="175" t="n">
        <v>339804</v>
      </c>
      <c r="M91" s="175" t="n">
        <v>363591</v>
      </c>
      <c r="N91" s="175" t="n">
        <v>391224</v>
      </c>
      <c r="O91" s="175" t="n">
        <v>419784</v>
      </c>
      <c r="P91" s="175" t="n">
        <v>447069</v>
      </c>
      <c r="Q91" s="175" t="n">
        <v>472551</v>
      </c>
      <c r="R91" s="191" t="n"/>
    </row>
    <row r="92" ht="14.4" customHeight="1">
      <c r="A92" s="173" t="n"/>
      <c r="B92" s="528" t="n"/>
      <c r="C92" s="174" t="n">
        <v>5</v>
      </c>
      <c r="G92" s="175" t="n">
        <v>248853</v>
      </c>
      <c r="H92" s="175" t="n">
        <v>267516</v>
      </c>
      <c r="I92" s="175" t="n">
        <v>285708</v>
      </c>
      <c r="J92" s="176" t="n">
        <v>305709</v>
      </c>
      <c r="K92" s="176" t="n">
        <v>325887</v>
      </c>
      <c r="L92" s="175" t="n">
        <v>350004</v>
      </c>
      <c r="M92" s="175" t="n">
        <v>374505</v>
      </c>
      <c r="N92" s="175" t="n">
        <v>402966</v>
      </c>
      <c r="O92" s="175" t="n">
        <v>432384</v>
      </c>
      <c r="P92" s="175" t="n">
        <v>460488</v>
      </c>
      <c r="Q92" s="175" t="n">
        <v>486735</v>
      </c>
      <c r="R92" s="191" t="n"/>
    </row>
    <row r="93" ht="14.4" customHeight="1">
      <c r="A93" s="173" t="n"/>
      <c r="B93" s="528" t="n"/>
      <c r="C93" s="174" t="n">
        <v>6</v>
      </c>
      <c r="G93" s="175" t="n">
        <v>256320</v>
      </c>
      <c r="H93" s="175" t="n">
        <v>275544</v>
      </c>
      <c r="I93" s="175" t="n">
        <v>294282</v>
      </c>
      <c r="J93" s="176" t="n">
        <v>314883</v>
      </c>
      <c r="K93" s="176" t="n">
        <v>335664</v>
      </c>
      <c r="L93" s="175" t="n">
        <v>360504</v>
      </c>
      <c r="M93" s="175" t="n">
        <v>385740</v>
      </c>
      <c r="N93" s="175" t="n">
        <v>415056</v>
      </c>
      <c r="O93" s="175" t="n">
        <v>445356</v>
      </c>
      <c r="P93" s="175" t="n">
        <v>474303</v>
      </c>
      <c r="Q93" s="175" t="n">
        <v>501339</v>
      </c>
      <c r="R93" s="191" t="n"/>
    </row>
    <row r="94" ht="14.4" customHeight="1">
      <c r="A94" s="173" t="n"/>
      <c r="B94" s="528" t="n"/>
      <c r="C94" s="174" t="n">
        <v>7</v>
      </c>
      <c r="G94" s="175" t="n">
        <v>264009</v>
      </c>
      <c r="H94" s="175" t="n">
        <v>283809</v>
      </c>
      <c r="I94" s="175" t="n">
        <v>303108</v>
      </c>
      <c r="J94" s="176" t="n">
        <v>324327</v>
      </c>
      <c r="K94" s="176" t="n">
        <v>345732</v>
      </c>
      <c r="L94" s="175" t="n">
        <v>371316</v>
      </c>
      <c r="M94" s="175" t="n">
        <v>397308</v>
      </c>
      <c r="N94" s="175" t="n">
        <v>427503</v>
      </c>
      <c r="O94" s="175" t="n">
        <v>458712</v>
      </c>
      <c r="P94" s="175" t="n">
        <v>488529</v>
      </c>
      <c r="Q94" s="175" t="n">
        <v>516375</v>
      </c>
      <c r="R94" s="191" t="n"/>
    </row>
    <row r="95" ht="14.4" customHeight="1">
      <c r="A95" s="173" t="n"/>
      <c r="B95" s="528" t="n"/>
      <c r="C95" s="174" t="n">
        <v>8</v>
      </c>
      <c r="G95" s="175" t="n">
        <v>271929</v>
      </c>
      <c r="H95" s="175" t="n">
        <v>292323</v>
      </c>
      <c r="I95" s="175" t="n">
        <v>312201</v>
      </c>
      <c r="J95" s="176" t="n">
        <v>334056</v>
      </c>
      <c r="K95" s="176" t="n">
        <v>356103</v>
      </c>
      <c r="L95" s="175" t="n">
        <v>382455</v>
      </c>
      <c r="M95" s="175" t="n">
        <v>409227</v>
      </c>
      <c r="N95" s="175" t="n">
        <v>440328</v>
      </c>
      <c r="O95" s="175" t="n">
        <v>472473</v>
      </c>
      <c r="P95" s="175" t="n">
        <v>503184</v>
      </c>
      <c r="Q95" s="175" t="n">
        <v>531864</v>
      </c>
      <c r="R95" s="191" t="n"/>
    </row>
    <row r="96" ht="14.4" customHeight="1">
      <c r="A96" s="173" t="n"/>
      <c r="B96" s="528" t="n"/>
      <c r="C96" s="174" t="n">
        <v>9</v>
      </c>
      <c r="G96" s="175" t="n">
        <v>280089</v>
      </c>
      <c r="H96" s="175" t="n">
        <v>301095</v>
      </c>
      <c r="I96" s="175" t="n">
        <v>321570</v>
      </c>
      <c r="J96" s="176" t="n">
        <v>344079</v>
      </c>
      <c r="K96" s="176" t="n">
        <v>366789</v>
      </c>
      <c r="L96" s="175" t="n">
        <v>393930</v>
      </c>
      <c r="M96" s="175" t="n">
        <v>421506</v>
      </c>
      <c r="N96" s="175" t="n">
        <v>453540</v>
      </c>
      <c r="O96" s="175" t="n">
        <v>486648</v>
      </c>
      <c r="P96" s="175" t="n">
        <v>518280</v>
      </c>
      <c r="Q96" s="175" t="n">
        <v>547821</v>
      </c>
      <c r="R96" s="191" t="n"/>
    </row>
    <row r="97" ht="14.4" customHeight="1">
      <c r="A97" s="173" t="n"/>
      <c r="B97" s="528" t="n"/>
      <c r="C97" s="174" t="n">
        <v>10</v>
      </c>
      <c r="G97" s="175" t="n">
        <v>288489</v>
      </c>
      <c r="H97" s="175" t="n">
        <v>310125</v>
      </c>
      <c r="I97" s="175" t="n">
        <v>331215</v>
      </c>
      <c r="J97" s="176" t="n">
        <v>354399</v>
      </c>
      <c r="K97" s="176" t="n">
        <v>377790</v>
      </c>
      <c r="L97" s="175" t="n">
        <v>405747</v>
      </c>
      <c r="M97" s="175" t="n">
        <v>434148</v>
      </c>
      <c r="N97" s="175" t="n">
        <v>467142</v>
      </c>
      <c r="O97" s="175" t="n">
        <v>501243</v>
      </c>
      <c r="P97" s="175" t="n">
        <v>533823</v>
      </c>
      <c r="Q97" s="175" t="n">
        <v>564252</v>
      </c>
      <c r="R97" s="191" t="n"/>
    </row>
    <row r="98" ht="14.4" customHeight="1">
      <c r="A98" s="173" t="n"/>
      <c r="B98" s="528" t="n"/>
      <c r="C98" s="174" t="n">
        <v>11</v>
      </c>
      <c r="G98" s="175" t="n">
        <v>297144</v>
      </c>
      <c r="H98" s="175" t="n">
        <v>319431</v>
      </c>
      <c r="I98" s="175" t="n">
        <v>341151</v>
      </c>
      <c r="J98" s="176" t="n">
        <v>365031</v>
      </c>
      <c r="K98" s="176" t="n">
        <v>389124</v>
      </c>
      <c r="L98" s="175" t="n">
        <v>417918</v>
      </c>
      <c r="M98" s="175" t="n">
        <v>447171</v>
      </c>
      <c r="N98" s="175" t="n">
        <v>481155</v>
      </c>
      <c r="O98" s="175" t="n">
        <v>516279</v>
      </c>
      <c r="P98" s="175" t="n">
        <v>549837</v>
      </c>
      <c r="Q98" s="175" t="n">
        <v>581178</v>
      </c>
      <c r="R98" s="191" t="n"/>
    </row>
    <row r="99" ht="14.4" customHeight="1">
      <c r="A99" s="173" t="n">
        <v>14</v>
      </c>
      <c r="B99" s="528" t="inlineStr">
        <is>
          <t>Manager Social Work Policy Grade 1</t>
        </is>
      </c>
      <c r="C99" s="174" t="n">
        <v>1</v>
      </c>
      <c r="G99" s="175" t="n">
        <v>410262</v>
      </c>
      <c r="H99" s="175" t="n">
        <v>441033</v>
      </c>
      <c r="I99" s="175" t="n">
        <v>471024</v>
      </c>
      <c r="J99" s="176" t="n">
        <v>503997</v>
      </c>
      <c r="K99" s="176" t="n">
        <v>537261</v>
      </c>
      <c r="L99" s="175" t="n">
        <v>577017</v>
      </c>
      <c r="M99" s="175" t="n">
        <v>617409</v>
      </c>
      <c r="N99" s="175" t="n">
        <v>664332</v>
      </c>
      <c r="O99" s="175" t="n">
        <v>712827</v>
      </c>
      <c r="P99" s="175" t="n">
        <v>755598</v>
      </c>
      <c r="Q99" s="175" t="n">
        <v>794889</v>
      </c>
      <c r="R99" s="191" t="n"/>
    </row>
    <row r="100" ht="14.4" customHeight="1">
      <c r="A100" s="173" t="n"/>
      <c r="C100" s="174" t="n">
        <v>2</v>
      </c>
      <c r="G100" s="175" t="n">
        <v>422571</v>
      </c>
      <c r="H100" s="175" t="n">
        <v>454263</v>
      </c>
      <c r="I100" s="175" t="n">
        <v>485154</v>
      </c>
      <c r="J100" s="176" t="n">
        <v>519114</v>
      </c>
      <c r="K100" s="176" t="n">
        <v>553377</v>
      </c>
      <c r="L100" s="175" t="n">
        <v>594327</v>
      </c>
      <c r="M100" s="175" t="n">
        <v>635931</v>
      </c>
      <c r="N100" s="175" t="n">
        <v>684261</v>
      </c>
      <c r="O100" s="175" t="n">
        <v>734211</v>
      </c>
      <c r="P100" s="175" t="n">
        <v>778263</v>
      </c>
      <c r="Q100" s="175" t="n">
        <v>818733</v>
      </c>
      <c r="R100" s="191" t="n"/>
    </row>
    <row r="101" ht="14.4" customHeight="1">
      <c r="A101" s="173" t="n"/>
      <c r="B101" s="528" t="n"/>
      <c r="C101" s="174" t="n">
        <v>3</v>
      </c>
      <c r="G101" s="175" t="n">
        <v>435249</v>
      </c>
      <c r="H101" s="175" t="n">
        <v>467892</v>
      </c>
      <c r="I101" s="175" t="n">
        <v>499710</v>
      </c>
      <c r="J101" s="176" t="n">
        <v>534690</v>
      </c>
      <c r="K101" s="176" t="n">
        <v>569979</v>
      </c>
      <c r="L101" s="175" t="n">
        <v>612156</v>
      </c>
      <c r="M101" s="175" t="n">
        <v>655008</v>
      </c>
      <c r="N101" s="175" t="n">
        <v>704790</v>
      </c>
      <c r="O101" s="175" t="n">
        <v>756240</v>
      </c>
      <c r="P101" s="175" t="n">
        <v>801615</v>
      </c>
      <c r="Q101" s="175" t="n">
        <v>843300</v>
      </c>
      <c r="R101" s="191" t="n"/>
    </row>
    <row r="102" ht="14.4" customHeight="1">
      <c r="A102" s="173" t="n"/>
      <c r="B102" s="528" t="n"/>
      <c r="C102" s="174" t="n">
        <v>4</v>
      </c>
      <c r="G102" s="175" t="n">
        <v>448311</v>
      </c>
      <c r="H102" s="175" t="n">
        <v>481935</v>
      </c>
      <c r="I102" s="175" t="n">
        <v>514707</v>
      </c>
      <c r="J102" s="176" t="n">
        <v>550737</v>
      </c>
      <c r="K102" s="176" t="n">
        <v>587085</v>
      </c>
      <c r="L102" s="175" t="n">
        <v>630528</v>
      </c>
      <c r="M102" s="175" t="n">
        <v>674664</v>
      </c>
      <c r="N102" s="175" t="n">
        <v>725937</v>
      </c>
      <c r="O102" s="175" t="n">
        <v>778929</v>
      </c>
      <c r="P102" s="175" t="n">
        <v>825666</v>
      </c>
      <c r="Q102" s="175" t="n">
        <v>868602</v>
      </c>
      <c r="R102" s="191" t="n"/>
    </row>
    <row r="103" ht="14.4" customHeight="1">
      <c r="A103" s="173" t="n"/>
      <c r="B103" s="528" t="n"/>
      <c r="C103" s="174" t="n">
        <v>5</v>
      </c>
      <c r="G103" s="175" t="n">
        <v>461760</v>
      </c>
      <c r="H103" s="175" t="n">
        <v>496392</v>
      </c>
      <c r="I103" s="175" t="n">
        <v>530148</v>
      </c>
      <c r="J103" s="176" t="n">
        <v>567258</v>
      </c>
      <c r="K103" s="176" t="n">
        <v>604698</v>
      </c>
      <c r="L103" s="175" t="n">
        <v>649446</v>
      </c>
      <c r="M103" s="175" t="n">
        <v>694908</v>
      </c>
      <c r="N103" s="175" t="n">
        <v>747720</v>
      </c>
      <c r="O103" s="175" t="n">
        <v>802305</v>
      </c>
      <c r="P103" s="175" t="n">
        <v>850443</v>
      </c>
      <c r="Q103" s="175" t="n">
        <v>894666</v>
      </c>
      <c r="R103" s="191" t="n"/>
    </row>
    <row r="104" ht="14.4" customHeight="1">
      <c r="A104" s="173" t="n">
        <v>15</v>
      </c>
      <c r="B104" s="528" t="inlineStr">
        <is>
          <t>Manager Social Work Policy Grade 2</t>
        </is>
      </c>
      <c r="C104" s="174" t="n">
        <v>1</v>
      </c>
      <c r="G104" s="175" t="n">
        <v>489882</v>
      </c>
      <c r="H104" s="175" t="n">
        <v>526623</v>
      </c>
      <c r="I104" s="175" t="n">
        <v>562434</v>
      </c>
      <c r="J104" s="176" t="n">
        <v>601803</v>
      </c>
      <c r="K104" s="176" t="n">
        <v>641523</v>
      </c>
      <c r="L104" s="175" t="n">
        <v>688995</v>
      </c>
      <c r="M104" s="175" t="n">
        <v>737226</v>
      </c>
      <c r="N104" s="175" t="n">
        <v>793254</v>
      </c>
      <c r="O104" s="175" t="n">
        <v>851163</v>
      </c>
      <c r="P104" s="175" t="n">
        <v>902232</v>
      </c>
      <c r="Q104" s="175" t="n">
        <v>949149</v>
      </c>
      <c r="R104" s="191" t="n"/>
    </row>
    <row r="105" ht="14.4" customHeight="1">
      <c r="A105" s="173" t="n"/>
      <c r="C105" s="174" t="n">
        <v>2</v>
      </c>
      <c r="G105" s="175" t="n">
        <v>504576</v>
      </c>
      <c r="H105" s="175" t="n">
        <v>542418</v>
      </c>
      <c r="I105" s="175" t="n">
        <v>579303</v>
      </c>
      <c r="J105" s="176" t="n">
        <v>619854</v>
      </c>
      <c r="K105" s="176" t="n">
        <v>660765</v>
      </c>
      <c r="L105" s="175" t="n">
        <v>709662</v>
      </c>
      <c r="M105" s="175" t="n">
        <v>759339</v>
      </c>
      <c r="N105" s="175" t="n">
        <v>817050</v>
      </c>
      <c r="O105" s="175" t="n">
        <v>876696</v>
      </c>
      <c r="P105" s="175" t="n">
        <v>929298</v>
      </c>
      <c r="Q105" s="175" t="n">
        <v>977622</v>
      </c>
      <c r="R105" s="191" t="n"/>
    </row>
    <row r="106" ht="14.4" customHeight="1">
      <c r="A106" s="173" t="n"/>
      <c r="B106" s="528" t="n"/>
      <c r="C106" s="174" t="n">
        <v>3</v>
      </c>
      <c r="G106" s="175" t="n">
        <v>519714</v>
      </c>
      <c r="H106" s="175" t="n">
        <v>558693</v>
      </c>
      <c r="I106" s="175" t="n">
        <v>596685</v>
      </c>
      <c r="J106" s="176" t="n">
        <v>638454</v>
      </c>
      <c r="K106" s="176" t="n">
        <v>680592</v>
      </c>
      <c r="L106" s="175" t="n">
        <v>730956</v>
      </c>
      <c r="M106" s="175" t="n">
        <v>782124</v>
      </c>
      <c r="N106" s="175" t="n">
        <v>841566</v>
      </c>
      <c r="O106" s="175" t="n">
        <v>903000</v>
      </c>
      <c r="P106" s="175" t="n">
        <v>957180</v>
      </c>
      <c r="Q106" s="175" t="n">
        <v>1006953</v>
      </c>
      <c r="R106" s="191" t="n"/>
    </row>
    <row r="107" ht="14.4" customHeight="1">
      <c r="A107" s="173" t="n"/>
      <c r="B107" s="528" t="n"/>
      <c r="C107" s="174" t="n">
        <v>4</v>
      </c>
      <c r="G107" s="175" t="n">
        <v>535305</v>
      </c>
      <c r="H107" s="175" t="n">
        <v>575454</v>
      </c>
      <c r="I107" s="175" t="n">
        <v>614586</v>
      </c>
      <c r="J107" s="176" t="n">
        <v>657606</v>
      </c>
      <c r="K107" s="176" t="n">
        <v>701007</v>
      </c>
      <c r="L107" s="175" t="n">
        <v>752883</v>
      </c>
      <c r="M107" s="175" t="n">
        <v>805584</v>
      </c>
      <c r="N107" s="175" t="n">
        <v>866808</v>
      </c>
      <c r="O107" s="175" t="n">
        <v>930084</v>
      </c>
      <c r="P107" s="175" t="n">
        <v>985890</v>
      </c>
      <c r="Q107" s="175" t="n">
        <v>1037157</v>
      </c>
      <c r="R107" s="191" t="n"/>
    </row>
    <row r="108" ht="14.4" customHeight="1">
      <c r="A108" s="173" t="n"/>
      <c r="B108" s="528" t="n"/>
      <c r="C108" s="174" t="n">
        <v>5</v>
      </c>
      <c r="G108" s="175" t="n">
        <v>551364</v>
      </c>
      <c r="H108" s="175" t="n">
        <v>592716</v>
      </c>
      <c r="I108" s="175" t="n">
        <v>633021</v>
      </c>
      <c r="J108" s="176" t="n">
        <v>677331</v>
      </c>
      <c r="K108" s="176" t="n">
        <v>722034</v>
      </c>
      <c r="L108" s="175" t="n">
        <v>775464</v>
      </c>
      <c r="M108" s="175" t="n">
        <v>829746</v>
      </c>
      <c r="N108" s="175" t="n">
        <v>892806</v>
      </c>
      <c r="O108" s="175" t="n">
        <v>957981</v>
      </c>
      <c r="P108" s="175" t="n">
        <v>1015461</v>
      </c>
      <c r="Q108" s="175" t="n">
        <v>1068264</v>
      </c>
      <c r="R108" s="191" t="n"/>
    </row>
    <row r="109" ht="14.4" customHeight="1">
      <c r="A109" s="173" t="n"/>
      <c r="B109" s="528" t="n"/>
      <c r="C109" s="174" t="n">
        <v>6</v>
      </c>
      <c r="G109" s="175" t="n"/>
      <c r="H109" s="175" t="n">
        <v>610500</v>
      </c>
      <c r="I109" s="175" t="n">
        <v>652014</v>
      </c>
      <c r="J109" s="176" t="n">
        <v>697656</v>
      </c>
      <c r="K109" s="176" t="n">
        <v>743700</v>
      </c>
      <c r="L109" s="175" t="n">
        <v>798735</v>
      </c>
      <c r="M109" s="175" t="n">
        <v>854646</v>
      </c>
      <c r="N109" s="175" t="n">
        <v>919599</v>
      </c>
      <c r="O109" s="175" t="n">
        <v>986730</v>
      </c>
      <c r="P109" s="175" t="n">
        <v>1045935</v>
      </c>
      <c r="Q109" s="175" t="n">
        <v>1100325</v>
      </c>
      <c r="R109" s="191" t="n"/>
    </row>
    <row r="110" ht="18" customHeight="1">
      <c r="B110" s="172" t="inlineStr">
        <is>
          <t>Community Development</t>
        </is>
      </c>
      <c r="G110" s="181" t="n"/>
      <c r="H110" s="181" t="n"/>
      <c r="I110" s="181" t="n"/>
      <c r="J110" s="181" t="n"/>
      <c r="K110" s="181" t="n"/>
      <c r="L110" s="181" t="n"/>
      <c r="M110" s="181" t="n"/>
      <c r="N110" s="181" t="n"/>
      <c r="O110" s="181" t="n"/>
      <c r="P110" s="181" t="n"/>
    </row>
    <row r="111" ht="14.4" customHeight="1">
      <c r="A111" s="173" t="n">
        <v>1</v>
      </c>
      <c r="B111" s="529" t="inlineStr">
        <is>
          <t>Assistant Community Development Practitioner Grade 1</t>
        </is>
      </c>
      <c r="C111" s="174" t="n">
        <v>1</v>
      </c>
      <c r="G111" s="175" t="n">
        <v>71391</v>
      </c>
      <c r="H111" s="175" t="n">
        <v>76746</v>
      </c>
      <c r="I111" s="175" t="n">
        <v>81966</v>
      </c>
      <c r="J111" s="176" t="n">
        <v>87705</v>
      </c>
      <c r="K111" s="176" t="n">
        <v>93495</v>
      </c>
      <c r="L111" s="175" t="n">
        <v>100413</v>
      </c>
      <c r="M111" s="175" t="n">
        <v>107442</v>
      </c>
      <c r="N111" s="175" t="n">
        <v>115608</v>
      </c>
      <c r="O111" s="175" t="n">
        <v>124047</v>
      </c>
      <c r="P111" s="175" t="n">
        <v>132729</v>
      </c>
      <c r="Q111" s="175" t="n">
        <v>140958</v>
      </c>
    </row>
    <row r="112" ht="14.4" customHeight="1">
      <c r="A112" s="173" t="n"/>
      <c r="C112" s="174" t="n">
        <v>2</v>
      </c>
      <c r="G112" s="175" t="n">
        <v>73533</v>
      </c>
      <c r="H112" s="175" t="n">
        <v>79047</v>
      </c>
      <c r="I112" s="175" t="n">
        <v>84423</v>
      </c>
      <c r="J112" s="176" t="n">
        <v>90333</v>
      </c>
      <c r="K112" s="176" t="n">
        <v>96294</v>
      </c>
      <c r="L112" s="175" t="n">
        <v>103419</v>
      </c>
      <c r="M112" s="175" t="n">
        <v>110658</v>
      </c>
      <c r="N112" s="175" t="n">
        <v>119067</v>
      </c>
      <c r="O112" s="175" t="n">
        <v>127758</v>
      </c>
      <c r="P112" s="175" t="n">
        <v>136701</v>
      </c>
      <c r="Q112" s="175" t="n">
        <v>145176</v>
      </c>
    </row>
    <row r="113" ht="14.4" customHeight="1">
      <c r="A113" s="173" t="n"/>
      <c r="C113" s="174" t="n">
        <v>3</v>
      </c>
      <c r="G113" s="175" t="n">
        <v>75069</v>
      </c>
      <c r="H113" s="175" t="n">
        <v>80700</v>
      </c>
      <c r="I113" s="175" t="n">
        <v>86187</v>
      </c>
      <c r="J113" s="176" t="n">
        <v>92220</v>
      </c>
      <c r="K113" s="176" t="n">
        <v>98307</v>
      </c>
      <c r="L113" s="175" t="n">
        <v>105582</v>
      </c>
      <c r="M113" s="175" t="n">
        <v>112974</v>
      </c>
      <c r="N113" s="175" t="n">
        <v>121560</v>
      </c>
      <c r="O113" s="175" t="n">
        <v>130434</v>
      </c>
      <c r="P113" s="175" t="n">
        <v>139563</v>
      </c>
      <c r="Q113" s="175" t="n">
        <v>148215</v>
      </c>
    </row>
    <row r="114" ht="14.4" customHeight="1">
      <c r="A114" s="173" t="n"/>
      <c r="C114" s="174" t="n">
        <v>4</v>
      </c>
      <c r="G114" s="175" t="n">
        <v>77325</v>
      </c>
      <c r="H114" s="175" t="n">
        <v>83124</v>
      </c>
      <c r="I114" s="175" t="n">
        <v>88776</v>
      </c>
      <c r="J114" s="176" t="n">
        <v>94989</v>
      </c>
      <c r="K114" s="176" t="n">
        <v>101259</v>
      </c>
      <c r="L114" s="175" t="n">
        <v>108753</v>
      </c>
      <c r="M114" s="175" t="n">
        <v>116367</v>
      </c>
      <c r="N114" s="175" t="n">
        <v>125211</v>
      </c>
      <c r="O114" s="175" t="n">
        <v>134352</v>
      </c>
      <c r="P114" s="175" t="n">
        <v>143757</v>
      </c>
      <c r="Q114" s="175" t="n">
        <v>152670</v>
      </c>
    </row>
    <row r="115" ht="14.4" customHeight="1">
      <c r="A115" s="173" t="n"/>
      <c r="C115" s="174" t="n">
        <v>5</v>
      </c>
      <c r="G115" s="175" t="n">
        <v>79641</v>
      </c>
      <c r="H115" s="175" t="n">
        <v>85614</v>
      </c>
      <c r="I115" s="175" t="n">
        <v>91437</v>
      </c>
      <c r="J115" s="176" t="n">
        <v>97839</v>
      </c>
      <c r="K115" s="176" t="n">
        <v>104295</v>
      </c>
      <c r="L115" s="175" t="n">
        <v>112014</v>
      </c>
      <c r="M115" s="175" t="n">
        <v>119856</v>
      </c>
      <c r="N115" s="175" t="n">
        <v>128964</v>
      </c>
      <c r="O115" s="175" t="n">
        <v>138378</v>
      </c>
      <c r="P115" s="175" t="n">
        <v>148065</v>
      </c>
      <c r="Q115" s="175" t="n">
        <v>157245</v>
      </c>
    </row>
    <row r="116" ht="14.4" customHeight="1">
      <c r="A116" s="173" t="n">
        <v>2</v>
      </c>
      <c r="B116" s="529" t="inlineStr">
        <is>
          <t>Assistant Community Development Practitioner 2</t>
        </is>
      </c>
      <c r="C116" s="174" t="n">
        <v>1</v>
      </c>
      <c r="G116" s="175" t="n">
        <v>84498</v>
      </c>
      <c r="H116" s="175" t="n">
        <v>90834</v>
      </c>
      <c r="I116" s="175" t="n">
        <v>97011</v>
      </c>
      <c r="J116" s="176" t="n">
        <v>103803</v>
      </c>
      <c r="K116" s="176" t="n">
        <v>110655</v>
      </c>
      <c r="L116" s="175" t="n">
        <v>118842</v>
      </c>
      <c r="M116" s="175" t="n">
        <v>127161</v>
      </c>
      <c r="N116" s="175" t="n">
        <v>136824</v>
      </c>
      <c r="O116" s="175" t="n">
        <v>146811</v>
      </c>
      <c r="P116" s="175" t="n">
        <v>157089</v>
      </c>
      <c r="Q116" s="175" t="n">
        <v>166830</v>
      </c>
    </row>
    <row r="117" ht="14.4" customHeight="1">
      <c r="A117" s="173" t="n"/>
      <c r="C117" s="174" t="n">
        <v>2</v>
      </c>
      <c r="G117" s="175" t="n">
        <v>87030</v>
      </c>
      <c r="H117" s="175" t="n">
        <v>93558</v>
      </c>
      <c r="I117" s="175" t="n">
        <v>99921</v>
      </c>
      <c r="J117" s="176" t="n">
        <v>106914</v>
      </c>
      <c r="K117" s="176" t="n">
        <v>113970</v>
      </c>
      <c r="L117" s="175" t="n">
        <v>122403</v>
      </c>
      <c r="M117" s="175" t="n">
        <v>130971</v>
      </c>
      <c r="N117" s="175" t="n">
        <v>140925</v>
      </c>
      <c r="O117" s="175" t="n">
        <v>151212</v>
      </c>
      <c r="P117" s="175" t="n">
        <v>161796</v>
      </c>
      <c r="Q117" s="175" t="n">
        <v>171828</v>
      </c>
    </row>
    <row r="118" ht="14.4" customHeight="1">
      <c r="A118" s="173" t="n"/>
      <c r="C118" s="174" t="n">
        <v>3</v>
      </c>
      <c r="G118" s="175" t="n">
        <v>89640</v>
      </c>
      <c r="H118" s="175" t="n">
        <v>96363</v>
      </c>
      <c r="I118" s="175" t="n">
        <v>102915</v>
      </c>
      <c r="J118" s="176" t="n">
        <v>110118</v>
      </c>
      <c r="K118" s="176" t="n">
        <v>117387</v>
      </c>
      <c r="L118" s="175" t="n">
        <v>126075</v>
      </c>
      <c r="M118" s="175" t="n">
        <v>134901</v>
      </c>
      <c r="N118" s="175" t="n">
        <v>145152</v>
      </c>
      <c r="O118" s="175" t="n">
        <v>155748</v>
      </c>
      <c r="P118" s="175" t="n">
        <v>166650</v>
      </c>
      <c r="Q118" s="175" t="n">
        <v>176982</v>
      </c>
    </row>
    <row r="119" ht="14.4" customHeight="1">
      <c r="A119" s="173" t="n"/>
      <c r="C119" s="174" t="n">
        <v>4</v>
      </c>
      <c r="G119" s="175" t="n">
        <v>92328</v>
      </c>
      <c r="H119" s="175" t="n">
        <v>99252</v>
      </c>
      <c r="I119" s="175" t="n">
        <v>106002</v>
      </c>
      <c r="J119" s="176" t="n">
        <v>113421</v>
      </c>
      <c r="K119" s="176" t="n">
        <v>120906</v>
      </c>
      <c r="L119" s="175" t="n">
        <v>129852</v>
      </c>
      <c r="M119" s="175" t="n">
        <v>138942</v>
      </c>
      <c r="N119" s="175" t="n">
        <v>149502</v>
      </c>
      <c r="O119" s="175" t="n">
        <v>160416</v>
      </c>
      <c r="P119" s="175" t="n">
        <v>171645</v>
      </c>
      <c r="Q119" s="175" t="n">
        <v>182286</v>
      </c>
    </row>
    <row r="120" ht="14.4" customHeight="1">
      <c r="A120" s="173" t="n"/>
      <c r="C120" s="174" t="n">
        <v>5</v>
      </c>
      <c r="G120" s="175" t="n">
        <v>95097</v>
      </c>
      <c r="H120" s="175" t="n">
        <v>102228</v>
      </c>
      <c r="I120" s="175" t="n">
        <v>109179</v>
      </c>
      <c r="J120" s="176" t="n">
        <v>116823</v>
      </c>
      <c r="K120" s="176" t="n">
        <v>124533</v>
      </c>
      <c r="L120" s="175" t="n">
        <v>133749</v>
      </c>
      <c r="M120" s="175" t="n">
        <v>143112</v>
      </c>
      <c r="N120" s="175" t="n">
        <v>153990</v>
      </c>
      <c r="O120" s="175" t="n">
        <v>165231</v>
      </c>
      <c r="P120" s="175" t="n">
        <v>176796</v>
      </c>
      <c r="Q120" s="175" t="n">
        <v>187758</v>
      </c>
    </row>
    <row r="121" ht="14.4" customHeight="1">
      <c r="A121" s="173" t="n">
        <v>3</v>
      </c>
      <c r="B121" s="529" t="inlineStr">
        <is>
          <t>Assistant Community Development Practitioner 3</t>
        </is>
      </c>
      <c r="C121" s="174" t="n">
        <v>1</v>
      </c>
      <c r="G121" s="175" t="n">
        <v>100887</v>
      </c>
      <c r="H121" s="175" t="n">
        <v>108453</v>
      </c>
      <c r="I121" s="175" t="n">
        <v>115827</v>
      </c>
      <c r="J121" s="176" t="n">
        <v>123936</v>
      </c>
      <c r="K121" s="176" t="n">
        <v>132117</v>
      </c>
      <c r="L121" s="175" t="n">
        <v>141894</v>
      </c>
      <c r="M121" s="175" t="n">
        <v>151827</v>
      </c>
      <c r="N121" s="175" t="n">
        <v>163365</v>
      </c>
      <c r="O121" s="175" t="n">
        <v>175290</v>
      </c>
      <c r="P121" s="175" t="n">
        <v>187560</v>
      </c>
      <c r="Q121" s="175" t="n">
        <v>199188</v>
      </c>
    </row>
    <row r="122" ht="14.4" customHeight="1">
      <c r="A122" s="173" t="n"/>
      <c r="C122" s="174" t="n">
        <v>2</v>
      </c>
      <c r="G122" s="175" t="n">
        <v>103914</v>
      </c>
      <c r="H122" s="175" t="n">
        <v>111708</v>
      </c>
      <c r="I122" s="175" t="n">
        <v>119304</v>
      </c>
      <c r="J122" s="176" t="n">
        <v>127656</v>
      </c>
      <c r="K122" s="176" t="n">
        <v>136080</v>
      </c>
      <c r="L122" s="175" t="n">
        <v>146151</v>
      </c>
      <c r="M122" s="175" t="n">
        <v>156381</v>
      </c>
      <c r="N122" s="175" t="n">
        <v>168267</v>
      </c>
      <c r="O122" s="175" t="n">
        <v>180549</v>
      </c>
      <c r="P122" s="175" t="n">
        <v>193188</v>
      </c>
      <c r="Q122" s="175" t="n">
        <v>205167</v>
      </c>
    </row>
    <row r="123" ht="14.4" customHeight="1">
      <c r="A123" s="173" t="n"/>
      <c r="C123" s="174" t="n">
        <v>3</v>
      </c>
      <c r="G123" s="175" t="n">
        <v>107034</v>
      </c>
      <c r="H123" s="175" t="n">
        <v>115062</v>
      </c>
      <c r="I123" s="175" t="n">
        <v>122886</v>
      </c>
      <c r="J123" s="176" t="n">
        <v>131487</v>
      </c>
      <c r="K123" s="176" t="n">
        <v>140166</v>
      </c>
      <c r="L123" s="175" t="n">
        <v>150537</v>
      </c>
      <c r="M123" s="175" t="n">
        <v>161076</v>
      </c>
      <c r="N123" s="175" t="n">
        <v>173319</v>
      </c>
      <c r="O123" s="175" t="n">
        <v>185970</v>
      </c>
      <c r="P123" s="175" t="n">
        <v>198987</v>
      </c>
      <c r="Q123" s="175" t="n">
        <v>211323</v>
      </c>
    </row>
    <row r="124" ht="14.4" customHeight="1">
      <c r="A124" s="173" t="n"/>
      <c r="C124" s="174" t="n">
        <v>4</v>
      </c>
      <c r="G124" s="175" t="n">
        <v>110244</v>
      </c>
      <c r="H124" s="175" t="n">
        <v>118512</v>
      </c>
      <c r="I124" s="175" t="n">
        <v>126570</v>
      </c>
      <c r="J124" s="176" t="n">
        <v>135429</v>
      </c>
      <c r="K124" s="176" t="n">
        <v>144366</v>
      </c>
      <c r="L124" s="175" t="n">
        <v>155049</v>
      </c>
      <c r="M124" s="175" t="n">
        <v>165903</v>
      </c>
      <c r="N124" s="175" t="n">
        <v>178512</v>
      </c>
      <c r="O124" s="175" t="n">
        <v>191544</v>
      </c>
      <c r="P124" s="175" t="n">
        <v>204951</v>
      </c>
      <c r="Q124" s="175" t="n">
        <v>217659</v>
      </c>
    </row>
    <row r="125" ht="14.4" customHeight="1">
      <c r="A125" s="173" t="n"/>
      <c r="C125" s="174" t="n">
        <v>5</v>
      </c>
      <c r="G125" s="175" t="n">
        <v>113550</v>
      </c>
      <c r="H125" s="175" t="n">
        <v>122067</v>
      </c>
      <c r="I125" s="175" t="n">
        <v>130368</v>
      </c>
      <c r="J125" s="176" t="n">
        <v>139494</v>
      </c>
      <c r="K125" s="176" t="n">
        <v>148701</v>
      </c>
      <c r="L125" s="175" t="n">
        <v>159705</v>
      </c>
      <c r="M125" s="175" t="n">
        <v>170883</v>
      </c>
      <c r="N125" s="175" t="n">
        <v>183870</v>
      </c>
      <c r="O125" s="175" t="n">
        <v>197292</v>
      </c>
      <c r="P125" s="175" t="n">
        <v>211101</v>
      </c>
      <c r="Q125" s="175" t="n">
        <v>224190</v>
      </c>
    </row>
    <row r="126" ht="14.4" customHeight="1">
      <c r="A126" s="173" t="n"/>
      <c r="C126" s="174" t="n">
        <v>6</v>
      </c>
      <c r="G126" s="175" t="n">
        <v>116961</v>
      </c>
      <c r="H126" s="175" t="n">
        <v>125733</v>
      </c>
      <c r="I126" s="175" t="n">
        <v>134283</v>
      </c>
      <c r="J126" s="176" t="n">
        <v>143682</v>
      </c>
      <c r="K126" s="176" t="n">
        <v>153165</v>
      </c>
      <c r="L126" s="175" t="n">
        <v>164499</v>
      </c>
      <c r="M126" s="175" t="n">
        <v>176013</v>
      </c>
      <c r="N126" s="175" t="n">
        <v>189390</v>
      </c>
      <c r="O126" s="175" t="n">
        <v>203214</v>
      </c>
      <c r="P126" s="175" t="n">
        <v>217440</v>
      </c>
      <c r="Q126" s="175" t="n">
        <v>230922</v>
      </c>
    </row>
    <row r="127" ht="14.4" customHeight="1">
      <c r="A127" s="173" t="n"/>
      <c r="C127" s="174" t="n">
        <v>7</v>
      </c>
      <c r="G127" s="175" t="n">
        <v>120468</v>
      </c>
      <c r="H127" s="175" t="n">
        <v>129504</v>
      </c>
      <c r="I127" s="175" t="n">
        <v>138309</v>
      </c>
      <c r="J127" s="176" t="n">
        <v>147990</v>
      </c>
      <c r="K127" s="176" t="n">
        <v>157758</v>
      </c>
      <c r="L127" s="175" t="n">
        <v>169431</v>
      </c>
      <c r="M127" s="175" t="n">
        <v>181290</v>
      </c>
      <c r="N127" s="175" t="n">
        <v>195069</v>
      </c>
      <c r="O127" s="175" t="n">
        <v>209310</v>
      </c>
      <c r="P127" s="175" t="n">
        <v>223962</v>
      </c>
      <c r="Q127" s="175" t="n">
        <v>237849</v>
      </c>
    </row>
    <row r="128" ht="14.4" customHeight="1">
      <c r="A128" s="173" t="n"/>
      <c r="C128" s="174" t="n">
        <v>8</v>
      </c>
      <c r="G128" s="175" t="n">
        <v>124080</v>
      </c>
      <c r="H128" s="175" t="n">
        <v>133386</v>
      </c>
      <c r="I128" s="175" t="n">
        <v>142455</v>
      </c>
      <c r="J128" s="176" t="n">
        <v>152427</v>
      </c>
      <c r="K128" s="176" t="n">
        <v>162486</v>
      </c>
      <c r="L128" s="175" t="n">
        <v>174510</v>
      </c>
      <c r="M128" s="175" t="n">
        <v>186726</v>
      </c>
      <c r="N128" s="175" t="n">
        <v>200916</v>
      </c>
      <c r="O128" s="175" t="n">
        <v>215583</v>
      </c>
      <c r="P128" s="175" t="n">
        <v>230673</v>
      </c>
      <c r="Q128" s="175" t="n">
        <v>244974</v>
      </c>
    </row>
    <row r="129" ht="14.4" customHeight="1">
      <c r="A129" s="173" t="n"/>
      <c r="C129" s="174" t="n">
        <v>9</v>
      </c>
      <c r="G129" s="175" t="n">
        <v>127803</v>
      </c>
      <c r="H129" s="175" t="n">
        <v>137388</v>
      </c>
      <c r="I129" s="175" t="n">
        <v>146730</v>
      </c>
      <c r="J129" s="176" t="n">
        <v>157002</v>
      </c>
      <c r="K129" s="176" t="n">
        <v>167364</v>
      </c>
      <c r="L129" s="175" t="n">
        <v>179748</v>
      </c>
      <c r="M129" s="175" t="n">
        <v>192330</v>
      </c>
      <c r="N129" s="175" t="n">
        <v>206946</v>
      </c>
      <c r="O129" s="175" t="n">
        <v>222054</v>
      </c>
      <c r="P129" s="175" t="n">
        <v>237597</v>
      </c>
      <c r="Q129" s="175" t="n">
        <v>252327</v>
      </c>
    </row>
    <row r="130" ht="14.4" customHeight="1">
      <c r="A130" s="173" t="n">
        <v>4</v>
      </c>
      <c r="B130" s="529" t="inlineStr">
        <is>
          <t>Community Development Practitioner Grade 1</t>
        </is>
      </c>
      <c r="C130" s="174" t="n">
        <v>1</v>
      </c>
      <c r="G130" s="175" t="n">
        <v>110244</v>
      </c>
      <c r="H130" s="175" t="n">
        <v>118512</v>
      </c>
      <c r="I130" s="175" t="n">
        <v>126570</v>
      </c>
      <c r="J130" s="176" t="n">
        <v>135429</v>
      </c>
      <c r="K130" s="176" t="n">
        <v>144366</v>
      </c>
      <c r="L130" s="175" t="n">
        <v>155049</v>
      </c>
      <c r="M130" s="175" t="n">
        <v>165903</v>
      </c>
      <c r="N130" s="175" t="n">
        <v>178512</v>
      </c>
      <c r="O130" s="175" t="n">
        <v>191544</v>
      </c>
      <c r="P130" s="175" t="n">
        <v>204951</v>
      </c>
      <c r="Q130" s="175" t="n">
        <v>217659</v>
      </c>
    </row>
    <row r="131" ht="14.4" customHeight="1">
      <c r="A131" s="173" t="n"/>
      <c r="C131" s="174" t="n">
        <v>2</v>
      </c>
      <c r="G131" s="175" t="n">
        <v>113550</v>
      </c>
      <c r="H131" s="175" t="n">
        <v>122067</v>
      </c>
      <c r="I131" s="175" t="n">
        <v>130368</v>
      </c>
      <c r="J131" s="176" t="n">
        <v>139494</v>
      </c>
      <c r="K131" s="176" t="n">
        <v>148701</v>
      </c>
      <c r="L131" s="175" t="n">
        <v>159705</v>
      </c>
      <c r="M131" s="175" t="n">
        <v>170883</v>
      </c>
      <c r="N131" s="175" t="n">
        <v>183870</v>
      </c>
      <c r="O131" s="175" t="n">
        <v>197292</v>
      </c>
      <c r="P131" s="175" t="n">
        <v>211101</v>
      </c>
      <c r="Q131" s="175" t="n">
        <v>224190</v>
      </c>
    </row>
    <row r="132" ht="14.4" customHeight="1">
      <c r="A132" s="173" t="n"/>
      <c r="C132" s="174" t="n">
        <v>3</v>
      </c>
      <c r="G132" s="175" t="n">
        <v>116961</v>
      </c>
      <c r="H132" s="175" t="n">
        <v>125733</v>
      </c>
      <c r="I132" s="175" t="n">
        <v>134283</v>
      </c>
      <c r="J132" s="176" t="n">
        <v>143682</v>
      </c>
      <c r="K132" s="176" t="n">
        <v>153165</v>
      </c>
      <c r="L132" s="175" t="n">
        <v>164499</v>
      </c>
      <c r="M132" s="175" t="n">
        <v>176013</v>
      </c>
      <c r="N132" s="175" t="n">
        <v>189390</v>
      </c>
      <c r="O132" s="175" t="n">
        <v>203214</v>
      </c>
      <c r="P132" s="175" t="n">
        <v>217440</v>
      </c>
      <c r="Q132" s="175" t="n">
        <v>230922</v>
      </c>
    </row>
    <row r="133" ht="14.4" customHeight="1">
      <c r="A133" s="173" t="n"/>
      <c r="C133" s="174" t="n">
        <v>4</v>
      </c>
      <c r="G133" s="175" t="n">
        <v>120468</v>
      </c>
      <c r="H133" s="175" t="n">
        <v>129504</v>
      </c>
      <c r="I133" s="175" t="n">
        <v>138309</v>
      </c>
      <c r="J133" s="176" t="n">
        <v>147990</v>
      </c>
      <c r="K133" s="176" t="n">
        <v>157758</v>
      </c>
      <c r="L133" s="175" t="n">
        <v>169431</v>
      </c>
      <c r="M133" s="175" t="n">
        <v>181290</v>
      </c>
      <c r="N133" s="175" t="n">
        <v>195069</v>
      </c>
      <c r="O133" s="175" t="n">
        <v>209310</v>
      </c>
      <c r="P133" s="175" t="n">
        <v>223962</v>
      </c>
      <c r="Q133" s="175" t="n">
        <v>237849</v>
      </c>
    </row>
    <row r="134" ht="14.4" customHeight="1">
      <c r="A134" s="173" t="n"/>
      <c r="C134" s="174" t="n">
        <v>5</v>
      </c>
      <c r="G134" s="175" t="n">
        <v>124080</v>
      </c>
      <c r="H134" s="175" t="n">
        <v>133386</v>
      </c>
      <c r="I134" s="175" t="n">
        <v>142455</v>
      </c>
      <c r="J134" s="176" t="n">
        <v>152427</v>
      </c>
      <c r="K134" s="176" t="n">
        <v>162486</v>
      </c>
      <c r="L134" s="175" t="n">
        <v>174510</v>
      </c>
      <c r="M134" s="175" t="n">
        <v>186726</v>
      </c>
      <c r="N134" s="175" t="n">
        <v>200916</v>
      </c>
      <c r="O134" s="175" t="n">
        <v>215583</v>
      </c>
      <c r="P134" s="175" t="n">
        <v>230673</v>
      </c>
      <c r="Q134" s="175" t="n">
        <v>244974</v>
      </c>
    </row>
    <row r="135" ht="14.4" customHeight="1">
      <c r="A135" s="173" t="n"/>
      <c r="C135" s="174" t="n">
        <v>6</v>
      </c>
      <c r="G135" s="175" t="n">
        <v>127803</v>
      </c>
      <c r="H135" s="175" t="n">
        <v>137388</v>
      </c>
      <c r="I135" s="175" t="n">
        <v>146730</v>
      </c>
      <c r="J135" s="176" t="n">
        <v>157002</v>
      </c>
      <c r="K135" s="176" t="n">
        <v>167364</v>
      </c>
      <c r="L135" s="175" t="n">
        <v>179748</v>
      </c>
      <c r="M135" s="175" t="n">
        <v>192330</v>
      </c>
      <c r="N135" s="175" t="n">
        <v>206946</v>
      </c>
      <c r="O135" s="175" t="n">
        <v>222054</v>
      </c>
      <c r="P135" s="175" t="n">
        <v>237597</v>
      </c>
      <c r="Q135" s="175" t="n">
        <v>252327</v>
      </c>
    </row>
    <row r="136" ht="14.4" customHeight="1">
      <c r="A136" s="173" t="n">
        <v>5</v>
      </c>
      <c r="B136" s="529" t="inlineStr">
        <is>
          <t>Community Development Practitioner Grade 2</t>
        </is>
      </c>
      <c r="C136" s="174" t="n">
        <v>1</v>
      </c>
      <c r="G136" s="175" t="n">
        <v>134382</v>
      </c>
      <c r="H136" s="175" t="n">
        <v>144462</v>
      </c>
      <c r="I136" s="175" t="n">
        <v>154284</v>
      </c>
      <c r="J136" s="176" t="n">
        <v>165084</v>
      </c>
      <c r="K136" s="176" t="n">
        <v>175980</v>
      </c>
      <c r="L136" s="175" t="n">
        <v>189003</v>
      </c>
      <c r="M136" s="175" t="n">
        <v>202233</v>
      </c>
      <c r="N136" s="175" t="n">
        <v>217602</v>
      </c>
      <c r="O136" s="175" t="n">
        <v>233487</v>
      </c>
      <c r="P136" s="175" t="n">
        <v>249831</v>
      </c>
      <c r="Q136" s="175" t="n">
        <v>265320</v>
      </c>
    </row>
    <row r="137" ht="14.4" customHeight="1">
      <c r="A137" s="173" t="n"/>
      <c r="C137" s="174" t="n">
        <v>2</v>
      </c>
      <c r="G137" s="175" t="n">
        <v>138414</v>
      </c>
      <c r="H137" s="175" t="n">
        <v>148794</v>
      </c>
      <c r="I137" s="175" t="n">
        <v>158913</v>
      </c>
      <c r="J137" s="176" t="n">
        <v>170037</v>
      </c>
      <c r="K137" s="176" t="n">
        <v>181260</v>
      </c>
      <c r="L137" s="175" t="n">
        <v>194673</v>
      </c>
      <c r="M137" s="175" t="n">
        <v>208299</v>
      </c>
      <c r="N137" s="175" t="n">
        <v>224130</v>
      </c>
      <c r="O137" s="175" t="n">
        <v>240492</v>
      </c>
      <c r="P137" s="175" t="n">
        <v>257325</v>
      </c>
      <c r="Q137" s="175" t="n">
        <v>273279</v>
      </c>
    </row>
    <row r="138" ht="14.4" customHeight="1">
      <c r="A138" s="173" t="n"/>
      <c r="C138" s="174" t="n">
        <v>3</v>
      </c>
      <c r="G138" s="175" t="n">
        <v>142563</v>
      </c>
      <c r="H138" s="175" t="n">
        <v>153255</v>
      </c>
      <c r="I138" s="175" t="n">
        <v>163677</v>
      </c>
      <c r="J138" s="176" t="n">
        <v>175134</v>
      </c>
      <c r="K138" s="176" t="n">
        <v>186693</v>
      </c>
      <c r="L138" s="175" t="n">
        <v>200508</v>
      </c>
      <c r="M138" s="175" t="n">
        <v>214545</v>
      </c>
      <c r="N138" s="175" t="n">
        <v>230850</v>
      </c>
      <c r="O138" s="175" t="n">
        <v>247701</v>
      </c>
      <c r="P138" s="175" t="n">
        <v>265041</v>
      </c>
      <c r="Q138" s="175" t="n">
        <v>281475</v>
      </c>
    </row>
    <row r="139" ht="14.4" customHeight="1">
      <c r="A139" s="173" t="n"/>
      <c r="C139" s="174" t="n">
        <v>4</v>
      </c>
      <c r="G139" s="175" t="n">
        <v>146841</v>
      </c>
      <c r="H139" s="175" t="n">
        <v>157854</v>
      </c>
      <c r="I139" s="175" t="n">
        <v>168588</v>
      </c>
      <c r="J139" s="176" t="n">
        <v>180390</v>
      </c>
      <c r="K139" s="176" t="n">
        <v>192297</v>
      </c>
      <c r="L139" s="175" t="n">
        <v>206526</v>
      </c>
      <c r="M139" s="175" t="n">
        <v>220983</v>
      </c>
      <c r="N139" s="175" t="n">
        <v>237777</v>
      </c>
      <c r="O139" s="175" t="n">
        <v>255135</v>
      </c>
      <c r="P139" s="175" t="n">
        <v>272994</v>
      </c>
      <c r="Q139" s="175" t="n">
        <v>289920</v>
      </c>
    </row>
    <row r="140" ht="14.4" customHeight="1">
      <c r="A140" s="173" t="n"/>
      <c r="C140" s="174" t="n">
        <v>5</v>
      </c>
      <c r="G140" s="175" t="n">
        <v>151245</v>
      </c>
      <c r="H140" s="175" t="n">
        <v>162588</v>
      </c>
      <c r="I140" s="175" t="n">
        <v>173643</v>
      </c>
      <c r="J140" s="176" t="n">
        <v>185799</v>
      </c>
      <c r="K140" s="176" t="n">
        <v>198063</v>
      </c>
      <c r="L140" s="175" t="n">
        <v>212721</v>
      </c>
      <c r="M140" s="175" t="n">
        <v>227610</v>
      </c>
      <c r="N140" s="175" t="n">
        <v>244908</v>
      </c>
      <c r="O140" s="175" t="n">
        <v>262785</v>
      </c>
      <c r="P140" s="175" t="n">
        <v>281181</v>
      </c>
      <c r="Q140" s="175" t="n">
        <v>298614</v>
      </c>
    </row>
    <row r="141" ht="14.4" customHeight="1">
      <c r="A141" s="173" t="n"/>
      <c r="C141" s="174" t="n">
        <v>6</v>
      </c>
      <c r="G141" s="175" t="n">
        <v>155781</v>
      </c>
      <c r="H141" s="175" t="n">
        <v>167466</v>
      </c>
      <c r="I141" s="175" t="n">
        <v>178854</v>
      </c>
      <c r="J141" s="176" t="n">
        <v>191373</v>
      </c>
      <c r="K141" s="176" t="n">
        <v>204003</v>
      </c>
      <c r="L141" s="175" t="n">
        <v>219099</v>
      </c>
      <c r="M141" s="175" t="n">
        <v>234435</v>
      </c>
      <c r="N141" s="175" t="n">
        <v>252252</v>
      </c>
      <c r="O141" s="175" t="n">
        <v>270666</v>
      </c>
      <c r="P141" s="175" t="n">
        <v>289614</v>
      </c>
      <c r="Q141" s="175" t="n">
        <v>307569</v>
      </c>
    </row>
    <row r="142" ht="14.4" customHeight="1">
      <c r="A142" s="173" t="n">
        <v>6</v>
      </c>
      <c r="B142" s="529" t="inlineStr">
        <is>
          <t>Community Development Practitioner Grade 3</t>
        </is>
      </c>
      <c r="C142" s="174" t="n">
        <v>1</v>
      </c>
      <c r="G142" s="175" t="n">
        <v>165267</v>
      </c>
      <c r="H142" s="175" t="n">
        <v>177663</v>
      </c>
      <c r="I142" s="175" t="n">
        <v>189744</v>
      </c>
      <c r="J142" s="176" t="n">
        <v>203025</v>
      </c>
      <c r="K142" s="176" t="n">
        <v>216426</v>
      </c>
      <c r="L142" s="175" t="n">
        <v>232443</v>
      </c>
      <c r="M142" s="175" t="n">
        <v>248715</v>
      </c>
      <c r="N142" s="175" t="n">
        <v>267618</v>
      </c>
      <c r="O142" s="175" t="n">
        <v>287154</v>
      </c>
      <c r="P142" s="175" t="n">
        <v>305820</v>
      </c>
      <c r="Q142" s="175" t="n">
        <v>323253</v>
      </c>
    </row>
    <row r="143" ht="14.4" customHeight="1">
      <c r="A143" s="173" t="n"/>
      <c r="C143" s="174" t="n">
        <v>2</v>
      </c>
      <c r="G143" s="175" t="n">
        <v>170223</v>
      </c>
      <c r="H143" s="175" t="n">
        <v>182991</v>
      </c>
      <c r="I143" s="175" t="n">
        <v>195435</v>
      </c>
      <c r="J143" s="176" t="n">
        <v>209115</v>
      </c>
      <c r="K143" s="176" t="n">
        <v>222918</v>
      </c>
      <c r="L143" s="175" t="n">
        <v>239415</v>
      </c>
      <c r="M143" s="175" t="n">
        <v>256173</v>
      </c>
      <c r="N143" s="175" t="n">
        <v>275643</v>
      </c>
      <c r="O143" s="175" t="n">
        <v>295764</v>
      </c>
      <c r="P143" s="175" t="n">
        <v>314988</v>
      </c>
      <c r="Q143" s="175" t="n">
        <v>332943</v>
      </c>
    </row>
    <row r="144" ht="14.4" customHeight="1">
      <c r="A144" s="173" t="n"/>
      <c r="C144" s="174" t="n">
        <v>3</v>
      </c>
      <c r="G144" s="175" t="n">
        <v>175332</v>
      </c>
      <c r="H144" s="175" t="n">
        <v>188481</v>
      </c>
      <c r="I144" s="175" t="n">
        <v>201297</v>
      </c>
      <c r="J144" s="176" t="n">
        <v>215388</v>
      </c>
      <c r="K144" s="176" t="n">
        <v>229605</v>
      </c>
      <c r="L144" s="175" t="n">
        <v>246597</v>
      </c>
      <c r="M144" s="175" t="n">
        <v>263859</v>
      </c>
      <c r="N144" s="175" t="n">
        <v>283911</v>
      </c>
      <c r="O144" s="175" t="n">
        <v>304638</v>
      </c>
      <c r="P144" s="175" t="n">
        <v>324438</v>
      </c>
      <c r="Q144" s="175" t="n">
        <v>342930</v>
      </c>
    </row>
    <row r="145" ht="14.4" customHeight="1">
      <c r="A145" s="173" t="n"/>
      <c r="C145" s="174" t="n">
        <v>4</v>
      </c>
      <c r="G145" s="175" t="n">
        <v>180588</v>
      </c>
      <c r="H145" s="175" t="n">
        <v>194133</v>
      </c>
      <c r="I145" s="175" t="n">
        <v>207333</v>
      </c>
      <c r="J145" s="176" t="n">
        <v>221847</v>
      </c>
      <c r="K145" s="176" t="n">
        <v>236490</v>
      </c>
      <c r="L145" s="175" t="n">
        <v>253989</v>
      </c>
      <c r="M145" s="175" t="n">
        <v>271767</v>
      </c>
      <c r="N145" s="175" t="n">
        <v>292422</v>
      </c>
      <c r="O145" s="175" t="n">
        <v>313770</v>
      </c>
      <c r="P145" s="175" t="n">
        <v>334164</v>
      </c>
      <c r="Q145" s="175" t="n">
        <v>353211</v>
      </c>
    </row>
    <row r="146" ht="14.4" customHeight="1">
      <c r="A146" s="173" t="n"/>
      <c r="C146" s="174" t="n">
        <v>5</v>
      </c>
      <c r="G146" s="175" t="n">
        <v>186006</v>
      </c>
      <c r="H146" s="175" t="n">
        <v>199956</v>
      </c>
      <c r="I146" s="175" t="n">
        <v>213552</v>
      </c>
      <c r="J146" s="176" t="n">
        <v>228501</v>
      </c>
      <c r="K146" s="176" t="n">
        <v>243582</v>
      </c>
      <c r="L146" s="175" t="n">
        <v>261606</v>
      </c>
      <c r="M146" s="175" t="n">
        <v>279918</v>
      </c>
      <c r="N146" s="175" t="n">
        <v>301191</v>
      </c>
      <c r="O146" s="175" t="n">
        <v>323178</v>
      </c>
      <c r="P146" s="175" t="n">
        <v>344184</v>
      </c>
      <c r="Q146" s="175" t="n">
        <v>363801</v>
      </c>
    </row>
    <row r="147" ht="14.4" customHeight="1">
      <c r="A147" s="173" t="n"/>
      <c r="C147" s="174" t="n">
        <v>6</v>
      </c>
      <c r="G147" s="175" t="n">
        <v>191589</v>
      </c>
      <c r="H147" s="175" t="n">
        <v>205959</v>
      </c>
      <c r="I147" s="175" t="n">
        <v>219963</v>
      </c>
      <c r="J147" s="176" t="n">
        <v>235359</v>
      </c>
      <c r="K147" s="176" t="n">
        <v>250893</v>
      </c>
      <c r="L147" s="175" t="n">
        <v>269460</v>
      </c>
      <c r="M147" s="175" t="n">
        <v>288321</v>
      </c>
      <c r="N147" s="175" t="n">
        <v>310233</v>
      </c>
      <c r="O147" s="175" t="n">
        <v>332880</v>
      </c>
      <c r="P147" s="175" t="n">
        <v>354516</v>
      </c>
      <c r="Q147" s="175" t="n">
        <v>374724</v>
      </c>
    </row>
    <row r="148" ht="14.4" customHeight="1">
      <c r="A148" s="173" t="n"/>
      <c r="C148" s="174" t="n">
        <v>7</v>
      </c>
      <c r="G148" s="175" t="n">
        <v>196446</v>
      </c>
      <c r="H148" s="175" t="n">
        <v>211179</v>
      </c>
      <c r="I148" s="175" t="n">
        <v>225540</v>
      </c>
      <c r="J148" s="176" t="n">
        <v>241329</v>
      </c>
      <c r="K148" s="176" t="n">
        <v>257256</v>
      </c>
      <c r="L148" s="175" t="n">
        <v>276294</v>
      </c>
      <c r="M148" s="175" t="n">
        <v>295635</v>
      </c>
      <c r="N148" s="175" t="n">
        <v>318102</v>
      </c>
      <c r="O148" s="175" t="n">
        <v>341322</v>
      </c>
      <c r="P148" s="175" t="n">
        <v>363507</v>
      </c>
      <c r="Q148" s="175" t="n">
        <v>384228</v>
      </c>
    </row>
    <row r="149" ht="14.4" customHeight="1">
      <c r="A149" s="173" t="n"/>
      <c r="C149" s="174" t="n">
        <v>8</v>
      </c>
      <c r="G149" s="175" t="n">
        <v>202341</v>
      </c>
      <c r="H149" s="175" t="n">
        <v>217518</v>
      </c>
      <c r="I149" s="175" t="n">
        <v>232308</v>
      </c>
      <c r="J149" s="176" t="n">
        <v>248571</v>
      </c>
      <c r="K149" s="176" t="n">
        <v>264978</v>
      </c>
      <c r="L149" s="175" t="n">
        <v>284586</v>
      </c>
      <c r="M149" s="175" t="n">
        <v>304506</v>
      </c>
      <c r="N149" s="175" t="n">
        <v>327648</v>
      </c>
      <c r="O149" s="175" t="n">
        <v>351567</v>
      </c>
      <c r="P149" s="175" t="n">
        <v>374418</v>
      </c>
      <c r="Q149" s="175" t="n">
        <v>395760</v>
      </c>
    </row>
    <row r="150" ht="14.4" customHeight="1">
      <c r="A150" s="173" t="n"/>
      <c r="C150" s="174" t="n">
        <v>9</v>
      </c>
      <c r="G150" s="175" t="n">
        <v>208410</v>
      </c>
      <c r="H150" s="175" t="n">
        <v>224040</v>
      </c>
      <c r="I150" s="175" t="n">
        <v>239274</v>
      </c>
      <c r="J150" s="176" t="n">
        <v>256023</v>
      </c>
      <c r="K150" s="176" t="n">
        <v>272922</v>
      </c>
      <c r="L150" s="175" t="n">
        <v>293118</v>
      </c>
      <c r="M150" s="175" t="n">
        <v>313635</v>
      </c>
      <c r="N150" s="175" t="n">
        <v>337470</v>
      </c>
      <c r="O150" s="175" t="n">
        <v>362106</v>
      </c>
      <c r="P150" s="175" t="n">
        <v>385644</v>
      </c>
      <c r="Q150" s="175" t="n">
        <v>407625</v>
      </c>
    </row>
    <row r="151" ht="14.4" customHeight="1">
      <c r="A151" s="173" t="n"/>
      <c r="C151" s="174" t="n">
        <v>10</v>
      </c>
      <c r="G151" s="175" t="n">
        <v>214662</v>
      </c>
      <c r="H151" s="175" t="n">
        <v>230763</v>
      </c>
      <c r="I151" s="175" t="n">
        <v>246456</v>
      </c>
      <c r="J151" s="176" t="n">
        <v>263709</v>
      </c>
      <c r="K151" s="176" t="n">
        <v>281115</v>
      </c>
      <c r="L151" s="175" t="n">
        <v>301917</v>
      </c>
      <c r="M151" s="175" t="n">
        <v>323052</v>
      </c>
      <c r="N151" s="175" t="n">
        <v>347604</v>
      </c>
      <c r="O151" s="175" t="n">
        <v>372978</v>
      </c>
      <c r="P151" s="175" t="n">
        <v>397221</v>
      </c>
      <c r="Q151" s="175" t="n">
        <v>419862</v>
      </c>
    </row>
    <row r="152" ht="14.4" customHeight="1">
      <c r="A152" s="173" t="n"/>
      <c r="C152" s="174" t="n">
        <v>11</v>
      </c>
      <c r="G152" s="175" t="n">
        <v>221103</v>
      </c>
      <c r="H152" s="175" t="n">
        <v>237687</v>
      </c>
      <c r="I152" s="175" t="n">
        <v>253851</v>
      </c>
      <c r="J152" s="176" t="n">
        <v>271620</v>
      </c>
      <c r="K152" s="176" t="n">
        <v>289548</v>
      </c>
      <c r="L152" s="175" t="n">
        <v>310974</v>
      </c>
      <c r="M152" s="175" t="n">
        <v>332742</v>
      </c>
      <c r="N152" s="175" t="n">
        <v>358029</v>
      </c>
      <c r="O152" s="175" t="n">
        <v>384165</v>
      </c>
      <c r="P152" s="175" t="n">
        <v>409137</v>
      </c>
      <c r="Q152" s="175" t="n">
        <v>432459</v>
      </c>
    </row>
    <row r="153" ht="14.4" customHeight="1">
      <c r="A153" s="173" t="n">
        <v>7</v>
      </c>
      <c r="B153" s="529" t="inlineStr">
        <is>
          <t>Community Development Supervisor Grade 1</t>
        </is>
      </c>
      <c r="C153" s="174" t="n">
        <v>1</v>
      </c>
      <c r="G153" s="175" t="n">
        <v>186006</v>
      </c>
      <c r="H153" s="175" t="n">
        <v>199956</v>
      </c>
      <c r="I153" s="175" t="n">
        <v>213552</v>
      </c>
      <c r="J153" s="176" t="n">
        <v>228501</v>
      </c>
      <c r="K153" s="176" t="n">
        <v>243582</v>
      </c>
      <c r="L153" s="175" t="n">
        <v>261606</v>
      </c>
      <c r="M153" s="175" t="n">
        <v>279918</v>
      </c>
      <c r="N153" s="175" t="n">
        <v>301191</v>
      </c>
      <c r="O153" s="175" t="n">
        <v>323178</v>
      </c>
      <c r="P153" s="175" t="n">
        <v>344184</v>
      </c>
      <c r="Q153" s="175" t="n">
        <v>363801</v>
      </c>
    </row>
    <row r="154" ht="14.4" customHeight="1">
      <c r="A154" s="173" t="n"/>
      <c r="C154" s="174" t="n">
        <v>2</v>
      </c>
      <c r="G154" s="175" t="n">
        <v>191589</v>
      </c>
      <c r="H154" s="175" t="n">
        <v>205959</v>
      </c>
      <c r="I154" s="175" t="n">
        <v>219963</v>
      </c>
      <c r="J154" s="176" t="n">
        <v>235359</v>
      </c>
      <c r="K154" s="176" t="n">
        <v>250893</v>
      </c>
      <c r="L154" s="175" t="n">
        <v>269460</v>
      </c>
      <c r="M154" s="175" t="n">
        <v>288321</v>
      </c>
      <c r="N154" s="175" t="n">
        <v>310233</v>
      </c>
      <c r="O154" s="175" t="n">
        <v>332880</v>
      </c>
      <c r="P154" s="175" t="n">
        <v>354516</v>
      </c>
      <c r="Q154" s="175" t="n">
        <v>374724</v>
      </c>
    </row>
    <row r="155" ht="14.4" customHeight="1">
      <c r="A155" s="173" t="n"/>
      <c r="C155" s="174" t="n">
        <v>3</v>
      </c>
      <c r="G155" s="175" t="n">
        <v>196446</v>
      </c>
      <c r="H155" s="175" t="n">
        <v>211179</v>
      </c>
      <c r="I155" s="175" t="n">
        <v>225540</v>
      </c>
      <c r="J155" s="176" t="n">
        <v>241329</v>
      </c>
      <c r="K155" s="176" t="n">
        <v>257256</v>
      </c>
      <c r="L155" s="175" t="n">
        <v>276294</v>
      </c>
      <c r="M155" s="175" t="n">
        <v>295635</v>
      </c>
      <c r="N155" s="175" t="n">
        <v>318102</v>
      </c>
      <c r="O155" s="175" t="n">
        <v>341322</v>
      </c>
      <c r="P155" s="175" t="n">
        <v>363507</v>
      </c>
      <c r="Q155" s="175" t="n">
        <v>384228</v>
      </c>
    </row>
    <row r="156" ht="14.4" customHeight="1">
      <c r="A156" s="173" t="n"/>
      <c r="C156" s="174" t="n">
        <v>4</v>
      </c>
      <c r="G156" s="175" t="n">
        <v>202341</v>
      </c>
      <c r="H156" s="175" t="n">
        <v>217518</v>
      </c>
      <c r="I156" s="175" t="n">
        <v>232308</v>
      </c>
      <c r="J156" s="176" t="n">
        <v>248571</v>
      </c>
      <c r="K156" s="176" t="n">
        <v>264978</v>
      </c>
      <c r="L156" s="175" t="n">
        <v>284586</v>
      </c>
      <c r="M156" s="175" t="n">
        <v>304506</v>
      </c>
      <c r="N156" s="175" t="n">
        <v>327648</v>
      </c>
      <c r="O156" s="175" t="n">
        <v>351567</v>
      </c>
      <c r="P156" s="175" t="n">
        <v>374418</v>
      </c>
      <c r="Q156" s="175" t="n">
        <v>395760</v>
      </c>
    </row>
    <row r="157" ht="14.4" customHeight="1">
      <c r="A157" s="173" t="n"/>
      <c r="C157" s="174" t="n">
        <v>5</v>
      </c>
      <c r="G157" s="175" t="n">
        <v>208410</v>
      </c>
      <c r="H157" s="175" t="n">
        <v>224040</v>
      </c>
      <c r="I157" s="175" t="n">
        <v>239274</v>
      </c>
      <c r="J157" s="176" t="n">
        <v>256023</v>
      </c>
      <c r="K157" s="176" t="n">
        <v>272922</v>
      </c>
      <c r="L157" s="175" t="n">
        <v>293118</v>
      </c>
      <c r="M157" s="175" t="n">
        <v>313635</v>
      </c>
      <c r="N157" s="175" t="n">
        <v>337470</v>
      </c>
      <c r="O157" s="175" t="n">
        <v>362106</v>
      </c>
      <c r="P157" s="175" t="n">
        <v>385644</v>
      </c>
      <c r="Q157" s="175" t="n">
        <v>407625</v>
      </c>
    </row>
    <row r="158" ht="14.4" customHeight="1">
      <c r="A158" s="173" t="n">
        <v>8</v>
      </c>
      <c r="B158" s="529" t="inlineStr">
        <is>
          <t>Community Development Supervisor Grade 2</t>
        </is>
      </c>
      <c r="C158" s="174" t="n">
        <v>1</v>
      </c>
      <c r="G158" s="175" t="n">
        <v>221103</v>
      </c>
      <c r="H158" s="175" t="n">
        <v>237687</v>
      </c>
      <c r="I158" s="175" t="n">
        <v>253851</v>
      </c>
      <c r="J158" s="176" t="n">
        <v>271620</v>
      </c>
      <c r="K158" s="176" t="n">
        <v>289548</v>
      </c>
      <c r="L158" s="175" t="n">
        <v>310974</v>
      </c>
      <c r="M158" s="175" t="n">
        <v>332742</v>
      </c>
      <c r="N158" s="175" t="n">
        <v>358029</v>
      </c>
      <c r="O158" s="175" t="n">
        <v>384165</v>
      </c>
      <c r="P158" s="175" t="n">
        <v>409137</v>
      </c>
      <c r="Q158" s="175" t="n">
        <v>432459</v>
      </c>
    </row>
    <row r="159" ht="14.4" customHeight="1">
      <c r="A159" s="173" t="n"/>
      <c r="C159" s="174" t="n">
        <v>2</v>
      </c>
      <c r="G159" s="175" t="n">
        <v>227736</v>
      </c>
      <c r="H159" s="175" t="n">
        <v>244815</v>
      </c>
      <c r="I159" s="175" t="n">
        <v>261462</v>
      </c>
      <c r="J159" s="176" t="n">
        <v>279765</v>
      </c>
      <c r="K159" s="176" t="n">
        <v>298230</v>
      </c>
      <c r="L159" s="175" t="n">
        <v>320298</v>
      </c>
      <c r="M159" s="175" t="n">
        <v>342720</v>
      </c>
      <c r="N159" s="175" t="n">
        <v>368766</v>
      </c>
      <c r="O159" s="175" t="n">
        <v>395685</v>
      </c>
      <c r="P159" s="175" t="n">
        <v>421404</v>
      </c>
      <c r="Q159" s="175" t="n">
        <v>445425</v>
      </c>
    </row>
    <row r="160" ht="14.4" customHeight="1">
      <c r="A160" s="173" t="n"/>
      <c r="C160" s="174" t="n">
        <v>3</v>
      </c>
      <c r="G160" s="175" t="n">
        <v>234570</v>
      </c>
      <c r="H160" s="175" t="n">
        <v>252162</v>
      </c>
      <c r="I160" s="175" t="n">
        <v>269310</v>
      </c>
      <c r="J160" s="176" t="n">
        <v>288162</v>
      </c>
      <c r="K160" s="176" t="n">
        <v>307182</v>
      </c>
      <c r="L160" s="175" t="n">
        <v>329913</v>
      </c>
      <c r="M160" s="175" t="n">
        <v>353007</v>
      </c>
      <c r="N160" s="175" t="n">
        <v>379836</v>
      </c>
      <c r="O160" s="175" t="n">
        <v>407565</v>
      </c>
      <c r="P160" s="175" t="n">
        <v>434058</v>
      </c>
      <c r="Q160" s="175" t="n">
        <v>458799</v>
      </c>
    </row>
    <row r="161" ht="14.4" customHeight="1">
      <c r="A161" s="173" t="n"/>
      <c r="C161" s="174" t="n">
        <v>4</v>
      </c>
      <c r="G161" s="175" t="n">
        <v>241605</v>
      </c>
      <c r="H161" s="175" t="n">
        <v>259725</v>
      </c>
      <c r="I161" s="175" t="n">
        <v>277386</v>
      </c>
      <c r="J161" s="176" t="n">
        <v>296802</v>
      </c>
      <c r="K161" s="176" t="n">
        <v>316392</v>
      </c>
      <c r="L161" s="175" t="n">
        <v>339804</v>
      </c>
      <c r="M161" s="175" t="n">
        <v>363591</v>
      </c>
      <c r="N161" s="175" t="n">
        <v>391224</v>
      </c>
      <c r="O161" s="175" t="n">
        <v>419784</v>
      </c>
      <c r="P161" s="175" t="n">
        <v>447069</v>
      </c>
      <c r="Q161" s="175" t="n">
        <v>472551</v>
      </c>
    </row>
    <row r="162" ht="14.4" customHeight="1">
      <c r="A162" s="173" t="n"/>
      <c r="C162" s="174" t="n">
        <v>5</v>
      </c>
      <c r="G162" s="175" t="n">
        <v>248853</v>
      </c>
      <c r="H162" s="175" t="n">
        <v>267516</v>
      </c>
      <c r="I162" s="175" t="n">
        <v>285708</v>
      </c>
      <c r="J162" s="176" t="n">
        <v>305709</v>
      </c>
      <c r="K162" s="176" t="n">
        <v>325887</v>
      </c>
      <c r="L162" s="175" t="n">
        <v>350004</v>
      </c>
      <c r="M162" s="175" t="n">
        <v>374505</v>
      </c>
      <c r="N162" s="175" t="n">
        <v>402966</v>
      </c>
      <c r="O162" s="175" t="n">
        <v>432384</v>
      </c>
      <c r="P162" s="175" t="n">
        <v>460488</v>
      </c>
      <c r="Q162" s="175" t="n">
        <v>486735</v>
      </c>
    </row>
    <row r="163" ht="14.4" customHeight="1">
      <c r="A163" s="173" t="n"/>
      <c r="C163" s="174" t="n">
        <v>6</v>
      </c>
      <c r="G163" s="175" t="n">
        <v>256320</v>
      </c>
      <c r="H163" s="175" t="n">
        <v>275544</v>
      </c>
      <c r="I163" s="175" t="n">
        <v>294282</v>
      </c>
      <c r="J163" s="176" t="n">
        <v>314883</v>
      </c>
      <c r="K163" s="176" t="n">
        <v>335664</v>
      </c>
      <c r="L163" s="175" t="n">
        <v>360504</v>
      </c>
      <c r="M163" s="175" t="n">
        <v>385740</v>
      </c>
      <c r="N163" s="175" t="n">
        <v>415056</v>
      </c>
      <c r="O163" s="175" t="n">
        <v>445356</v>
      </c>
      <c r="P163" s="175" t="n">
        <v>474303</v>
      </c>
      <c r="Q163" s="175" t="n">
        <v>501339</v>
      </c>
    </row>
    <row r="164" ht="14.4" customHeight="1">
      <c r="A164" s="173" t="n"/>
      <c r="C164" s="174" t="n">
        <v>7</v>
      </c>
      <c r="G164" s="175" t="n">
        <v>264009</v>
      </c>
      <c r="H164" s="175" t="n">
        <v>283809</v>
      </c>
      <c r="I164" s="175" t="n">
        <v>303108</v>
      </c>
      <c r="J164" s="176" t="n">
        <v>324327</v>
      </c>
      <c r="K164" s="176" t="n">
        <v>345732</v>
      </c>
      <c r="L164" s="175" t="n">
        <v>371316</v>
      </c>
      <c r="M164" s="175" t="n">
        <v>397308</v>
      </c>
      <c r="N164" s="175" t="n">
        <v>427503</v>
      </c>
      <c r="O164" s="175" t="n">
        <v>458712</v>
      </c>
      <c r="P164" s="175" t="n">
        <v>488529</v>
      </c>
      <c r="Q164" s="175" t="n">
        <v>516375</v>
      </c>
    </row>
    <row r="165" ht="14.4" customHeight="1">
      <c r="A165" s="173" t="n">
        <v>9</v>
      </c>
      <c r="B165" s="529" t="inlineStr">
        <is>
          <t>Assistant Manager Community Development Grade 1</t>
        </is>
      </c>
      <c r="C165" s="174" t="n">
        <v>1</v>
      </c>
      <c r="G165" s="175" t="n">
        <v>248853</v>
      </c>
      <c r="H165" s="175" t="n">
        <v>267516</v>
      </c>
      <c r="I165" s="175" t="n">
        <v>285708</v>
      </c>
      <c r="J165" s="176" t="n">
        <v>305709</v>
      </c>
      <c r="K165" s="176" t="n">
        <v>325887</v>
      </c>
      <c r="L165" s="175" t="n">
        <v>350004</v>
      </c>
      <c r="M165" s="175" t="n">
        <v>374505</v>
      </c>
      <c r="N165" s="175" t="n">
        <v>402966</v>
      </c>
      <c r="O165" s="175" t="n">
        <v>432384</v>
      </c>
      <c r="P165" s="175" t="n">
        <v>460488</v>
      </c>
      <c r="Q165" s="175" t="n">
        <v>486735</v>
      </c>
    </row>
    <row r="166" ht="14.4" customHeight="1">
      <c r="A166" s="173" t="n"/>
      <c r="C166" s="174" t="n">
        <v>2</v>
      </c>
      <c r="G166" s="175" t="n">
        <v>256320</v>
      </c>
      <c r="H166" s="175" t="n">
        <v>275544</v>
      </c>
      <c r="I166" s="175" t="n">
        <v>294282</v>
      </c>
      <c r="J166" s="176" t="n">
        <v>314883</v>
      </c>
      <c r="K166" s="176" t="n">
        <v>335664</v>
      </c>
      <c r="L166" s="175" t="n">
        <v>360504</v>
      </c>
      <c r="M166" s="175" t="n">
        <v>385740</v>
      </c>
      <c r="N166" s="175" t="n">
        <v>415056</v>
      </c>
      <c r="O166" s="175" t="n">
        <v>445356</v>
      </c>
      <c r="P166" s="175" t="n">
        <v>474303</v>
      </c>
      <c r="Q166" s="175" t="n">
        <v>501339</v>
      </c>
    </row>
    <row r="167" ht="14.4" customHeight="1">
      <c r="A167" s="173" t="n"/>
      <c r="C167" s="174" t="n">
        <v>3</v>
      </c>
      <c r="G167" s="175" t="n">
        <v>264009</v>
      </c>
      <c r="H167" s="175" t="n">
        <v>283809</v>
      </c>
      <c r="I167" s="175" t="n">
        <v>303108</v>
      </c>
      <c r="J167" s="176" t="n">
        <v>324327</v>
      </c>
      <c r="K167" s="176" t="n">
        <v>345732</v>
      </c>
      <c r="L167" s="175" t="n">
        <v>371316</v>
      </c>
      <c r="M167" s="175" t="n">
        <v>397308</v>
      </c>
      <c r="N167" s="175" t="n">
        <v>427503</v>
      </c>
      <c r="O167" s="175" t="n">
        <v>458712</v>
      </c>
      <c r="P167" s="175" t="n">
        <v>488529</v>
      </c>
      <c r="Q167" s="175" t="n">
        <v>516375</v>
      </c>
    </row>
    <row r="168" ht="14.4" customHeight="1">
      <c r="A168" s="173" t="n"/>
      <c r="C168" s="174" t="n">
        <v>4</v>
      </c>
      <c r="G168" s="175" t="n">
        <v>271929</v>
      </c>
      <c r="H168" s="175" t="n">
        <v>292323</v>
      </c>
      <c r="I168" s="175" t="n">
        <v>312201</v>
      </c>
      <c r="J168" s="176" t="n">
        <v>334056</v>
      </c>
      <c r="K168" s="176" t="n">
        <v>356103</v>
      </c>
      <c r="L168" s="175" t="n">
        <v>382455</v>
      </c>
      <c r="M168" s="175" t="n">
        <v>409227</v>
      </c>
      <c r="N168" s="175" t="n">
        <v>440328</v>
      </c>
      <c r="O168" s="175" t="n">
        <v>472473</v>
      </c>
      <c r="P168" s="175" t="n">
        <v>503184</v>
      </c>
      <c r="Q168" s="175" t="n">
        <v>531864</v>
      </c>
    </row>
    <row r="169" ht="14.4" customHeight="1">
      <c r="A169" s="173" t="n"/>
      <c r="C169" s="174" t="n">
        <v>5</v>
      </c>
      <c r="G169" s="175" t="n">
        <v>280089</v>
      </c>
      <c r="H169" s="175" t="n">
        <v>301095</v>
      </c>
      <c r="I169" s="175" t="n">
        <v>321570</v>
      </c>
      <c r="J169" s="176" t="n">
        <v>344079</v>
      </c>
      <c r="K169" s="176" t="n">
        <v>366789</v>
      </c>
      <c r="L169" s="175" t="n">
        <v>393930</v>
      </c>
      <c r="M169" s="175" t="n">
        <v>421506</v>
      </c>
      <c r="N169" s="175" t="n">
        <v>453540</v>
      </c>
      <c r="O169" s="175" t="n">
        <v>486648</v>
      </c>
      <c r="P169" s="175" t="n">
        <v>518280</v>
      </c>
      <c r="Q169" s="175" t="n">
        <v>547821</v>
      </c>
    </row>
    <row r="170" ht="14.4" customHeight="1">
      <c r="A170" s="173" t="n">
        <v>10</v>
      </c>
      <c r="B170" s="529" t="inlineStr">
        <is>
          <t>Assistant Manager Community Development Grade 2</t>
        </is>
      </c>
      <c r="C170" s="174" t="n">
        <v>1</v>
      </c>
      <c r="G170" s="175" t="n">
        <v>297144</v>
      </c>
      <c r="H170" s="175" t="n">
        <v>319431</v>
      </c>
      <c r="I170" s="175" t="n">
        <v>341151</v>
      </c>
      <c r="J170" s="176" t="n">
        <v>365031</v>
      </c>
      <c r="K170" s="176" t="n">
        <v>389124</v>
      </c>
      <c r="L170" s="175" t="n">
        <v>417918</v>
      </c>
      <c r="M170" s="175" t="n">
        <v>447171</v>
      </c>
      <c r="N170" s="175" t="n">
        <v>481155</v>
      </c>
      <c r="O170" s="175" t="n">
        <v>516279</v>
      </c>
      <c r="P170" s="175" t="n">
        <v>549837</v>
      </c>
      <c r="Q170" s="175" t="n">
        <v>581178</v>
      </c>
    </row>
    <row r="171" ht="14.4" customHeight="1">
      <c r="A171" s="173" t="n"/>
      <c r="C171" s="174" t="n">
        <v>2</v>
      </c>
      <c r="G171" s="175" t="n">
        <v>306060</v>
      </c>
      <c r="H171" s="175" t="n">
        <v>329016</v>
      </c>
      <c r="I171" s="175" t="n">
        <v>351390</v>
      </c>
      <c r="J171" s="176" t="n">
        <v>375987</v>
      </c>
      <c r="K171" s="176" t="n">
        <v>400803</v>
      </c>
      <c r="L171" s="175" t="n">
        <v>430461</v>
      </c>
      <c r="M171" s="175" t="n">
        <v>460593</v>
      </c>
      <c r="N171" s="175" t="n">
        <v>495597</v>
      </c>
      <c r="O171" s="175" t="n">
        <v>531777</v>
      </c>
      <c r="P171" s="175" t="n">
        <v>566343</v>
      </c>
      <c r="Q171" s="175" t="n">
        <v>598626</v>
      </c>
    </row>
    <row r="172" ht="14.4" customHeight="1">
      <c r="A172" s="173" t="n"/>
      <c r="C172" s="174" t="n">
        <v>3</v>
      </c>
      <c r="G172" s="175" t="n">
        <v>315243</v>
      </c>
      <c r="H172" s="175" t="n">
        <v>338886</v>
      </c>
      <c r="I172" s="175" t="n">
        <v>361929</v>
      </c>
      <c r="J172" s="176" t="n">
        <v>387264</v>
      </c>
      <c r="K172" s="176" t="n">
        <v>412824</v>
      </c>
      <c r="L172" s="175" t="n">
        <v>443373</v>
      </c>
      <c r="M172" s="175" t="n">
        <v>474408</v>
      </c>
      <c r="N172" s="175" t="n">
        <v>510462</v>
      </c>
      <c r="O172" s="175" t="n">
        <v>547725</v>
      </c>
      <c r="P172" s="175" t="n">
        <v>583326</v>
      </c>
      <c r="Q172" s="175" t="n">
        <v>616575</v>
      </c>
    </row>
    <row r="173" ht="14.4" customHeight="1">
      <c r="A173" s="173" t="n"/>
      <c r="C173" s="174" t="n">
        <v>4</v>
      </c>
      <c r="G173" s="175" t="n">
        <v>324702</v>
      </c>
      <c r="H173" s="175" t="n">
        <v>349056</v>
      </c>
      <c r="I173" s="175" t="n">
        <v>372792</v>
      </c>
      <c r="J173" s="176" t="n">
        <v>398886</v>
      </c>
      <c r="K173" s="176" t="n">
        <v>425211</v>
      </c>
      <c r="L173" s="175" t="n">
        <v>456678</v>
      </c>
      <c r="M173" s="175" t="n">
        <v>488646</v>
      </c>
      <c r="N173" s="175" t="n">
        <v>525783</v>
      </c>
      <c r="O173" s="175" t="n">
        <v>564165</v>
      </c>
      <c r="P173" s="175" t="n">
        <v>600837</v>
      </c>
      <c r="Q173" s="175" t="n">
        <v>635085</v>
      </c>
    </row>
    <row r="174" ht="14.4" customHeight="1">
      <c r="A174" s="173" t="n"/>
      <c r="C174" s="174" t="n">
        <v>5</v>
      </c>
      <c r="G174" s="175" t="n">
        <v>334443</v>
      </c>
      <c r="H174" s="175" t="n">
        <v>359526</v>
      </c>
      <c r="I174" s="175" t="n">
        <v>383973</v>
      </c>
      <c r="J174" s="176" t="n">
        <v>410850</v>
      </c>
      <c r="K174" s="176" t="n">
        <v>437967</v>
      </c>
      <c r="L174" s="175" t="n">
        <v>470376</v>
      </c>
      <c r="M174" s="175" t="n">
        <v>503301</v>
      </c>
      <c r="N174" s="175" t="n">
        <v>541551</v>
      </c>
      <c r="O174" s="175" t="n">
        <v>581085</v>
      </c>
      <c r="P174" s="175" t="n">
        <v>618855</v>
      </c>
      <c r="Q174" s="175" t="n">
        <v>654129</v>
      </c>
    </row>
    <row r="175" ht="14.4" customHeight="1">
      <c r="A175" s="173" t="n">
        <v>11</v>
      </c>
      <c r="B175" s="529" t="inlineStr">
        <is>
          <t>Manager Community Development Grade 1</t>
        </is>
      </c>
      <c r="C175" s="174" t="n">
        <v>1</v>
      </c>
      <c r="G175" s="175" t="n">
        <v>410262</v>
      </c>
      <c r="H175" s="175" t="n">
        <v>441033</v>
      </c>
      <c r="I175" s="175" t="n">
        <v>471024</v>
      </c>
      <c r="J175" s="176" t="n">
        <v>503997</v>
      </c>
      <c r="K175" s="176" t="n">
        <v>537261</v>
      </c>
      <c r="L175" s="175" t="n">
        <v>577017</v>
      </c>
      <c r="M175" s="175" t="n">
        <v>617409</v>
      </c>
      <c r="N175" s="175" t="n">
        <v>664332</v>
      </c>
      <c r="O175" s="175" t="n">
        <v>712827</v>
      </c>
      <c r="P175" s="175" t="n">
        <v>755598</v>
      </c>
      <c r="Q175" s="175" t="n">
        <v>794889</v>
      </c>
    </row>
    <row r="176" ht="14.4" customHeight="1">
      <c r="A176" s="173" t="n"/>
      <c r="C176" s="174" t="n">
        <v>2</v>
      </c>
      <c r="G176" s="175" t="n">
        <v>422571</v>
      </c>
      <c r="H176" s="175" t="n">
        <v>454263</v>
      </c>
      <c r="I176" s="175" t="n">
        <v>485154</v>
      </c>
      <c r="J176" s="176" t="n">
        <v>519114</v>
      </c>
      <c r="K176" s="176" t="n">
        <v>553377</v>
      </c>
      <c r="L176" s="175" t="n">
        <v>594327</v>
      </c>
      <c r="M176" s="175" t="n">
        <v>635931</v>
      </c>
      <c r="N176" s="175" t="n">
        <v>684261</v>
      </c>
      <c r="O176" s="175" t="n">
        <v>734211</v>
      </c>
      <c r="P176" s="175" t="n">
        <v>778263</v>
      </c>
      <c r="Q176" s="175" t="n">
        <v>818733</v>
      </c>
    </row>
    <row r="177" ht="14.4" customHeight="1">
      <c r="A177" s="173" t="n"/>
      <c r="C177" s="174" t="n">
        <v>3</v>
      </c>
      <c r="G177" s="175" t="n">
        <v>435249</v>
      </c>
      <c r="H177" s="175" t="n">
        <v>467892</v>
      </c>
      <c r="I177" s="175" t="n">
        <v>499710</v>
      </c>
      <c r="J177" s="176" t="n">
        <v>534690</v>
      </c>
      <c r="K177" s="176" t="n">
        <v>569979</v>
      </c>
      <c r="L177" s="175" t="n">
        <v>612156</v>
      </c>
      <c r="M177" s="175" t="n">
        <v>655008</v>
      </c>
      <c r="N177" s="175" t="n">
        <v>704790</v>
      </c>
      <c r="O177" s="175" t="n">
        <v>756240</v>
      </c>
      <c r="P177" s="175" t="n">
        <v>801615</v>
      </c>
      <c r="Q177" s="175" t="n">
        <v>843300</v>
      </c>
    </row>
    <row r="178" ht="14.4" customHeight="1">
      <c r="A178" s="173" t="n"/>
      <c r="C178" s="174" t="n">
        <v>4</v>
      </c>
      <c r="G178" s="175" t="n">
        <v>448311</v>
      </c>
      <c r="H178" s="175" t="n">
        <v>481935</v>
      </c>
      <c r="I178" s="175" t="n">
        <v>514707</v>
      </c>
      <c r="J178" s="176" t="n">
        <v>550737</v>
      </c>
      <c r="K178" s="176" t="n">
        <v>587085</v>
      </c>
      <c r="L178" s="175" t="n">
        <v>630528</v>
      </c>
      <c r="M178" s="175" t="n">
        <v>674664</v>
      </c>
      <c r="N178" s="175" t="n">
        <v>725937</v>
      </c>
      <c r="O178" s="175" t="n">
        <v>778929</v>
      </c>
      <c r="P178" s="175" t="n">
        <v>825666</v>
      </c>
      <c r="Q178" s="175" t="n">
        <v>868602</v>
      </c>
    </row>
    <row r="179" ht="14.4" customHeight="1">
      <c r="A179" s="173" t="n"/>
      <c r="C179" s="174" t="n">
        <v>5</v>
      </c>
      <c r="G179" s="175" t="n">
        <v>461760</v>
      </c>
      <c r="H179" s="175" t="n">
        <v>496392</v>
      </c>
      <c r="I179" s="175" t="n">
        <v>530148</v>
      </c>
      <c r="J179" s="176" t="n">
        <v>567258</v>
      </c>
      <c r="K179" s="176" t="n">
        <v>604698</v>
      </c>
      <c r="L179" s="175" t="n">
        <v>649446</v>
      </c>
      <c r="M179" s="175" t="n">
        <v>694908</v>
      </c>
      <c r="N179" s="175" t="n">
        <v>747720</v>
      </c>
      <c r="O179" s="175" t="n">
        <v>802305</v>
      </c>
      <c r="P179" s="175" t="n">
        <v>850443</v>
      </c>
      <c r="Q179" s="175" t="n">
        <v>894666</v>
      </c>
    </row>
    <row r="180" ht="14.4" customHeight="1">
      <c r="A180" s="173" t="n">
        <v>12</v>
      </c>
      <c r="B180" s="529" t="inlineStr">
        <is>
          <t>Manager Community Development  Grade 2</t>
        </is>
      </c>
      <c r="C180" s="174" t="n">
        <v>1</v>
      </c>
      <c r="G180" s="175" t="n">
        <v>489882</v>
      </c>
      <c r="H180" s="175" t="n">
        <v>526623</v>
      </c>
      <c r="I180" s="175" t="n">
        <v>562434</v>
      </c>
      <c r="J180" s="176" t="n">
        <v>601803</v>
      </c>
      <c r="K180" s="176" t="n">
        <v>641523</v>
      </c>
      <c r="L180" s="175" t="n">
        <v>688995</v>
      </c>
      <c r="M180" s="175" t="n">
        <v>737226</v>
      </c>
      <c r="N180" s="175" t="n">
        <v>793254</v>
      </c>
      <c r="O180" s="175" t="n">
        <v>851163</v>
      </c>
      <c r="P180" s="175" t="n">
        <v>902232</v>
      </c>
      <c r="Q180" s="175" t="n">
        <v>949149</v>
      </c>
    </row>
    <row r="181" ht="14.4" customHeight="1">
      <c r="A181" s="173" t="n"/>
      <c r="C181" s="174" t="n">
        <v>2</v>
      </c>
      <c r="G181" s="175" t="n">
        <v>504576</v>
      </c>
      <c r="H181" s="175" t="n">
        <v>542418</v>
      </c>
      <c r="I181" s="175" t="n">
        <v>579303</v>
      </c>
      <c r="J181" s="176" t="n">
        <v>619854</v>
      </c>
      <c r="K181" s="176" t="n">
        <v>660765</v>
      </c>
      <c r="L181" s="175" t="n">
        <v>709662</v>
      </c>
      <c r="M181" s="175" t="n">
        <v>759339</v>
      </c>
      <c r="N181" s="175" t="n">
        <v>817050</v>
      </c>
      <c r="O181" s="175" t="n">
        <v>876696</v>
      </c>
      <c r="P181" s="175" t="n">
        <v>929298</v>
      </c>
      <c r="Q181" s="175" t="n">
        <v>977622</v>
      </c>
    </row>
    <row r="182" ht="14.4" customHeight="1">
      <c r="A182" s="173" t="n"/>
      <c r="C182" s="174" t="n">
        <v>3</v>
      </c>
      <c r="G182" s="175" t="n">
        <v>519714</v>
      </c>
      <c r="H182" s="175" t="n">
        <v>558693</v>
      </c>
      <c r="I182" s="175" t="n">
        <v>596685</v>
      </c>
      <c r="J182" s="176" t="n">
        <v>638454</v>
      </c>
      <c r="K182" s="176" t="n">
        <v>680592</v>
      </c>
      <c r="L182" s="175" t="n">
        <v>730956</v>
      </c>
      <c r="M182" s="175" t="n">
        <v>782124</v>
      </c>
      <c r="N182" s="175" t="n">
        <v>841566</v>
      </c>
      <c r="O182" s="175" t="n">
        <v>903000</v>
      </c>
      <c r="P182" s="175" t="n">
        <v>957180</v>
      </c>
      <c r="Q182" s="175" t="n">
        <v>1006953</v>
      </c>
    </row>
    <row r="183" ht="14.4" customHeight="1">
      <c r="A183" s="173" t="n"/>
      <c r="C183" s="174" t="n">
        <v>4</v>
      </c>
      <c r="G183" s="175" t="n">
        <v>535305</v>
      </c>
      <c r="H183" s="175" t="n">
        <v>575454</v>
      </c>
      <c r="I183" s="175" t="n">
        <v>614586</v>
      </c>
      <c r="J183" s="176" t="n">
        <v>657606</v>
      </c>
      <c r="K183" s="176" t="n">
        <v>701007</v>
      </c>
      <c r="L183" s="175" t="n">
        <v>752883</v>
      </c>
      <c r="M183" s="175" t="n">
        <v>805584</v>
      </c>
      <c r="N183" s="175" t="n">
        <v>866808</v>
      </c>
      <c r="O183" s="175" t="n">
        <v>930084</v>
      </c>
      <c r="P183" s="175" t="n">
        <v>985890</v>
      </c>
      <c r="Q183" s="175" t="n">
        <v>1037157</v>
      </c>
    </row>
    <row r="184" ht="14.4" customHeight="1">
      <c r="A184" s="173" t="n"/>
      <c r="C184" s="174" t="n">
        <v>5</v>
      </c>
      <c r="G184" s="175" t="n">
        <v>551364</v>
      </c>
      <c r="H184" s="175" t="n">
        <v>592716</v>
      </c>
      <c r="I184" s="175" t="n">
        <v>633021</v>
      </c>
      <c r="J184" s="176" t="n">
        <v>677331</v>
      </c>
      <c r="K184" s="176" t="n">
        <v>722034</v>
      </c>
      <c r="L184" s="175" t="n">
        <v>775464</v>
      </c>
      <c r="M184" s="175" t="n">
        <v>829746</v>
      </c>
      <c r="N184" s="175" t="n">
        <v>892806</v>
      </c>
      <c r="O184" s="175" t="n">
        <v>957981</v>
      </c>
      <c r="P184" s="175" t="n">
        <v>1015461</v>
      </c>
      <c r="Q184" s="175" t="n">
        <v>1068264</v>
      </c>
    </row>
    <row r="185" ht="14.4" customHeight="1">
      <c r="A185" s="173" t="n"/>
      <c r="C185" s="174" t="n">
        <v>6</v>
      </c>
      <c r="G185" s="175" t="n">
        <v>567906</v>
      </c>
      <c r="H185" s="175" t="n">
        <v>610500</v>
      </c>
      <c r="I185" s="175" t="n">
        <v>652014</v>
      </c>
      <c r="J185" s="176" t="n">
        <v>697656</v>
      </c>
      <c r="K185" s="176" t="n">
        <v>743700</v>
      </c>
      <c r="L185" s="175" t="n">
        <v>798735</v>
      </c>
      <c r="M185" s="175" t="n">
        <v>854646</v>
      </c>
      <c r="N185" s="175" t="n">
        <v>919599</v>
      </c>
      <c r="O185" s="175" t="n">
        <v>986730</v>
      </c>
      <c r="P185" s="175" t="n">
        <v>1045935</v>
      </c>
      <c r="Q185" s="175" t="n">
        <v>1100325</v>
      </c>
    </row>
    <row r="186" ht="14.4" customHeight="1">
      <c r="A186" s="173" t="n">
        <v>13</v>
      </c>
      <c r="B186" s="529" t="inlineStr">
        <is>
          <t>Community Development Policy Developer Grade 1</t>
        </is>
      </c>
      <c r="C186" s="174" t="n">
        <v>1</v>
      </c>
      <c r="G186" s="175" t="n">
        <v>155781</v>
      </c>
      <c r="H186" s="175" t="n">
        <v>167466</v>
      </c>
      <c r="I186" s="175" t="n">
        <v>178854</v>
      </c>
      <c r="J186" s="176" t="n">
        <v>191373</v>
      </c>
      <c r="K186" s="176" t="n">
        <v>204003</v>
      </c>
      <c r="L186" s="175" t="n">
        <v>219099</v>
      </c>
      <c r="M186" s="175" t="n">
        <v>234435</v>
      </c>
      <c r="N186" s="175" t="n">
        <v>252252</v>
      </c>
      <c r="O186" s="175" t="n">
        <v>270666</v>
      </c>
      <c r="P186" s="175" t="n">
        <v>289614</v>
      </c>
      <c r="Q186" s="175" t="n">
        <v>307569</v>
      </c>
    </row>
    <row r="187" ht="14.4" customHeight="1">
      <c r="A187" s="173" t="n"/>
      <c r="C187" s="174" t="n">
        <v>2</v>
      </c>
      <c r="G187" s="175" t="n">
        <v>160455</v>
      </c>
      <c r="H187" s="175" t="n">
        <v>172488</v>
      </c>
      <c r="I187" s="175" t="n">
        <v>184218</v>
      </c>
      <c r="J187" s="176" t="n">
        <v>197112</v>
      </c>
      <c r="K187" s="176" t="n">
        <v>210120</v>
      </c>
      <c r="L187" s="175" t="n">
        <v>225669</v>
      </c>
      <c r="M187" s="175" t="n">
        <v>241467</v>
      </c>
      <c r="N187" s="175" t="n">
        <v>259818</v>
      </c>
      <c r="O187" s="175" t="n">
        <v>278784</v>
      </c>
      <c r="P187" s="175" t="n">
        <v>298299</v>
      </c>
      <c r="Q187" s="175" t="n">
        <v>316794</v>
      </c>
    </row>
    <row r="188" ht="14.4" customHeight="1">
      <c r="A188" s="173" t="n"/>
      <c r="C188" s="174" t="n">
        <v>3</v>
      </c>
      <c r="G188" s="175" t="n">
        <v>165267</v>
      </c>
      <c r="H188" s="175" t="n">
        <v>177663</v>
      </c>
      <c r="I188" s="175" t="n">
        <v>189744</v>
      </c>
      <c r="J188" s="176" t="n">
        <v>203025</v>
      </c>
      <c r="K188" s="176" t="n">
        <v>216426</v>
      </c>
      <c r="L188" s="175" t="n">
        <v>232443</v>
      </c>
      <c r="M188" s="175" t="n">
        <v>248715</v>
      </c>
      <c r="N188" s="175" t="n">
        <v>267618</v>
      </c>
      <c r="O188" s="175" t="n">
        <v>287154</v>
      </c>
      <c r="P188" s="175" t="n">
        <v>305820</v>
      </c>
      <c r="Q188" s="175" t="n">
        <v>323253</v>
      </c>
    </row>
    <row r="189" ht="14.4" customHeight="1">
      <c r="A189" s="173" t="n"/>
      <c r="C189" s="174" t="n">
        <v>4</v>
      </c>
      <c r="G189" s="175" t="n">
        <v>170223</v>
      </c>
      <c r="H189" s="175" t="n">
        <v>182991</v>
      </c>
      <c r="I189" s="175" t="n">
        <v>195435</v>
      </c>
      <c r="J189" s="176" t="n">
        <v>209115</v>
      </c>
      <c r="K189" s="176" t="n">
        <v>222918</v>
      </c>
      <c r="L189" s="175" t="n">
        <v>239415</v>
      </c>
      <c r="M189" s="175" t="n">
        <v>256173</v>
      </c>
      <c r="N189" s="175" t="n">
        <v>275643</v>
      </c>
      <c r="O189" s="175" t="n">
        <v>295764</v>
      </c>
      <c r="P189" s="175" t="n">
        <v>314988</v>
      </c>
      <c r="Q189" s="175" t="n">
        <v>332943</v>
      </c>
    </row>
    <row r="190" ht="14.4" customHeight="1">
      <c r="A190" s="173" t="n"/>
      <c r="C190" s="174" t="n">
        <v>5</v>
      </c>
      <c r="G190" s="175" t="n">
        <v>175332</v>
      </c>
      <c r="H190" s="175" t="n">
        <v>188481</v>
      </c>
      <c r="I190" s="175" t="n">
        <v>201297</v>
      </c>
      <c r="J190" s="176" t="n">
        <v>215388</v>
      </c>
      <c r="K190" s="176" t="n">
        <v>229605</v>
      </c>
      <c r="L190" s="175" t="n">
        <v>246597</v>
      </c>
      <c r="M190" s="175" t="n">
        <v>263859</v>
      </c>
      <c r="N190" s="175" t="n">
        <v>283911</v>
      </c>
      <c r="O190" s="175" t="n">
        <v>304638</v>
      </c>
      <c r="P190" s="175" t="n">
        <v>324438</v>
      </c>
      <c r="Q190" s="175" t="n">
        <v>342930</v>
      </c>
    </row>
    <row r="191" ht="14.4" customHeight="1">
      <c r="A191" s="173" t="n">
        <v>14</v>
      </c>
      <c r="B191" s="529" t="inlineStr">
        <is>
          <t>Community Development Policy Developer Grade 2</t>
        </is>
      </c>
      <c r="C191" s="174" t="n">
        <v>1</v>
      </c>
      <c r="G191" s="175" t="n">
        <v>186006</v>
      </c>
      <c r="H191" s="175" t="n">
        <v>199956</v>
      </c>
      <c r="I191" s="175" t="n">
        <v>213552</v>
      </c>
      <c r="J191" s="176" t="n">
        <v>228501</v>
      </c>
      <c r="K191" s="176" t="n">
        <v>243582</v>
      </c>
      <c r="L191" s="175" t="n">
        <v>261606</v>
      </c>
      <c r="M191" s="175" t="n">
        <v>279918</v>
      </c>
      <c r="N191" s="175" t="n">
        <v>301191</v>
      </c>
      <c r="O191" s="175" t="n">
        <v>323178</v>
      </c>
      <c r="P191" s="175" t="n">
        <v>344184</v>
      </c>
      <c r="Q191" s="175" t="n">
        <v>363801</v>
      </c>
    </row>
    <row r="192" ht="14.4" customHeight="1">
      <c r="A192" s="173" t="n"/>
      <c r="C192" s="174" t="n">
        <v>2</v>
      </c>
      <c r="G192" s="175" t="n">
        <v>191589</v>
      </c>
      <c r="H192" s="175" t="n">
        <v>205959</v>
      </c>
      <c r="I192" s="175" t="n">
        <v>219963</v>
      </c>
      <c r="J192" s="176" t="n">
        <v>235359</v>
      </c>
      <c r="K192" s="176" t="n">
        <v>250893</v>
      </c>
      <c r="L192" s="175" t="n">
        <v>269460</v>
      </c>
      <c r="M192" s="175" t="n">
        <v>288321</v>
      </c>
      <c r="N192" s="175" t="n">
        <v>310233</v>
      </c>
      <c r="O192" s="175" t="n">
        <v>332880</v>
      </c>
      <c r="P192" s="175" t="n">
        <v>354516</v>
      </c>
      <c r="Q192" s="175" t="n">
        <v>374724</v>
      </c>
    </row>
    <row r="193" ht="14.4" customHeight="1">
      <c r="A193" s="173" t="n"/>
      <c r="C193" s="174" t="n">
        <v>3</v>
      </c>
      <c r="G193" s="175" t="n">
        <v>196446</v>
      </c>
      <c r="H193" s="175" t="n">
        <v>211179</v>
      </c>
      <c r="I193" s="175" t="n">
        <v>225540</v>
      </c>
      <c r="J193" s="176" t="n">
        <v>241329</v>
      </c>
      <c r="K193" s="176" t="n">
        <v>257256</v>
      </c>
      <c r="L193" s="175" t="n">
        <v>276294</v>
      </c>
      <c r="M193" s="175" t="n">
        <v>295635</v>
      </c>
      <c r="N193" s="175" t="n">
        <v>318102</v>
      </c>
      <c r="O193" s="175" t="n">
        <v>341322</v>
      </c>
      <c r="P193" s="175" t="n">
        <v>363507</v>
      </c>
      <c r="Q193" s="175" t="n">
        <v>384228</v>
      </c>
    </row>
    <row r="194" ht="14.4" customHeight="1">
      <c r="A194" s="173" t="n"/>
      <c r="C194" s="174" t="n">
        <v>4</v>
      </c>
      <c r="G194" s="175" t="n">
        <v>202341</v>
      </c>
      <c r="H194" s="175" t="n">
        <v>217518</v>
      </c>
      <c r="I194" s="175" t="n">
        <v>232308</v>
      </c>
      <c r="J194" s="176" t="n">
        <v>248571</v>
      </c>
      <c r="K194" s="176" t="n">
        <v>264978</v>
      </c>
      <c r="L194" s="175" t="n">
        <v>284586</v>
      </c>
      <c r="M194" s="175" t="n">
        <v>304506</v>
      </c>
      <c r="N194" s="175" t="n">
        <v>327648</v>
      </c>
      <c r="O194" s="175" t="n">
        <v>351567</v>
      </c>
      <c r="P194" s="175" t="n">
        <v>374418</v>
      </c>
      <c r="Q194" s="175" t="n">
        <v>395760</v>
      </c>
    </row>
    <row r="195" ht="14.4" customHeight="1">
      <c r="A195" s="173" t="n"/>
      <c r="C195" s="174" t="n">
        <v>5</v>
      </c>
      <c r="G195" s="175" t="n">
        <v>208410</v>
      </c>
      <c r="H195" s="175" t="n">
        <v>224040</v>
      </c>
      <c r="I195" s="175" t="n">
        <v>239274</v>
      </c>
      <c r="J195" s="176" t="n">
        <v>256023</v>
      </c>
      <c r="K195" s="176" t="n">
        <v>272922</v>
      </c>
      <c r="L195" s="175" t="n">
        <v>293118</v>
      </c>
      <c r="M195" s="175" t="n">
        <v>313635</v>
      </c>
      <c r="N195" s="175" t="n">
        <v>337470</v>
      </c>
      <c r="O195" s="175" t="n">
        <v>362106</v>
      </c>
      <c r="P195" s="175" t="n">
        <v>385644</v>
      </c>
      <c r="Q195" s="175" t="n">
        <v>407625</v>
      </c>
    </row>
    <row r="196" ht="14.4" customHeight="1">
      <c r="A196" s="173" t="n">
        <v>15</v>
      </c>
      <c r="B196" s="529" t="inlineStr">
        <is>
          <t>Community Development Policy Developer Grade 3</t>
        </is>
      </c>
      <c r="C196" s="174" t="n">
        <v>1</v>
      </c>
      <c r="G196" s="175" t="n">
        <v>221103</v>
      </c>
      <c r="H196" s="175" t="n">
        <v>237687</v>
      </c>
      <c r="I196" s="175" t="n">
        <v>253851</v>
      </c>
      <c r="J196" s="176" t="n">
        <v>271620</v>
      </c>
      <c r="K196" s="176" t="n">
        <v>289548</v>
      </c>
      <c r="L196" s="175" t="n">
        <v>310974</v>
      </c>
      <c r="M196" s="175" t="n">
        <v>332742</v>
      </c>
      <c r="N196" s="175" t="n">
        <v>358029</v>
      </c>
      <c r="O196" s="175" t="n">
        <v>384165</v>
      </c>
      <c r="P196" s="175" t="n">
        <v>409137</v>
      </c>
      <c r="Q196" s="175" t="n">
        <v>432459</v>
      </c>
    </row>
    <row r="197" ht="14.4" customHeight="1">
      <c r="A197" s="173" t="n"/>
      <c r="C197" s="174" t="n">
        <v>2</v>
      </c>
      <c r="G197" s="175" t="n">
        <v>227736</v>
      </c>
      <c r="H197" s="175" t="n">
        <v>244815</v>
      </c>
      <c r="I197" s="175" t="n">
        <v>261462</v>
      </c>
      <c r="J197" s="176" t="n">
        <v>279765</v>
      </c>
      <c r="K197" s="176" t="n">
        <v>298230</v>
      </c>
      <c r="L197" s="175" t="n">
        <v>320298</v>
      </c>
      <c r="M197" s="175" t="n">
        <v>342720</v>
      </c>
      <c r="N197" s="175" t="n">
        <v>368766</v>
      </c>
      <c r="O197" s="175" t="n">
        <v>395685</v>
      </c>
      <c r="P197" s="175" t="n">
        <v>421404</v>
      </c>
      <c r="Q197" s="175" t="n">
        <v>445425</v>
      </c>
    </row>
    <row r="198" ht="14.4" customHeight="1">
      <c r="A198" s="173" t="n"/>
      <c r="C198" s="174" t="n">
        <v>3</v>
      </c>
      <c r="G198" s="175" t="n">
        <v>234570</v>
      </c>
      <c r="H198" s="175" t="n">
        <v>252162</v>
      </c>
      <c r="I198" s="175" t="n">
        <v>269310</v>
      </c>
      <c r="J198" s="176" t="n">
        <v>288162</v>
      </c>
      <c r="K198" s="176" t="n">
        <v>307182</v>
      </c>
      <c r="L198" s="175" t="n">
        <v>329913</v>
      </c>
      <c r="M198" s="175" t="n">
        <v>353007</v>
      </c>
      <c r="N198" s="175" t="n">
        <v>379836</v>
      </c>
      <c r="O198" s="175" t="n">
        <v>407565</v>
      </c>
      <c r="P198" s="175" t="n">
        <v>434058</v>
      </c>
      <c r="Q198" s="175" t="n">
        <v>458799</v>
      </c>
    </row>
    <row r="199" ht="14.4" customHeight="1">
      <c r="A199" s="173" t="n"/>
      <c r="C199" s="174" t="n">
        <v>4</v>
      </c>
      <c r="G199" s="175" t="n">
        <v>241605</v>
      </c>
      <c r="H199" s="175" t="n">
        <v>259725</v>
      </c>
      <c r="I199" s="175" t="n">
        <v>277386</v>
      </c>
      <c r="J199" s="176" t="n">
        <v>296802</v>
      </c>
      <c r="K199" s="176" t="n">
        <v>316392</v>
      </c>
      <c r="L199" s="175" t="n">
        <v>339804</v>
      </c>
      <c r="M199" s="175" t="n">
        <v>363591</v>
      </c>
      <c r="N199" s="175" t="n">
        <v>391224</v>
      </c>
      <c r="O199" s="175" t="n">
        <v>419784</v>
      </c>
      <c r="P199" s="175" t="n">
        <v>447069</v>
      </c>
      <c r="Q199" s="175" t="n">
        <v>472551</v>
      </c>
    </row>
    <row r="200" ht="14.4" customHeight="1">
      <c r="A200" s="173" t="n"/>
      <c r="C200" s="174" t="n">
        <v>5</v>
      </c>
      <c r="G200" s="175" t="n">
        <v>248853</v>
      </c>
      <c r="H200" s="175" t="n">
        <v>267516</v>
      </c>
      <c r="I200" s="175" t="n">
        <v>285708</v>
      </c>
      <c r="J200" s="176" t="n">
        <v>305709</v>
      </c>
      <c r="K200" s="176" t="n">
        <v>325887</v>
      </c>
      <c r="L200" s="175" t="n">
        <v>350004</v>
      </c>
      <c r="M200" s="175" t="n">
        <v>374505</v>
      </c>
      <c r="N200" s="175" t="n">
        <v>402966</v>
      </c>
      <c r="O200" s="175" t="n">
        <v>432384</v>
      </c>
      <c r="P200" s="175" t="n">
        <v>460488</v>
      </c>
      <c r="Q200" s="175" t="n">
        <v>486735</v>
      </c>
    </row>
    <row r="201" ht="14.4" customHeight="1">
      <c r="A201" s="173" t="n"/>
      <c r="C201" s="174" t="n">
        <v>6</v>
      </c>
      <c r="G201" s="175" t="n">
        <v>256320</v>
      </c>
      <c r="H201" s="175" t="n">
        <v>275544</v>
      </c>
      <c r="I201" s="175" t="n">
        <v>294282</v>
      </c>
      <c r="J201" s="176" t="n">
        <v>314883</v>
      </c>
      <c r="K201" s="176" t="n">
        <v>335664</v>
      </c>
      <c r="L201" s="175" t="n">
        <v>360504</v>
      </c>
      <c r="M201" s="175" t="n">
        <v>385740</v>
      </c>
      <c r="N201" s="175" t="n">
        <v>415056</v>
      </c>
      <c r="O201" s="175" t="n">
        <v>445356</v>
      </c>
      <c r="P201" s="175" t="n">
        <v>474303</v>
      </c>
      <c r="Q201" s="175" t="n">
        <v>501339</v>
      </c>
    </row>
    <row r="202" ht="14.4" customHeight="1">
      <c r="A202" s="173" t="n"/>
      <c r="C202" s="174" t="n">
        <v>7</v>
      </c>
      <c r="G202" s="175" t="n">
        <v>264009</v>
      </c>
      <c r="H202" s="175" t="n">
        <v>283809</v>
      </c>
      <c r="I202" s="175" t="n">
        <v>303108</v>
      </c>
      <c r="J202" s="176" t="n">
        <v>324327</v>
      </c>
      <c r="K202" s="176" t="n">
        <v>345732</v>
      </c>
      <c r="L202" s="175" t="n">
        <v>371316</v>
      </c>
      <c r="M202" s="175" t="n">
        <v>397308</v>
      </c>
      <c r="N202" s="175" t="n">
        <v>427503</v>
      </c>
      <c r="O202" s="175" t="n">
        <v>458712</v>
      </c>
      <c r="P202" s="175" t="n">
        <v>488529</v>
      </c>
      <c r="Q202" s="175" t="n">
        <v>516375</v>
      </c>
    </row>
    <row r="203" ht="14.4" customHeight="1">
      <c r="A203" s="173" t="n"/>
      <c r="C203" s="174" t="n">
        <v>8</v>
      </c>
      <c r="G203" s="175" t="n">
        <v>271929</v>
      </c>
      <c r="H203" s="175" t="n">
        <v>292323</v>
      </c>
      <c r="I203" s="175" t="n">
        <v>312201</v>
      </c>
      <c r="J203" s="176" t="n">
        <v>334056</v>
      </c>
      <c r="K203" s="176" t="n">
        <v>356103</v>
      </c>
      <c r="L203" s="175" t="n">
        <v>382455</v>
      </c>
      <c r="M203" s="175" t="n">
        <v>409227</v>
      </c>
      <c r="N203" s="175" t="n">
        <v>440328</v>
      </c>
      <c r="O203" s="175" t="n">
        <v>472473</v>
      </c>
      <c r="P203" s="175" t="n">
        <v>503184</v>
      </c>
      <c r="Q203" s="175" t="n">
        <v>531864</v>
      </c>
    </row>
    <row r="204" ht="14.4" customHeight="1">
      <c r="A204" s="173" t="n"/>
      <c r="C204" s="174" t="n">
        <v>9</v>
      </c>
      <c r="G204" s="175" t="n">
        <v>280089</v>
      </c>
      <c r="H204" s="175" t="n">
        <v>301095</v>
      </c>
      <c r="I204" s="175" t="n">
        <v>321570</v>
      </c>
      <c r="J204" s="176" t="n">
        <v>344079</v>
      </c>
      <c r="K204" s="176" t="n">
        <v>366789</v>
      </c>
      <c r="L204" s="175" t="n">
        <v>393930</v>
      </c>
      <c r="M204" s="175" t="n">
        <v>421506</v>
      </c>
      <c r="N204" s="175" t="n">
        <v>453540</v>
      </c>
      <c r="O204" s="175" t="n">
        <v>486648</v>
      </c>
      <c r="P204" s="175" t="n">
        <v>518280</v>
      </c>
      <c r="Q204" s="175" t="n">
        <v>547821</v>
      </c>
    </row>
    <row r="205" ht="14.4" customHeight="1">
      <c r="A205" s="173" t="n"/>
      <c r="C205" s="174" t="n">
        <v>10</v>
      </c>
      <c r="G205" s="175" t="n">
        <v>288489</v>
      </c>
      <c r="H205" s="175" t="n">
        <v>310125</v>
      </c>
      <c r="I205" s="175" t="n">
        <v>331215</v>
      </c>
      <c r="J205" s="176" t="n">
        <v>354399</v>
      </c>
      <c r="K205" s="176" t="n">
        <v>377790</v>
      </c>
      <c r="L205" s="175" t="n">
        <v>405747</v>
      </c>
      <c r="M205" s="175" t="n">
        <v>434148</v>
      </c>
      <c r="N205" s="175" t="n">
        <v>467142</v>
      </c>
      <c r="O205" s="175" t="n">
        <v>501243</v>
      </c>
      <c r="P205" s="175" t="n">
        <v>533823</v>
      </c>
      <c r="Q205" s="175" t="n">
        <v>564252</v>
      </c>
    </row>
    <row r="206" ht="14.4" customHeight="1">
      <c r="A206" s="173" t="n"/>
      <c r="C206" s="174" t="n">
        <v>11</v>
      </c>
      <c r="G206" s="175" t="n">
        <v>297144</v>
      </c>
      <c r="H206" s="175" t="n">
        <v>319431</v>
      </c>
      <c r="I206" s="175" t="n">
        <v>341151</v>
      </c>
      <c r="J206" s="176" t="n">
        <v>365031</v>
      </c>
      <c r="K206" s="176" t="n">
        <v>389124</v>
      </c>
      <c r="L206" s="175" t="n">
        <v>417918</v>
      </c>
      <c r="M206" s="175" t="n">
        <v>447171</v>
      </c>
      <c r="N206" s="175" t="n">
        <v>481155</v>
      </c>
      <c r="O206" s="175" t="n">
        <v>516279</v>
      </c>
      <c r="P206" s="175" t="n">
        <v>549837</v>
      </c>
      <c r="Q206" s="175" t="n">
        <v>581178</v>
      </c>
    </row>
    <row r="207" ht="14.4" customHeight="1">
      <c r="A207" s="173" t="n">
        <v>16</v>
      </c>
      <c r="B207" s="529" t="inlineStr">
        <is>
          <t>Manager Community Development Policy Grade 1</t>
        </is>
      </c>
      <c r="C207" s="174" t="n">
        <v>1</v>
      </c>
      <c r="G207" s="175" t="n">
        <v>410262</v>
      </c>
      <c r="H207" s="175" t="n">
        <v>441033</v>
      </c>
      <c r="I207" s="175" t="n">
        <v>471024</v>
      </c>
      <c r="J207" s="176" t="n">
        <v>503997</v>
      </c>
      <c r="K207" s="176" t="n">
        <v>537261</v>
      </c>
      <c r="L207" s="175" t="n">
        <v>577017</v>
      </c>
      <c r="M207" s="175" t="n">
        <v>617409</v>
      </c>
      <c r="N207" s="175" t="n">
        <v>664332</v>
      </c>
      <c r="O207" s="175" t="n">
        <v>712827</v>
      </c>
      <c r="P207" s="175" t="n">
        <v>755598</v>
      </c>
      <c r="Q207" s="175" t="n">
        <v>794889</v>
      </c>
    </row>
    <row r="208" ht="14.4" customHeight="1">
      <c r="A208" s="173" t="n"/>
      <c r="C208" s="174" t="n">
        <v>2</v>
      </c>
      <c r="G208" s="175" t="n">
        <v>422571</v>
      </c>
      <c r="H208" s="175" t="n">
        <v>454263</v>
      </c>
      <c r="I208" s="175" t="n">
        <v>485154</v>
      </c>
      <c r="J208" s="176" t="n">
        <v>519114</v>
      </c>
      <c r="K208" s="176" t="n">
        <v>553377</v>
      </c>
      <c r="L208" s="175" t="n">
        <v>594327</v>
      </c>
      <c r="M208" s="175" t="n">
        <v>635931</v>
      </c>
      <c r="N208" s="175" t="n">
        <v>684261</v>
      </c>
      <c r="O208" s="175" t="n">
        <v>734211</v>
      </c>
      <c r="P208" s="175" t="n">
        <v>778263</v>
      </c>
      <c r="Q208" s="175" t="n">
        <v>818733</v>
      </c>
    </row>
    <row r="209" ht="14.4" customHeight="1">
      <c r="A209" s="173" t="n"/>
      <c r="C209" s="174" t="n">
        <v>3</v>
      </c>
      <c r="G209" s="175" t="n">
        <v>435249</v>
      </c>
      <c r="H209" s="175" t="n">
        <v>467892</v>
      </c>
      <c r="I209" s="175" t="n">
        <v>499710</v>
      </c>
      <c r="J209" s="176" t="n">
        <v>534690</v>
      </c>
      <c r="K209" s="176" t="n">
        <v>569979</v>
      </c>
      <c r="L209" s="175" t="n">
        <v>612156</v>
      </c>
      <c r="M209" s="175" t="n">
        <v>655008</v>
      </c>
      <c r="N209" s="175" t="n">
        <v>704790</v>
      </c>
      <c r="O209" s="175" t="n">
        <v>756240</v>
      </c>
      <c r="P209" s="175" t="n">
        <v>801615</v>
      </c>
      <c r="Q209" s="175" t="n">
        <v>843300</v>
      </c>
    </row>
    <row r="210" ht="14.4" customHeight="1">
      <c r="A210" s="173" t="n"/>
      <c r="C210" s="174" t="n">
        <v>4</v>
      </c>
      <c r="G210" s="175" t="n">
        <v>448311</v>
      </c>
      <c r="H210" s="175" t="n">
        <v>481935</v>
      </c>
      <c r="I210" s="175" t="n">
        <v>514707</v>
      </c>
      <c r="J210" s="176" t="n">
        <v>550737</v>
      </c>
      <c r="K210" s="176" t="n">
        <v>587085</v>
      </c>
      <c r="L210" s="175" t="n">
        <v>630528</v>
      </c>
      <c r="M210" s="175" t="n">
        <v>674664</v>
      </c>
      <c r="N210" s="175" t="n">
        <v>725937</v>
      </c>
      <c r="O210" s="175" t="n">
        <v>778929</v>
      </c>
      <c r="P210" s="175" t="n">
        <v>825666</v>
      </c>
      <c r="Q210" s="175" t="n">
        <v>868602</v>
      </c>
    </row>
    <row r="211" ht="14.4" customHeight="1">
      <c r="A211" s="173" t="n"/>
      <c r="C211" s="174" t="n">
        <v>5</v>
      </c>
      <c r="G211" s="175" t="n">
        <v>461760</v>
      </c>
      <c r="H211" s="175" t="n">
        <v>496392</v>
      </c>
      <c r="I211" s="175" t="n">
        <v>530148</v>
      </c>
      <c r="J211" s="176" t="n">
        <v>567258</v>
      </c>
      <c r="K211" s="176" t="n">
        <v>604698</v>
      </c>
      <c r="L211" s="175" t="n">
        <v>649446</v>
      </c>
      <c r="M211" s="175" t="n">
        <v>694908</v>
      </c>
      <c r="N211" s="175" t="n">
        <v>747720</v>
      </c>
      <c r="O211" s="175" t="n">
        <v>802305</v>
      </c>
      <c r="P211" s="175" t="n">
        <v>850443</v>
      </c>
      <c r="Q211" s="175" t="n">
        <v>894666</v>
      </c>
    </row>
    <row r="212" ht="14.4" customHeight="1">
      <c r="A212" s="173" t="n">
        <v>17</v>
      </c>
      <c r="B212" s="529" t="inlineStr">
        <is>
          <t>Manager Community Development Policy Grade 2</t>
        </is>
      </c>
      <c r="C212" s="174" t="n">
        <v>1</v>
      </c>
      <c r="G212" s="175" t="n">
        <v>489882</v>
      </c>
      <c r="H212" s="175" t="n">
        <v>526623</v>
      </c>
      <c r="I212" s="175" t="n">
        <v>562434</v>
      </c>
      <c r="J212" s="176" t="n">
        <v>601803</v>
      </c>
      <c r="K212" s="176" t="n">
        <v>641523</v>
      </c>
      <c r="L212" s="175" t="n">
        <v>688995</v>
      </c>
      <c r="M212" s="175" t="n">
        <v>737226</v>
      </c>
      <c r="N212" s="175" t="n">
        <v>793254</v>
      </c>
      <c r="O212" s="175" t="n">
        <v>851163</v>
      </c>
      <c r="P212" s="175" t="n">
        <v>902232</v>
      </c>
      <c r="Q212" s="175" t="n">
        <v>949149</v>
      </c>
    </row>
    <row r="213" ht="14.4" customHeight="1">
      <c r="A213" s="173" t="n"/>
      <c r="C213" s="174" t="n">
        <v>2</v>
      </c>
      <c r="G213" s="175" t="n">
        <v>504576</v>
      </c>
      <c r="H213" s="175" t="n">
        <v>542418</v>
      </c>
      <c r="I213" s="175" t="n">
        <v>579303</v>
      </c>
      <c r="J213" s="176" t="n">
        <v>619854</v>
      </c>
      <c r="K213" s="176" t="n">
        <v>660765</v>
      </c>
      <c r="L213" s="175" t="n">
        <v>709662</v>
      </c>
      <c r="M213" s="175" t="n">
        <v>759339</v>
      </c>
      <c r="N213" s="175" t="n">
        <v>817050</v>
      </c>
      <c r="O213" s="175" t="n">
        <v>876696</v>
      </c>
      <c r="P213" s="175" t="n">
        <v>929298</v>
      </c>
      <c r="Q213" s="175" t="n">
        <v>977622</v>
      </c>
    </row>
    <row r="214" ht="14.4" customHeight="1">
      <c r="A214" s="173" t="n"/>
      <c r="C214" s="174" t="n">
        <v>3</v>
      </c>
      <c r="G214" s="175" t="n">
        <v>519714</v>
      </c>
      <c r="H214" s="175" t="n">
        <v>558693</v>
      </c>
      <c r="I214" s="175" t="n">
        <v>596685</v>
      </c>
      <c r="J214" s="176" t="n">
        <v>638454</v>
      </c>
      <c r="K214" s="176" t="n">
        <v>680592</v>
      </c>
      <c r="L214" s="175" t="n">
        <v>730956</v>
      </c>
      <c r="M214" s="175" t="n">
        <v>782124</v>
      </c>
      <c r="N214" s="175" t="n">
        <v>841566</v>
      </c>
      <c r="O214" s="175" t="n">
        <v>903000</v>
      </c>
      <c r="P214" s="175" t="n">
        <v>957180</v>
      </c>
      <c r="Q214" s="175" t="n">
        <v>1006953</v>
      </c>
    </row>
    <row r="215" ht="14.4" customHeight="1">
      <c r="A215" s="173" t="n"/>
      <c r="C215" s="174" t="n">
        <v>4</v>
      </c>
      <c r="G215" s="175" t="n">
        <v>535305</v>
      </c>
      <c r="H215" s="175" t="n">
        <v>575454</v>
      </c>
      <c r="I215" s="175" t="n">
        <v>614586</v>
      </c>
      <c r="J215" s="176" t="n">
        <v>657606</v>
      </c>
      <c r="K215" s="176" t="n">
        <v>701007</v>
      </c>
      <c r="L215" s="175" t="n">
        <v>752883</v>
      </c>
      <c r="M215" s="175" t="n">
        <v>805584</v>
      </c>
      <c r="N215" s="175" t="n">
        <v>866808</v>
      </c>
      <c r="O215" s="175" t="n">
        <v>930084</v>
      </c>
      <c r="P215" s="175" t="n">
        <v>985890</v>
      </c>
      <c r="Q215" s="175" t="n">
        <v>1037157</v>
      </c>
    </row>
    <row r="216" ht="14.4" customHeight="1">
      <c r="A216" s="173" t="n"/>
      <c r="C216" s="174" t="n">
        <v>5</v>
      </c>
      <c r="G216" s="175" t="n">
        <v>551364</v>
      </c>
      <c r="H216" s="175" t="n">
        <v>592716</v>
      </c>
      <c r="I216" s="175" t="n">
        <v>633021</v>
      </c>
      <c r="J216" s="176" t="n">
        <v>677331</v>
      </c>
      <c r="K216" s="176" t="n">
        <v>722034</v>
      </c>
      <c r="L216" s="175" t="n">
        <v>775464</v>
      </c>
      <c r="M216" s="175" t="n">
        <v>829746</v>
      </c>
      <c r="N216" s="175" t="n">
        <v>892806</v>
      </c>
      <c r="O216" s="175" t="n">
        <v>957981</v>
      </c>
      <c r="P216" s="175" t="n">
        <v>1015461</v>
      </c>
      <c r="Q216" s="175" t="n">
        <v>1068264</v>
      </c>
    </row>
    <row r="217" ht="14.4" customHeight="1">
      <c r="A217" s="173" t="n"/>
      <c r="C217" s="174" t="n">
        <v>6</v>
      </c>
      <c r="G217" s="175" t="n">
        <v>567906</v>
      </c>
      <c r="H217" s="175" t="n">
        <v>610500</v>
      </c>
      <c r="I217" s="175" t="n">
        <v>652014</v>
      </c>
      <c r="J217" s="176" t="n">
        <v>697656</v>
      </c>
      <c r="K217" s="176" t="n">
        <v>743700</v>
      </c>
      <c r="L217" s="175" t="n">
        <v>798735</v>
      </c>
      <c r="M217" s="175" t="n">
        <v>854646</v>
      </c>
      <c r="N217" s="175" t="n">
        <v>919599</v>
      </c>
      <c r="O217" s="175" t="n">
        <v>986730</v>
      </c>
      <c r="P217" s="175" t="n">
        <v>1045935</v>
      </c>
      <c r="Q217" s="175" t="n">
        <v>1100325</v>
      </c>
    </row>
    <row r="218" ht="18" customHeight="1">
      <c r="B218" s="172" t="inlineStr">
        <is>
          <t>Child and Youth Care Work</t>
        </is>
      </c>
      <c r="G218" s="181" t="n"/>
      <c r="H218" s="181" t="n"/>
      <c r="I218" s="181" t="n"/>
      <c r="J218" s="181" t="n"/>
      <c r="K218" s="181" t="n"/>
      <c r="L218" s="181" t="n"/>
      <c r="M218" s="181" t="n"/>
      <c r="N218" s="181" t="n"/>
      <c r="O218" s="181" t="n"/>
      <c r="P218" s="181" t="n"/>
    </row>
    <row r="219" ht="14.4" customHeight="1">
      <c r="A219" s="173" t="n">
        <v>1</v>
      </c>
      <c r="B219" s="529" t="inlineStr">
        <is>
          <t>Child and Youth Care Worker Grade 1</t>
        </is>
      </c>
      <c r="C219" s="174" t="n">
        <v>1</v>
      </c>
      <c r="G219" s="175" t="n">
        <v>71391</v>
      </c>
      <c r="H219" s="175" t="n">
        <v>76746</v>
      </c>
      <c r="I219" s="175" t="n">
        <v>81966</v>
      </c>
      <c r="J219" s="176" t="n">
        <v>87705</v>
      </c>
      <c r="K219" s="176" t="n">
        <v>93495</v>
      </c>
      <c r="L219" s="175" t="n">
        <v>100413</v>
      </c>
      <c r="M219" s="175" t="n">
        <v>107442</v>
      </c>
      <c r="N219" s="175" t="n">
        <v>115608</v>
      </c>
      <c r="O219" s="175" t="n">
        <v>124047</v>
      </c>
      <c r="P219" s="175" t="n">
        <v>132729</v>
      </c>
      <c r="Q219" s="175" t="n">
        <v>140958</v>
      </c>
    </row>
    <row r="220" ht="14.4" customHeight="1">
      <c r="A220" s="173" t="n"/>
      <c r="C220" s="174" t="n">
        <v>2</v>
      </c>
      <c r="G220" s="175" t="n">
        <v>73533</v>
      </c>
      <c r="H220" s="175" t="n">
        <v>79047</v>
      </c>
      <c r="I220" s="175" t="n">
        <v>84423</v>
      </c>
      <c r="J220" s="176" t="n">
        <v>90333</v>
      </c>
      <c r="K220" s="176" t="n">
        <v>96294</v>
      </c>
      <c r="L220" s="175" t="n">
        <v>103419</v>
      </c>
      <c r="M220" s="175" t="n">
        <v>110658</v>
      </c>
      <c r="N220" s="175" t="n">
        <v>119067</v>
      </c>
      <c r="O220" s="175" t="n">
        <v>127758</v>
      </c>
      <c r="P220" s="175" t="n">
        <v>136701</v>
      </c>
      <c r="Q220" s="175" t="n">
        <v>145176</v>
      </c>
    </row>
    <row r="221" ht="14.4" customHeight="1">
      <c r="A221" s="173" t="n"/>
      <c r="C221" s="174" t="n">
        <v>3</v>
      </c>
      <c r="G221" s="175" t="n">
        <v>75069</v>
      </c>
      <c r="H221" s="175" t="n">
        <v>80700</v>
      </c>
      <c r="I221" s="175" t="n">
        <v>86187</v>
      </c>
      <c r="J221" s="176" t="n">
        <v>92220</v>
      </c>
      <c r="K221" s="176" t="n">
        <v>98307</v>
      </c>
      <c r="L221" s="175" t="n">
        <v>105582</v>
      </c>
      <c r="M221" s="175" t="n">
        <v>112974</v>
      </c>
      <c r="N221" s="175" t="n">
        <v>121560</v>
      </c>
      <c r="O221" s="175" t="n">
        <v>130434</v>
      </c>
      <c r="P221" s="175" t="n">
        <v>139563</v>
      </c>
      <c r="Q221" s="175" t="n">
        <v>148215</v>
      </c>
    </row>
    <row r="222" ht="14.4" customHeight="1">
      <c r="A222" s="173" t="n"/>
      <c r="C222" s="174" t="n">
        <v>4</v>
      </c>
      <c r="G222" s="175" t="n">
        <v>77325</v>
      </c>
      <c r="H222" s="175" t="n">
        <v>83124</v>
      </c>
      <c r="I222" s="175" t="n">
        <v>88776</v>
      </c>
      <c r="J222" s="176" t="n">
        <v>94989</v>
      </c>
      <c r="K222" s="176" t="n">
        <v>101259</v>
      </c>
      <c r="L222" s="175" t="n">
        <v>108753</v>
      </c>
      <c r="M222" s="175" t="n">
        <v>116367</v>
      </c>
      <c r="N222" s="175" t="n">
        <v>125211</v>
      </c>
      <c r="O222" s="175" t="n">
        <v>134352</v>
      </c>
      <c r="P222" s="175" t="n">
        <v>143757</v>
      </c>
      <c r="Q222" s="175" t="n">
        <v>152670</v>
      </c>
    </row>
    <row r="223" ht="14.4" customHeight="1">
      <c r="A223" s="173" t="n"/>
      <c r="C223" s="174" t="n">
        <v>5</v>
      </c>
      <c r="G223" s="175" t="n">
        <v>79641</v>
      </c>
      <c r="H223" s="175" t="n">
        <v>85614</v>
      </c>
      <c r="I223" s="175" t="n">
        <v>91437</v>
      </c>
      <c r="J223" s="176" t="n">
        <v>97839</v>
      </c>
      <c r="K223" s="176" t="n">
        <v>104295</v>
      </c>
      <c r="L223" s="175" t="n">
        <v>112014</v>
      </c>
      <c r="M223" s="175" t="n">
        <v>119856</v>
      </c>
      <c r="N223" s="175" t="n">
        <v>128964</v>
      </c>
      <c r="O223" s="175" t="n">
        <v>138378</v>
      </c>
      <c r="P223" s="175" t="n">
        <v>148065</v>
      </c>
      <c r="Q223" s="175" t="n">
        <v>157245</v>
      </c>
    </row>
    <row r="224" ht="14.4" customHeight="1">
      <c r="A224" s="173" t="n">
        <v>2</v>
      </c>
      <c r="B224" s="529" t="inlineStr">
        <is>
          <t>Child and Youth Care Worker Grade 2</t>
        </is>
      </c>
      <c r="C224" s="174" t="n">
        <v>1</v>
      </c>
      <c r="G224" s="175" t="n">
        <v>84498</v>
      </c>
      <c r="H224" s="175" t="n">
        <v>90834</v>
      </c>
      <c r="I224" s="175" t="n">
        <v>97011</v>
      </c>
      <c r="J224" s="176" t="n">
        <v>103803</v>
      </c>
      <c r="K224" s="176" t="n">
        <v>110655</v>
      </c>
      <c r="L224" s="175" t="n">
        <v>118842</v>
      </c>
      <c r="M224" s="175" t="n">
        <v>127161</v>
      </c>
      <c r="N224" s="175" t="n">
        <v>136824</v>
      </c>
      <c r="O224" s="175" t="n">
        <v>146811</v>
      </c>
      <c r="P224" s="175" t="n">
        <v>157089</v>
      </c>
      <c r="Q224" s="175" t="n">
        <v>166830</v>
      </c>
    </row>
    <row r="225" ht="14.4" customHeight="1">
      <c r="A225" s="173" t="n"/>
      <c r="C225" s="174" t="n">
        <v>2</v>
      </c>
      <c r="G225" s="175" t="n">
        <v>87030</v>
      </c>
      <c r="H225" s="175" t="n">
        <v>93558</v>
      </c>
      <c r="I225" s="175" t="n">
        <v>99921</v>
      </c>
      <c r="J225" s="176" t="n">
        <v>106914</v>
      </c>
      <c r="K225" s="176" t="n">
        <v>113970</v>
      </c>
      <c r="L225" s="175" t="n">
        <v>122403</v>
      </c>
      <c r="M225" s="175" t="n">
        <v>130971</v>
      </c>
      <c r="N225" s="175" t="n">
        <v>140925</v>
      </c>
      <c r="O225" s="175" t="n">
        <v>151212</v>
      </c>
      <c r="P225" s="175" t="n">
        <v>161796</v>
      </c>
      <c r="Q225" s="175" t="n">
        <v>171828</v>
      </c>
    </row>
    <row r="226" ht="14.4" customHeight="1">
      <c r="A226" s="173" t="n"/>
      <c r="C226" s="174" t="n">
        <v>3</v>
      </c>
      <c r="G226" s="175" t="n">
        <v>89640</v>
      </c>
      <c r="H226" s="175" t="n">
        <v>96363</v>
      </c>
      <c r="I226" s="175" t="n">
        <v>102915</v>
      </c>
      <c r="J226" s="176" t="n">
        <v>110118</v>
      </c>
      <c r="K226" s="176" t="n">
        <v>117387</v>
      </c>
      <c r="L226" s="175" t="n">
        <v>126075</v>
      </c>
      <c r="M226" s="175" t="n">
        <v>134901</v>
      </c>
      <c r="N226" s="175" t="n">
        <v>145152</v>
      </c>
      <c r="O226" s="175" t="n">
        <v>155748</v>
      </c>
      <c r="P226" s="175" t="n">
        <v>166650</v>
      </c>
      <c r="Q226" s="175" t="n">
        <v>176982</v>
      </c>
    </row>
    <row r="227" ht="14.4" customHeight="1">
      <c r="A227" s="173" t="n"/>
      <c r="C227" s="174" t="n">
        <v>4</v>
      </c>
      <c r="G227" s="175" t="n">
        <v>92328</v>
      </c>
      <c r="H227" s="175" t="n">
        <v>99252</v>
      </c>
      <c r="I227" s="175" t="n">
        <v>106002</v>
      </c>
      <c r="J227" s="176" t="n">
        <v>113421</v>
      </c>
      <c r="K227" s="176" t="n">
        <v>120906</v>
      </c>
      <c r="L227" s="175" t="n">
        <v>129852</v>
      </c>
      <c r="M227" s="175" t="n">
        <v>138942</v>
      </c>
      <c r="N227" s="175" t="n">
        <v>149502</v>
      </c>
      <c r="O227" s="175" t="n">
        <v>160416</v>
      </c>
      <c r="P227" s="175" t="n">
        <v>171645</v>
      </c>
      <c r="Q227" s="175" t="n">
        <v>182286</v>
      </c>
    </row>
    <row r="228" ht="14.4" customHeight="1">
      <c r="A228" s="173" t="n"/>
      <c r="C228" s="174" t="n">
        <v>5</v>
      </c>
      <c r="G228" s="175" t="n">
        <v>95097</v>
      </c>
      <c r="H228" s="175" t="n">
        <v>102228</v>
      </c>
      <c r="I228" s="175" t="n">
        <v>109179</v>
      </c>
      <c r="J228" s="176" t="n">
        <v>116823</v>
      </c>
      <c r="K228" s="176" t="n">
        <v>124533</v>
      </c>
      <c r="L228" s="175" t="n">
        <v>133749</v>
      </c>
      <c r="M228" s="175" t="n">
        <v>143112</v>
      </c>
      <c r="N228" s="175" t="n">
        <v>153990</v>
      </c>
      <c r="O228" s="175" t="n">
        <v>165231</v>
      </c>
      <c r="P228" s="175" t="n">
        <v>176796</v>
      </c>
      <c r="Q228" s="175" t="n">
        <v>187758</v>
      </c>
    </row>
    <row r="229" ht="14.4" customHeight="1">
      <c r="A229" s="173" t="n">
        <v>3</v>
      </c>
      <c r="B229" s="529" t="inlineStr">
        <is>
          <t>Child and Youth Care Team Leader Grade 1</t>
        </is>
      </c>
      <c r="C229" s="174" t="n">
        <v>1</v>
      </c>
      <c r="G229" s="175" t="n">
        <v>79641</v>
      </c>
      <c r="H229" s="175" t="n">
        <v>85614</v>
      </c>
      <c r="I229" s="175" t="n">
        <v>91437</v>
      </c>
      <c r="J229" s="176" t="n">
        <v>97839</v>
      </c>
      <c r="K229" s="176" t="n">
        <v>104295</v>
      </c>
      <c r="L229" s="175" t="n">
        <v>112014</v>
      </c>
      <c r="M229" s="175" t="n">
        <v>119856</v>
      </c>
      <c r="N229" s="175" t="n">
        <v>128964</v>
      </c>
      <c r="O229" s="175" t="n">
        <v>138378</v>
      </c>
      <c r="P229" s="175" t="n">
        <v>148065</v>
      </c>
      <c r="Q229" s="175" t="n">
        <v>157245</v>
      </c>
    </row>
    <row r="230" ht="14.4" customHeight="1">
      <c r="A230" s="173" t="n"/>
      <c r="C230" s="174" t="n">
        <v>2</v>
      </c>
      <c r="G230" s="175" t="n">
        <v>82035</v>
      </c>
      <c r="H230" s="175" t="n">
        <v>88188</v>
      </c>
      <c r="I230" s="175" t="n">
        <v>94185</v>
      </c>
      <c r="J230" s="176" t="n">
        <v>100779</v>
      </c>
      <c r="K230" s="176" t="n">
        <v>107430</v>
      </c>
      <c r="L230" s="175" t="n">
        <v>115380</v>
      </c>
      <c r="M230" s="175" t="n">
        <v>123456</v>
      </c>
      <c r="N230" s="175" t="n">
        <v>132840</v>
      </c>
      <c r="O230" s="175" t="n">
        <v>142536</v>
      </c>
      <c r="P230" s="175" t="n">
        <v>152514</v>
      </c>
      <c r="Q230" s="175" t="n">
        <v>161970</v>
      </c>
    </row>
    <row r="231" ht="14.4" customHeight="1">
      <c r="A231" s="173" t="n"/>
      <c r="C231" s="174" t="n">
        <v>3</v>
      </c>
      <c r="G231" s="175" t="n">
        <v>84498</v>
      </c>
      <c r="H231" s="175" t="n">
        <v>90834</v>
      </c>
      <c r="I231" s="175" t="n">
        <v>97011</v>
      </c>
      <c r="J231" s="176" t="n">
        <v>103803</v>
      </c>
      <c r="K231" s="176" t="n">
        <v>110655</v>
      </c>
      <c r="L231" s="175" t="n">
        <v>118842</v>
      </c>
      <c r="M231" s="175" t="n">
        <v>127161</v>
      </c>
      <c r="N231" s="175" t="n">
        <v>136824</v>
      </c>
      <c r="O231" s="175" t="n">
        <v>146811</v>
      </c>
      <c r="P231" s="175" t="n">
        <v>157089</v>
      </c>
      <c r="Q231" s="175" t="n">
        <v>166830</v>
      </c>
    </row>
    <row r="232" ht="14.4" customHeight="1">
      <c r="A232" s="173" t="n"/>
      <c r="C232" s="174" t="n">
        <v>4</v>
      </c>
      <c r="G232" s="175" t="n">
        <v>87030</v>
      </c>
      <c r="H232" s="175" t="n">
        <v>93558</v>
      </c>
      <c r="I232" s="175" t="n">
        <v>99921</v>
      </c>
      <c r="J232" s="176" t="n">
        <v>106914</v>
      </c>
      <c r="K232" s="176" t="n">
        <v>113970</v>
      </c>
      <c r="L232" s="175" t="n">
        <v>122403</v>
      </c>
      <c r="M232" s="175" t="n">
        <v>130971</v>
      </c>
      <c r="N232" s="175" t="n">
        <v>140925</v>
      </c>
      <c r="O232" s="175" t="n">
        <v>151212</v>
      </c>
      <c r="P232" s="175" t="n">
        <v>161796</v>
      </c>
      <c r="Q232" s="175" t="n">
        <v>171828</v>
      </c>
    </row>
    <row r="233" ht="14.4" customHeight="1">
      <c r="A233" s="173" t="n"/>
      <c r="C233" s="174" t="n">
        <v>5</v>
      </c>
      <c r="G233" s="175" t="n">
        <v>89640</v>
      </c>
      <c r="H233" s="175" t="n">
        <v>96363</v>
      </c>
      <c r="I233" s="175" t="n">
        <v>102915</v>
      </c>
      <c r="J233" s="176" t="n">
        <v>110118</v>
      </c>
      <c r="K233" s="176" t="n">
        <v>117387</v>
      </c>
      <c r="L233" s="175" t="n">
        <v>126075</v>
      </c>
      <c r="M233" s="175" t="n">
        <v>134901</v>
      </c>
      <c r="N233" s="175" t="n">
        <v>145152</v>
      </c>
      <c r="O233" s="175" t="n">
        <v>155748</v>
      </c>
      <c r="P233" s="175" t="n">
        <v>166650</v>
      </c>
      <c r="Q233" s="175" t="n">
        <v>176982</v>
      </c>
    </row>
    <row r="234" ht="14.4" customHeight="1">
      <c r="A234" s="173" t="n">
        <v>4</v>
      </c>
      <c r="B234" s="529" t="inlineStr">
        <is>
          <t>Child and Youth Care Team Leader Grade 2</t>
        </is>
      </c>
      <c r="C234" s="174" t="n">
        <v>1</v>
      </c>
      <c r="G234" s="175" t="n">
        <v>95097</v>
      </c>
      <c r="H234" s="175" t="n">
        <v>102228</v>
      </c>
      <c r="I234" s="175" t="n">
        <v>109179</v>
      </c>
      <c r="J234" s="176" t="n">
        <v>116823</v>
      </c>
      <c r="K234" s="176" t="n">
        <v>124533</v>
      </c>
      <c r="L234" s="175" t="n">
        <v>133749</v>
      </c>
      <c r="M234" s="175" t="n">
        <v>143112</v>
      </c>
      <c r="N234" s="175" t="n">
        <v>153990</v>
      </c>
      <c r="O234" s="175" t="n">
        <v>165231</v>
      </c>
      <c r="P234" s="175" t="n">
        <v>176796</v>
      </c>
      <c r="Q234" s="175" t="n">
        <v>187758</v>
      </c>
    </row>
    <row r="235" ht="14.4" customHeight="1">
      <c r="A235" s="173" t="n"/>
      <c r="C235" s="174" t="n">
        <v>2</v>
      </c>
      <c r="G235" s="175" t="n">
        <v>97950</v>
      </c>
      <c r="H235" s="175" t="n">
        <v>105297</v>
      </c>
      <c r="I235" s="175" t="n">
        <v>112458</v>
      </c>
      <c r="J235" s="176" t="n">
        <v>120330</v>
      </c>
      <c r="K235" s="176" t="n">
        <v>128271</v>
      </c>
      <c r="L235" s="175" t="n">
        <v>137763</v>
      </c>
      <c r="M235" s="175" t="n">
        <v>147405</v>
      </c>
      <c r="N235" s="175" t="n">
        <v>158607</v>
      </c>
      <c r="O235" s="175" t="n">
        <v>170184</v>
      </c>
      <c r="P235" s="175" t="n">
        <v>182097</v>
      </c>
      <c r="Q235" s="175" t="n">
        <v>193386</v>
      </c>
    </row>
    <row r="236" ht="14.4" customHeight="1">
      <c r="A236" s="173" t="n"/>
      <c r="C236" s="174" t="n">
        <v>3</v>
      </c>
      <c r="G236" s="175" t="n">
        <v>100887</v>
      </c>
      <c r="H236" s="175" t="n">
        <v>108453</v>
      </c>
      <c r="I236" s="175" t="n">
        <v>115827</v>
      </c>
      <c r="J236" s="176" t="n">
        <v>123936</v>
      </c>
      <c r="K236" s="176" t="n">
        <v>132117</v>
      </c>
      <c r="L236" s="175" t="n">
        <v>141894</v>
      </c>
      <c r="M236" s="175" t="n">
        <v>151827</v>
      </c>
      <c r="N236" s="175" t="n">
        <v>163365</v>
      </c>
      <c r="O236" s="175" t="n">
        <v>175290</v>
      </c>
      <c r="P236" s="175" t="n">
        <v>187560</v>
      </c>
      <c r="Q236" s="175" t="n">
        <v>199188</v>
      </c>
    </row>
    <row r="237" ht="14.4" customHeight="1">
      <c r="A237" s="173" t="n"/>
      <c r="C237" s="174" t="n">
        <v>4</v>
      </c>
      <c r="G237" s="175" t="n">
        <v>103914</v>
      </c>
      <c r="H237" s="175" t="n">
        <v>111708</v>
      </c>
      <c r="I237" s="175" t="n">
        <v>119304</v>
      </c>
      <c r="J237" s="176" t="n">
        <v>127656</v>
      </c>
      <c r="K237" s="176" t="n">
        <v>136080</v>
      </c>
      <c r="L237" s="175" t="n">
        <v>146151</v>
      </c>
      <c r="M237" s="175" t="n">
        <v>156381</v>
      </c>
      <c r="N237" s="175" t="n">
        <v>168267</v>
      </c>
      <c r="O237" s="175" t="n">
        <v>180549</v>
      </c>
      <c r="P237" s="175" t="n">
        <v>193188</v>
      </c>
      <c r="Q237" s="175" t="n">
        <v>205167</v>
      </c>
    </row>
    <row r="238" ht="14.4" customHeight="1">
      <c r="A238" s="173" t="n"/>
      <c r="C238" s="174" t="n">
        <v>5</v>
      </c>
      <c r="G238" s="175" t="n">
        <v>107034</v>
      </c>
      <c r="H238" s="175" t="n">
        <v>115062</v>
      </c>
      <c r="I238" s="175" t="n">
        <v>122886</v>
      </c>
      <c r="J238" s="176" t="n">
        <v>131487</v>
      </c>
      <c r="K238" s="176" t="n">
        <v>140166</v>
      </c>
      <c r="L238" s="175" t="n">
        <v>150537</v>
      </c>
      <c r="M238" s="175" t="n">
        <v>161076</v>
      </c>
      <c r="N238" s="175" t="n">
        <v>173319</v>
      </c>
      <c r="O238" s="175" t="n">
        <v>185970</v>
      </c>
      <c r="P238" s="175" t="n">
        <v>198987</v>
      </c>
      <c r="Q238" s="175" t="n">
        <v>211323</v>
      </c>
    </row>
    <row r="239" ht="14.4" customHeight="1">
      <c r="A239" s="173" t="n"/>
      <c r="C239" s="174" t="n">
        <v>6</v>
      </c>
      <c r="G239" s="175" t="n">
        <v>110244</v>
      </c>
      <c r="H239" s="175" t="n">
        <v>118512</v>
      </c>
      <c r="I239" s="175" t="n">
        <v>126570</v>
      </c>
      <c r="J239" s="176" t="n">
        <v>135429</v>
      </c>
      <c r="K239" s="176" t="n">
        <v>144366</v>
      </c>
      <c r="L239" s="175" t="n">
        <v>155049</v>
      </c>
      <c r="M239" s="175" t="n">
        <v>165903</v>
      </c>
      <c r="N239" s="175" t="n">
        <v>178512</v>
      </c>
      <c r="O239" s="175" t="n">
        <v>191544</v>
      </c>
      <c r="P239" s="175" t="n">
        <v>204951</v>
      </c>
      <c r="Q239" s="175" t="n">
        <v>217659</v>
      </c>
    </row>
    <row r="240" ht="14.4" customHeight="1">
      <c r="A240" s="173" t="n">
        <v>5</v>
      </c>
      <c r="B240" s="529" t="inlineStr">
        <is>
          <t>Child and Youth Care Supervisor  Grade 1</t>
        </is>
      </c>
      <c r="C240" s="174" t="n">
        <v>1</v>
      </c>
      <c r="G240" s="175" t="n">
        <v>100887</v>
      </c>
      <c r="H240" s="175" t="n">
        <v>108453</v>
      </c>
      <c r="I240" s="175" t="n">
        <v>115827</v>
      </c>
      <c r="J240" s="176" t="n">
        <v>123936</v>
      </c>
      <c r="K240" s="176" t="n">
        <v>132117</v>
      </c>
      <c r="L240" s="175" t="n">
        <v>141894</v>
      </c>
      <c r="M240" s="175" t="n">
        <v>151827</v>
      </c>
      <c r="N240" s="175" t="n">
        <v>163365</v>
      </c>
      <c r="O240" s="175" t="n">
        <v>175290</v>
      </c>
      <c r="P240" s="175" t="n">
        <v>187560</v>
      </c>
      <c r="Q240" s="175" t="n">
        <v>199188</v>
      </c>
    </row>
    <row r="241" ht="14.4" customHeight="1">
      <c r="A241" s="173" t="n"/>
      <c r="C241" s="174" t="n">
        <v>2</v>
      </c>
      <c r="G241" s="175" t="n">
        <v>103914</v>
      </c>
      <c r="H241" s="175" t="n">
        <v>111708</v>
      </c>
      <c r="I241" s="175" t="n">
        <v>119304</v>
      </c>
      <c r="J241" s="176" t="n">
        <v>127656</v>
      </c>
      <c r="K241" s="176" t="n">
        <v>136080</v>
      </c>
      <c r="L241" s="175" t="n">
        <v>146151</v>
      </c>
      <c r="M241" s="175" t="n">
        <v>156381</v>
      </c>
      <c r="N241" s="175" t="n">
        <v>168267</v>
      </c>
      <c r="O241" s="175" t="n">
        <v>180549</v>
      </c>
      <c r="P241" s="175" t="n">
        <v>193188</v>
      </c>
      <c r="Q241" s="175" t="n">
        <v>205167</v>
      </c>
    </row>
    <row r="242" ht="14.4" customHeight="1">
      <c r="A242" s="173" t="n"/>
      <c r="C242" s="174" t="n">
        <v>3</v>
      </c>
      <c r="G242" s="175" t="n">
        <v>107034</v>
      </c>
      <c r="H242" s="175" t="n">
        <v>115062</v>
      </c>
      <c r="I242" s="175" t="n">
        <v>122886</v>
      </c>
      <c r="J242" s="176" t="n">
        <v>131487</v>
      </c>
      <c r="K242" s="176" t="n">
        <v>140166</v>
      </c>
      <c r="L242" s="175" t="n">
        <v>150537</v>
      </c>
      <c r="M242" s="175" t="n">
        <v>161076</v>
      </c>
      <c r="N242" s="175" t="n">
        <v>173319</v>
      </c>
      <c r="O242" s="175" t="n">
        <v>185970</v>
      </c>
      <c r="P242" s="175" t="n">
        <v>198987</v>
      </c>
      <c r="Q242" s="175" t="n">
        <v>211323</v>
      </c>
    </row>
    <row r="243" ht="14.4" customHeight="1">
      <c r="A243" s="173" t="n"/>
      <c r="C243" s="174" t="n">
        <v>4</v>
      </c>
      <c r="G243" s="175" t="n">
        <v>110244</v>
      </c>
      <c r="H243" s="175" t="n">
        <v>118512</v>
      </c>
      <c r="I243" s="175" t="n">
        <v>126570</v>
      </c>
      <c r="J243" s="176" t="n">
        <v>135429</v>
      </c>
      <c r="K243" s="176" t="n">
        <v>144366</v>
      </c>
      <c r="L243" s="175" t="n">
        <v>155049</v>
      </c>
      <c r="M243" s="175" t="n">
        <v>165903</v>
      </c>
      <c r="N243" s="175" t="n">
        <v>178512</v>
      </c>
      <c r="O243" s="175" t="n">
        <v>191544</v>
      </c>
      <c r="P243" s="175" t="n">
        <v>204951</v>
      </c>
      <c r="Q243" s="175" t="n">
        <v>217659</v>
      </c>
    </row>
    <row r="244" ht="14.4" customHeight="1">
      <c r="A244" s="173" t="n"/>
      <c r="C244" s="174" t="n">
        <v>5</v>
      </c>
      <c r="G244" s="175" t="n">
        <v>113550</v>
      </c>
      <c r="H244" s="175" t="n">
        <v>122067</v>
      </c>
      <c r="I244" s="175" t="n">
        <v>130368</v>
      </c>
      <c r="J244" s="176" t="n">
        <v>139494</v>
      </c>
      <c r="K244" s="176" t="n">
        <v>148701</v>
      </c>
      <c r="L244" s="175" t="n">
        <v>159705</v>
      </c>
      <c r="M244" s="175" t="n">
        <v>170883</v>
      </c>
      <c r="N244" s="175" t="n">
        <v>183870</v>
      </c>
      <c r="O244" s="175" t="n">
        <v>197292</v>
      </c>
      <c r="P244" s="175" t="n">
        <v>211101</v>
      </c>
      <c r="Q244" s="175" t="n">
        <v>224190</v>
      </c>
    </row>
    <row r="245" ht="14.4" customHeight="1">
      <c r="A245" s="173" t="n">
        <v>6</v>
      </c>
      <c r="B245" s="529" t="inlineStr">
        <is>
          <t>Child and  Youth Care Supervisor Grade 2</t>
        </is>
      </c>
      <c r="C245" s="174" t="n">
        <v>1</v>
      </c>
      <c r="G245" s="175" t="n">
        <v>120468</v>
      </c>
      <c r="H245" s="175" t="n">
        <v>129504</v>
      </c>
      <c r="I245" s="175" t="n">
        <v>138309</v>
      </c>
      <c r="J245" s="176" t="n">
        <v>147990</v>
      </c>
      <c r="K245" s="176" t="n">
        <v>157758</v>
      </c>
      <c r="L245" s="175" t="n">
        <v>169431</v>
      </c>
      <c r="M245" s="175" t="n">
        <v>181290</v>
      </c>
      <c r="N245" s="175" t="n">
        <v>195069</v>
      </c>
      <c r="O245" s="175" t="n">
        <v>209310</v>
      </c>
      <c r="P245" s="175" t="n">
        <v>223962</v>
      </c>
      <c r="Q245" s="175" t="n">
        <v>237849</v>
      </c>
    </row>
    <row r="246" ht="14.4" customHeight="1">
      <c r="A246" s="173" t="n"/>
      <c r="C246" s="174" t="n">
        <v>2</v>
      </c>
      <c r="G246" s="175" t="n">
        <v>124080</v>
      </c>
      <c r="H246" s="175" t="n">
        <v>133386</v>
      </c>
      <c r="I246" s="175" t="n">
        <v>142455</v>
      </c>
      <c r="J246" s="176" t="n">
        <v>152427</v>
      </c>
      <c r="K246" s="176" t="n">
        <v>162486</v>
      </c>
      <c r="L246" s="175" t="n">
        <v>174510</v>
      </c>
      <c r="M246" s="175" t="n">
        <v>186726</v>
      </c>
      <c r="N246" s="175" t="n">
        <v>200916</v>
      </c>
      <c r="O246" s="175" t="n">
        <v>215583</v>
      </c>
      <c r="P246" s="175" t="n">
        <v>230673</v>
      </c>
      <c r="Q246" s="175" t="n">
        <v>244974</v>
      </c>
    </row>
    <row r="247" ht="14.4" customHeight="1">
      <c r="A247" s="173" t="n"/>
      <c r="C247" s="174" t="n">
        <v>3</v>
      </c>
      <c r="G247" s="175" t="n">
        <v>127803</v>
      </c>
      <c r="H247" s="175" t="n">
        <v>137388</v>
      </c>
      <c r="I247" s="175" t="n">
        <v>146730</v>
      </c>
      <c r="J247" s="176" t="n">
        <v>157002</v>
      </c>
      <c r="K247" s="176" t="n">
        <v>167364</v>
      </c>
      <c r="L247" s="175" t="n">
        <v>179748</v>
      </c>
      <c r="M247" s="175" t="n">
        <v>192330</v>
      </c>
      <c r="N247" s="175" t="n">
        <v>206946</v>
      </c>
      <c r="O247" s="175" t="n">
        <v>222054</v>
      </c>
      <c r="P247" s="175" t="n">
        <v>237597</v>
      </c>
      <c r="Q247" s="175" t="n">
        <v>252327</v>
      </c>
    </row>
    <row r="248" ht="14.4" customHeight="1">
      <c r="A248" s="173" t="n"/>
      <c r="C248" s="174" t="n">
        <v>4</v>
      </c>
      <c r="G248" s="175" t="n">
        <v>130467</v>
      </c>
      <c r="H248" s="175" t="n">
        <v>140253</v>
      </c>
      <c r="I248" s="175" t="n">
        <v>149790</v>
      </c>
      <c r="J248" s="176" t="n">
        <v>160275</v>
      </c>
      <c r="K248" s="176" t="n">
        <v>170853</v>
      </c>
      <c r="L248" s="175" t="n">
        <v>183495</v>
      </c>
      <c r="M248" s="175" t="n">
        <v>196341</v>
      </c>
      <c r="N248" s="175" t="n">
        <v>211263</v>
      </c>
      <c r="O248" s="175" t="n">
        <v>226686</v>
      </c>
      <c r="P248" s="175" t="n">
        <v>242553</v>
      </c>
      <c r="Q248" s="175" t="n">
        <v>257592</v>
      </c>
    </row>
    <row r="249" ht="14.4" customHeight="1">
      <c r="A249" s="173" t="n"/>
      <c r="C249" s="174" t="n">
        <v>5</v>
      </c>
      <c r="G249" s="175" t="n">
        <v>134382</v>
      </c>
      <c r="H249" s="175" t="n">
        <v>144462</v>
      </c>
      <c r="I249" s="175" t="n">
        <v>154284</v>
      </c>
      <c r="J249" s="176" t="n">
        <v>165084</v>
      </c>
      <c r="K249" s="176" t="n">
        <v>175980</v>
      </c>
      <c r="L249" s="175" t="n">
        <v>189003</v>
      </c>
      <c r="M249" s="175" t="n">
        <v>202233</v>
      </c>
      <c r="N249" s="175" t="n">
        <v>217602</v>
      </c>
      <c r="O249" s="175" t="n">
        <v>233487</v>
      </c>
      <c r="P249" s="175" t="n">
        <v>249831</v>
      </c>
      <c r="Q249" s="175" t="n">
        <v>265320</v>
      </c>
    </row>
  </sheetData>
  <mergeCells count="39">
    <mergeCell ref="B175:B179"/>
    <mergeCell ref="B72:B73"/>
    <mergeCell ref="B43:B44"/>
    <mergeCell ref="B191:B195"/>
    <mergeCell ref="B245:B249"/>
    <mergeCell ref="B77:B78"/>
    <mergeCell ref="B6:B10"/>
    <mergeCell ref="B186:B190"/>
    <mergeCell ref="B180:B185"/>
    <mergeCell ref="B57:B58"/>
    <mergeCell ref="B207:B211"/>
    <mergeCell ref="B158:B164"/>
    <mergeCell ref="B136:B141"/>
    <mergeCell ref="B88:B89"/>
    <mergeCell ref="B130:B135"/>
    <mergeCell ref="B196:B206"/>
    <mergeCell ref="B37:B38"/>
    <mergeCell ref="B142:B152"/>
    <mergeCell ref="B153:B157"/>
    <mergeCell ref="B83:B84"/>
    <mergeCell ref="B234:B239"/>
    <mergeCell ref="B165:B169"/>
    <mergeCell ref="B99:B100"/>
    <mergeCell ref="B16:B24"/>
    <mergeCell ref="B224:B228"/>
    <mergeCell ref="B111:B115"/>
    <mergeCell ref="B229:B233"/>
    <mergeCell ref="B51:B52"/>
    <mergeCell ref="B219:B223"/>
    <mergeCell ref="B170:B174"/>
    <mergeCell ref="B104:B105"/>
    <mergeCell ref="B11:B15"/>
    <mergeCell ref="B121:B129"/>
    <mergeCell ref="B25:B26"/>
    <mergeCell ref="B240:B244"/>
    <mergeCell ref="B116:B120"/>
    <mergeCell ref="A16:A24"/>
    <mergeCell ref="B212:B217"/>
    <mergeCell ref="B31:B3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6">
    <tabColor theme="6" tint="-0.249977111117893"/>
    <outlinePr summaryBelow="1" summaryRight="1"/>
    <pageSetUpPr/>
  </sheetPr>
  <dimension ref="A1:X38"/>
  <sheetViews>
    <sheetView workbookViewId="0">
      <selection activeCell="F35" sqref="F35"/>
    </sheetView>
  </sheetViews>
  <sheetFormatPr baseColWidth="8" defaultColWidth="8.6640625" defaultRowHeight="13.2"/>
  <cols>
    <col width="4.33203125" customWidth="1" style="208" min="1" max="1"/>
    <col width="8.6640625" customWidth="1" style="208" min="2" max="2"/>
    <col width="10.33203125" bestFit="1" customWidth="1" style="208" min="3" max="3"/>
    <col width="9" bestFit="1" customWidth="1" style="208" min="4" max="8"/>
    <col width="8.6640625" customWidth="1" style="208" min="9" max="20"/>
    <col width="6.33203125" bestFit="1" customWidth="1" style="208" min="21" max="21"/>
    <col width="8.6640625" customWidth="1" style="208" min="22" max="16384"/>
  </cols>
  <sheetData>
    <row r="1">
      <c r="B1" s="208" t="inlineStr">
        <is>
          <t>Age.45</t>
        </is>
      </c>
      <c r="C1" s="209" t="n">
        <v>16438</v>
      </c>
    </row>
    <row r="2">
      <c r="B2" s="208" t="inlineStr">
        <is>
          <t>Nil</t>
        </is>
      </c>
      <c r="C2" s="210" t="n">
        <v>-0.999999999999999</v>
      </c>
    </row>
    <row r="3">
      <c r="C3" s="208" t="n">
        <v>1</v>
      </c>
      <c r="D3" s="208" t="n">
        <v>2</v>
      </c>
      <c r="E3" s="208" t="n">
        <v>3</v>
      </c>
      <c r="F3" s="208" t="n">
        <v>4</v>
      </c>
      <c r="G3" s="208" t="n">
        <v>5</v>
      </c>
      <c r="H3" s="208" t="n">
        <v>6</v>
      </c>
      <c r="J3" s="208" t="n">
        <v>1</v>
      </c>
      <c r="K3" s="208" t="n">
        <v>2</v>
      </c>
      <c r="L3" s="208" t="n">
        <v>3</v>
      </c>
      <c r="M3" s="208" t="n">
        <v>4</v>
      </c>
      <c r="N3" s="208" t="n">
        <v>5</v>
      </c>
      <c r="O3" s="208" t="n">
        <v>6</v>
      </c>
      <c r="P3" s="208" t="n">
        <v>7</v>
      </c>
      <c r="R3" s="208" t="n">
        <v>1</v>
      </c>
      <c r="S3" s="208" t="n">
        <v>2</v>
      </c>
      <c r="T3" s="208" t="n">
        <v>3</v>
      </c>
      <c r="U3" s="208" t="n">
        <v>4</v>
      </c>
      <c r="V3" s="208" t="n">
        <v>5</v>
      </c>
      <c r="W3" s="208" t="n">
        <v>6</v>
      </c>
      <c r="X3" s="208" t="n">
        <v>7</v>
      </c>
    </row>
    <row r="4">
      <c r="A4" s="208" t="n">
        <v>1</v>
      </c>
      <c r="B4" s="537" t="n">
        <v>2023</v>
      </c>
      <c r="I4" s="208" t="n">
        <v>1</v>
      </c>
      <c r="J4" s="537" t="n">
        <v>2022</v>
      </c>
      <c r="Q4" s="208" t="n">
        <v>1</v>
      </c>
      <c r="R4" s="537" t="n">
        <v>2021</v>
      </c>
    </row>
    <row r="5">
      <c r="A5" s="208" t="n">
        <v>2</v>
      </c>
      <c r="B5" s="208" t="n">
        <v>1</v>
      </c>
      <c r="C5" s="670" t="inlineStr">
        <is>
          <t>UNSKILLED</t>
        </is>
      </c>
      <c r="D5" s="671" t="n"/>
      <c r="E5" s="671" t="n"/>
      <c r="F5" s="672" t="inlineStr">
        <is>
          <t>SEMI-SKILLED</t>
        </is>
      </c>
      <c r="G5" s="671" t="n"/>
      <c r="H5" s="673" t="n"/>
      <c r="I5" s="208" t="n">
        <v>2</v>
      </c>
      <c r="J5" s="208" t="n">
        <v>1</v>
      </c>
      <c r="K5" s="670" t="inlineStr">
        <is>
          <t>UNSKILLED</t>
        </is>
      </c>
      <c r="L5" s="671" t="n"/>
      <c r="M5" s="671" t="n"/>
      <c r="N5" s="672" t="inlineStr">
        <is>
          <t>SEMI-SKILLED</t>
        </is>
      </c>
      <c r="O5" s="671" t="n"/>
      <c r="P5" s="673" t="n"/>
      <c r="Q5" s="208" t="n">
        <v>2</v>
      </c>
      <c r="R5" s="208" t="n">
        <v>1</v>
      </c>
      <c r="S5" s="670" t="inlineStr">
        <is>
          <t>UNSKILLED</t>
        </is>
      </c>
      <c r="T5" s="674" t="n"/>
      <c r="U5" s="674" t="n"/>
      <c r="V5" s="534" t="inlineStr">
        <is>
          <t>SEMI-SKILLED</t>
        </is>
      </c>
      <c r="W5" s="535" t="n"/>
      <c r="X5" s="536" t="n"/>
    </row>
    <row r="6">
      <c r="A6" s="208" t="n">
        <v>3</v>
      </c>
      <c r="B6" s="208" t="n">
        <v>2</v>
      </c>
      <c r="C6" s="675" t="inlineStr">
        <is>
          <t>low</t>
        </is>
      </c>
      <c r="D6" s="676" t="inlineStr">
        <is>
          <t>median</t>
        </is>
      </c>
      <c r="E6" s="676" t="inlineStr">
        <is>
          <t>high</t>
        </is>
      </c>
      <c r="F6" s="214" t="inlineStr">
        <is>
          <t>low</t>
        </is>
      </c>
      <c r="G6" s="215" t="inlineStr">
        <is>
          <t>median</t>
        </is>
      </c>
      <c r="H6" s="216" t="inlineStr">
        <is>
          <t>high</t>
        </is>
      </c>
      <c r="I6" s="208" t="n">
        <v>3</v>
      </c>
      <c r="J6" s="208" t="n">
        <v>2</v>
      </c>
      <c r="K6" s="675" t="inlineStr">
        <is>
          <t>low</t>
        </is>
      </c>
      <c r="L6" s="676" t="inlineStr">
        <is>
          <t>median</t>
        </is>
      </c>
      <c r="M6" s="676" t="inlineStr">
        <is>
          <t>high</t>
        </is>
      </c>
      <c r="N6" s="214" t="inlineStr">
        <is>
          <t>low</t>
        </is>
      </c>
      <c r="O6" s="215" t="inlineStr">
        <is>
          <t>median</t>
        </is>
      </c>
      <c r="P6" s="216" t="inlineStr">
        <is>
          <t>high</t>
        </is>
      </c>
      <c r="Q6" s="208" t="n">
        <v>3</v>
      </c>
      <c r="R6" s="208" t="n">
        <v>2</v>
      </c>
      <c r="S6" s="675" t="inlineStr">
        <is>
          <t>low</t>
        </is>
      </c>
      <c r="T6" s="676" t="inlineStr">
        <is>
          <t>median</t>
        </is>
      </c>
      <c r="U6" s="676" t="inlineStr">
        <is>
          <t>high</t>
        </is>
      </c>
      <c r="V6" s="214" t="inlineStr">
        <is>
          <t>low</t>
        </is>
      </c>
      <c r="W6" s="215" t="inlineStr">
        <is>
          <t>median</t>
        </is>
      </c>
      <c r="X6" s="216" t="inlineStr">
        <is>
          <t>high</t>
        </is>
      </c>
    </row>
    <row r="7">
      <c r="A7" s="208" t="n">
        <v>4</v>
      </c>
      <c r="B7" s="208" t="n">
        <v>3</v>
      </c>
      <c r="C7" s="675" t="n">
        <v>24200</v>
      </c>
      <c r="D7" s="676" t="n">
        <v>43700</v>
      </c>
      <c r="E7" s="676" t="n">
        <v>97000</v>
      </c>
      <c r="F7" s="675" t="n">
        <v>34200</v>
      </c>
      <c r="G7" s="676" t="n">
        <v>72100</v>
      </c>
      <c r="H7" s="676" t="n">
        <v>191000</v>
      </c>
      <c r="I7" s="208" t="n">
        <v>4</v>
      </c>
      <c r="J7" s="208" t="n">
        <v>3</v>
      </c>
      <c r="K7" s="675" t="n">
        <v>24200</v>
      </c>
      <c r="L7" s="676" t="n">
        <v>43700</v>
      </c>
      <c r="M7" s="676" t="n">
        <v>97000</v>
      </c>
      <c r="N7" s="675" t="n">
        <v>34200</v>
      </c>
      <c r="O7" s="676" t="n">
        <v>72100</v>
      </c>
      <c r="P7" s="676" t="n">
        <v>191000</v>
      </c>
      <c r="Q7" s="208" t="n">
        <v>4</v>
      </c>
      <c r="R7" s="208" t="n">
        <v>3</v>
      </c>
      <c r="S7" s="675" t="n">
        <v>21400</v>
      </c>
      <c r="T7" s="676" t="n">
        <v>37200</v>
      </c>
      <c r="U7" s="676" t="n">
        <v>88000</v>
      </c>
      <c r="V7" s="675" t="n">
        <v>37200</v>
      </c>
      <c r="W7" s="676" t="n">
        <v>88000</v>
      </c>
      <c r="X7" s="676" t="n">
        <v>193000</v>
      </c>
    </row>
    <row r="8">
      <c r="C8" s="677" t="n"/>
      <c r="D8" s="677" t="n"/>
      <c r="E8" s="677" t="n"/>
      <c r="F8" s="677" t="n"/>
      <c r="G8" s="677" t="n"/>
      <c r="H8" s="677" t="n"/>
      <c r="K8" s="677" t="n"/>
      <c r="L8" s="677" t="n"/>
      <c r="M8" s="677" t="n"/>
      <c r="N8" s="677" t="n"/>
      <c r="O8" s="677" t="n"/>
      <c r="P8" s="677" t="n"/>
      <c r="S8" s="677" t="n"/>
      <c r="T8" s="677" t="n"/>
      <c r="U8" s="677" t="n"/>
      <c r="V8" s="677" t="n"/>
      <c r="W8" s="677" t="n"/>
      <c r="X8" s="677" t="n"/>
    </row>
    <row r="9">
      <c r="A9" s="208" t="n">
        <v>5</v>
      </c>
      <c r="C9" s="208">
        <f>_xlfn.CONCAT(C11,C12)</f>
        <v/>
      </c>
      <c r="D9" s="208">
        <f>_xlfn.CONCAT(D11,D12)</f>
        <v/>
      </c>
      <c r="E9" s="208">
        <f>_xlfn.CONCAT(E11,E12)</f>
        <v/>
      </c>
      <c r="F9" s="208">
        <f>_xlfn.CONCAT(F11,F12)</f>
        <v/>
      </c>
      <c r="G9" s="208">
        <f>_xlfn.CONCAT(G11,G12)</f>
        <v/>
      </c>
      <c r="H9" s="208">
        <f>_xlfn.CONCAT(H11,H12)</f>
        <v/>
      </c>
      <c r="I9" s="208" t="n">
        <v>5</v>
      </c>
      <c r="Q9" s="208" t="n">
        <v>5</v>
      </c>
    </row>
    <row r="10">
      <c r="A10" s="208" t="n">
        <v>6</v>
      </c>
      <c r="B10" s="537" t="n">
        <v>2023</v>
      </c>
      <c r="I10" s="208" t="n">
        <v>6</v>
      </c>
      <c r="J10" s="537" t="n">
        <v>2022</v>
      </c>
      <c r="Q10" s="208" t="n">
        <v>6</v>
      </c>
      <c r="R10" s="537" t="n">
        <v>2021</v>
      </c>
    </row>
    <row r="11">
      <c r="A11" s="208" t="n">
        <v>7</v>
      </c>
      <c r="B11" s="217" t="n"/>
      <c r="C11" s="670" t="inlineStr">
        <is>
          <t>b</t>
        </is>
      </c>
      <c r="D11" s="674" t="inlineStr">
        <is>
          <t>b</t>
        </is>
      </c>
      <c r="E11" s="678" t="inlineStr">
        <is>
          <t>b</t>
        </is>
      </c>
      <c r="F11" s="534" t="inlineStr">
        <is>
          <t>t</t>
        </is>
      </c>
      <c r="G11" s="535" t="inlineStr">
        <is>
          <t>t</t>
        </is>
      </c>
      <c r="H11" s="536" t="inlineStr">
        <is>
          <t>t</t>
        </is>
      </c>
      <c r="I11" s="208" t="n">
        <v>7</v>
      </c>
      <c r="J11" s="217" t="n"/>
      <c r="K11" s="679" t="inlineStr">
        <is>
          <t>BASIC</t>
        </is>
      </c>
      <c r="L11" s="671" t="n"/>
      <c r="M11" s="673" t="n"/>
      <c r="N11" s="672" t="inlineStr">
        <is>
          <t>TOTAL</t>
        </is>
      </c>
      <c r="O11" s="671" t="n"/>
      <c r="P11" s="673" t="n"/>
      <c r="Q11" s="208" t="n">
        <v>7</v>
      </c>
      <c r="R11" s="217" t="n"/>
      <c r="S11" s="670" t="inlineStr">
        <is>
          <t>BASIC</t>
        </is>
      </c>
      <c r="T11" s="674" t="n"/>
      <c r="U11" s="678" t="n"/>
      <c r="V11" s="534" t="inlineStr">
        <is>
          <t>TOTAL</t>
        </is>
      </c>
      <c r="W11" s="535" t="n"/>
      <c r="X11" s="536" t="n"/>
    </row>
    <row r="12">
      <c r="A12" s="208" t="n">
        <v>8</v>
      </c>
      <c r="B12" s="218" t="n"/>
      <c r="C12" s="680" t="inlineStr">
        <is>
          <t>low</t>
        </is>
      </c>
      <c r="D12" s="677" t="inlineStr">
        <is>
          <t>median</t>
        </is>
      </c>
      <c r="E12" s="681" t="inlineStr">
        <is>
          <t>high</t>
        </is>
      </c>
      <c r="F12" s="222" t="inlineStr">
        <is>
          <t>low</t>
        </is>
      </c>
      <c r="G12" s="211" t="inlineStr">
        <is>
          <t>median</t>
        </is>
      </c>
      <c r="H12" s="223" t="inlineStr">
        <is>
          <t>high</t>
        </is>
      </c>
      <c r="I12" s="208" t="n">
        <v>8</v>
      </c>
      <c r="J12" s="218" t="n"/>
      <c r="K12" s="680" t="inlineStr">
        <is>
          <t>low</t>
        </is>
      </c>
      <c r="L12" s="677" t="inlineStr">
        <is>
          <t>median</t>
        </is>
      </c>
      <c r="M12" s="681" t="inlineStr">
        <is>
          <t>high</t>
        </is>
      </c>
      <c r="N12" s="222" t="inlineStr">
        <is>
          <t>low</t>
        </is>
      </c>
      <c r="O12" s="211" t="inlineStr">
        <is>
          <t>median</t>
        </is>
      </c>
      <c r="P12" s="223" t="inlineStr">
        <is>
          <t>high</t>
        </is>
      </c>
      <c r="Q12" s="208" t="n">
        <v>8</v>
      </c>
      <c r="R12" s="218" t="n"/>
      <c r="S12" s="680" t="inlineStr">
        <is>
          <t>low</t>
        </is>
      </c>
      <c r="T12" s="677" t="inlineStr">
        <is>
          <t>median</t>
        </is>
      </c>
      <c r="U12" s="681" t="inlineStr">
        <is>
          <t>high</t>
        </is>
      </c>
      <c r="V12" s="222" t="inlineStr">
        <is>
          <t>low</t>
        </is>
      </c>
      <c r="W12" s="211" t="inlineStr">
        <is>
          <t>median</t>
        </is>
      </c>
      <c r="X12" s="223" t="inlineStr">
        <is>
          <t>high</t>
        </is>
      </c>
    </row>
    <row r="13">
      <c r="A13" s="208" t="n">
        <v>9</v>
      </c>
      <c r="B13" s="224" t="inlineStr">
        <is>
          <t>A1+</t>
        </is>
      </c>
      <c r="C13" s="682" t="n">
        <v>95000</v>
      </c>
      <c r="D13" s="683" t="n">
        <v>114000</v>
      </c>
      <c r="E13" s="684" t="n">
        <v>137000</v>
      </c>
      <c r="F13" s="682" t="n">
        <v>124000</v>
      </c>
      <c r="G13" s="683" t="n">
        <v>144000</v>
      </c>
      <c r="H13" s="684" t="n">
        <v>175000</v>
      </c>
      <c r="I13" s="208" t="n">
        <v>9</v>
      </c>
      <c r="J13" s="224" t="inlineStr">
        <is>
          <t>A1</t>
        </is>
      </c>
      <c r="K13" s="682" t="n">
        <v>95000</v>
      </c>
      <c r="L13" s="683" t="n">
        <v>114000</v>
      </c>
      <c r="M13" s="684" t="n">
        <v>137000</v>
      </c>
      <c r="N13" s="682" t="n">
        <v>124000</v>
      </c>
      <c r="O13" s="683" t="n">
        <v>144000</v>
      </c>
      <c r="P13" s="684" t="n">
        <v>175000</v>
      </c>
      <c r="Q13" s="208" t="n">
        <v>9</v>
      </c>
      <c r="R13" s="224" t="inlineStr">
        <is>
          <t>A1</t>
        </is>
      </c>
      <c r="S13" s="682" t="n">
        <v>93000</v>
      </c>
      <c r="T13" s="683" t="n">
        <v>111000</v>
      </c>
      <c r="U13" s="684" t="n">
        <v>134000</v>
      </c>
      <c r="V13" s="682" t="n">
        <v>121000</v>
      </c>
      <c r="W13" s="683" t="n">
        <v>141000</v>
      </c>
      <c r="X13" s="684" t="n">
        <v>170000</v>
      </c>
    </row>
    <row r="14">
      <c r="A14" s="208" t="n">
        <v>10</v>
      </c>
      <c r="B14" s="222" t="inlineStr">
        <is>
          <t>A2+</t>
        </is>
      </c>
      <c r="C14" s="685" t="n">
        <v>111000</v>
      </c>
      <c r="D14" s="686" t="n">
        <v>129000</v>
      </c>
      <c r="E14" s="687" t="n">
        <v>155000</v>
      </c>
      <c r="F14" s="685" t="n">
        <v>141000</v>
      </c>
      <c r="G14" s="686" t="n">
        <v>164000</v>
      </c>
      <c r="H14" s="687" t="n">
        <v>191000</v>
      </c>
      <c r="I14" s="208" t="n">
        <v>10</v>
      </c>
      <c r="J14" s="222" t="inlineStr">
        <is>
          <t>A2</t>
        </is>
      </c>
      <c r="K14" s="685" t="n">
        <v>111000</v>
      </c>
      <c r="L14" s="686" t="n">
        <v>129000</v>
      </c>
      <c r="M14" s="687" t="n">
        <v>155000</v>
      </c>
      <c r="N14" s="685" t="n">
        <v>141000</v>
      </c>
      <c r="O14" s="686" t="n">
        <v>164000</v>
      </c>
      <c r="P14" s="687" t="n">
        <v>191000</v>
      </c>
      <c r="Q14" s="208" t="n">
        <v>10</v>
      </c>
      <c r="R14" s="222" t="inlineStr">
        <is>
          <t>A2</t>
        </is>
      </c>
      <c r="S14" s="685" t="n">
        <v>108000</v>
      </c>
      <c r="T14" s="686" t="n">
        <v>126000</v>
      </c>
      <c r="U14" s="687" t="n">
        <v>151000</v>
      </c>
      <c r="V14" s="685" t="n">
        <v>138000</v>
      </c>
      <c r="W14" s="686" t="n">
        <v>160000</v>
      </c>
      <c r="X14" s="687" t="n">
        <v>187000</v>
      </c>
    </row>
    <row r="15">
      <c r="A15" s="208" t="n">
        <v>11</v>
      </c>
      <c r="B15" s="214" t="inlineStr">
        <is>
          <t>A3+</t>
        </is>
      </c>
      <c r="C15" s="688" t="n">
        <v>127000</v>
      </c>
      <c r="D15" s="689" t="n">
        <v>149000</v>
      </c>
      <c r="E15" s="690" t="n">
        <v>177000</v>
      </c>
      <c r="F15" s="688" t="n">
        <v>163000</v>
      </c>
      <c r="G15" s="689" t="n">
        <v>188000</v>
      </c>
      <c r="H15" s="690" t="n">
        <v>223000</v>
      </c>
      <c r="I15" s="208" t="n">
        <v>11</v>
      </c>
      <c r="J15" s="214" t="inlineStr">
        <is>
          <t>A3</t>
        </is>
      </c>
      <c r="K15" s="688" t="n">
        <v>127000</v>
      </c>
      <c r="L15" s="689" t="n">
        <v>149000</v>
      </c>
      <c r="M15" s="690" t="n">
        <v>177000</v>
      </c>
      <c r="N15" s="688" t="n">
        <v>163000</v>
      </c>
      <c r="O15" s="689" t="n">
        <v>188000</v>
      </c>
      <c r="P15" s="690" t="n">
        <v>223000</v>
      </c>
      <c r="Q15" s="208" t="n">
        <v>11</v>
      </c>
      <c r="R15" s="214" t="inlineStr">
        <is>
          <t>A3</t>
        </is>
      </c>
      <c r="S15" s="688" t="n">
        <v>124000</v>
      </c>
      <c r="T15" s="689" t="n">
        <v>145000</v>
      </c>
      <c r="U15" s="690" t="n">
        <v>173000</v>
      </c>
      <c r="V15" s="688" t="n">
        <v>159000</v>
      </c>
      <c r="W15" s="689" t="n">
        <v>184000</v>
      </c>
      <c r="X15" s="690" t="n">
        <v>217000</v>
      </c>
    </row>
    <row r="16">
      <c r="A16" s="208" t="n">
        <v>12</v>
      </c>
      <c r="B16" s="224" t="inlineStr">
        <is>
          <t>B1</t>
        </is>
      </c>
      <c r="C16" s="682" t="n">
        <v>144000</v>
      </c>
      <c r="D16" s="683" t="n">
        <v>172000</v>
      </c>
      <c r="E16" s="684" t="n">
        <v>201000</v>
      </c>
      <c r="F16" s="682" t="n">
        <v>192000</v>
      </c>
      <c r="G16" s="683" t="n">
        <v>224000</v>
      </c>
      <c r="H16" s="684" t="n">
        <v>261000</v>
      </c>
      <c r="I16" s="208" t="n">
        <v>12</v>
      </c>
      <c r="J16" s="224" t="inlineStr">
        <is>
          <t>B1</t>
        </is>
      </c>
      <c r="K16" s="682" t="n">
        <v>144000</v>
      </c>
      <c r="L16" s="683" t="n">
        <v>172000</v>
      </c>
      <c r="M16" s="684" t="n">
        <v>201000</v>
      </c>
      <c r="N16" s="682" t="n">
        <v>192000</v>
      </c>
      <c r="O16" s="683" t="n">
        <v>224000</v>
      </c>
      <c r="P16" s="684" t="n">
        <v>261000</v>
      </c>
      <c r="Q16" s="208" t="n">
        <v>12</v>
      </c>
      <c r="R16" s="224" t="inlineStr">
        <is>
          <t>B1</t>
        </is>
      </c>
      <c r="S16" s="682" t="n">
        <v>141000</v>
      </c>
      <c r="T16" s="683" t="n">
        <v>167000</v>
      </c>
      <c r="U16" s="684" t="n">
        <v>196000</v>
      </c>
      <c r="V16" s="682" t="n">
        <v>188000</v>
      </c>
      <c r="W16" s="683" t="n">
        <v>218000</v>
      </c>
      <c r="X16" s="684" t="n">
        <v>255000</v>
      </c>
    </row>
    <row r="17">
      <c r="A17" s="208" t="n">
        <v>13</v>
      </c>
      <c r="B17" s="222" t="inlineStr">
        <is>
          <t>B2</t>
        </is>
      </c>
      <c r="C17" s="685" t="n">
        <v>165000</v>
      </c>
      <c r="D17" s="686" t="n">
        <v>196000</v>
      </c>
      <c r="E17" s="687" t="n">
        <v>224000</v>
      </c>
      <c r="F17" s="685" t="n">
        <v>216000</v>
      </c>
      <c r="G17" s="686" t="n">
        <v>254000</v>
      </c>
      <c r="H17" s="687" t="n">
        <v>292000</v>
      </c>
      <c r="I17" s="208" t="n">
        <v>13</v>
      </c>
      <c r="J17" s="222" t="inlineStr">
        <is>
          <t>B2</t>
        </is>
      </c>
      <c r="K17" s="685" t="n">
        <v>165000</v>
      </c>
      <c r="L17" s="686" t="n">
        <v>196000</v>
      </c>
      <c r="M17" s="687" t="n">
        <v>224000</v>
      </c>
      <c r="N17" s="685" t="n">
        <v>216000</v>
      </c>
      <c r="O17" s="686" t="n">
        <v>254000</v>
      </c>
      <c r="P17" s="687" t="n">
        <v>292000</v>
      </c>
      <c r="Q17" s="208" t="n">
        <v>13</v>
      </c>
      <c r="R17" s="222" t="inlineStr">
        <is>
          <t>B2</t>
        </is>
      </c>
      <c r="S17" s="685" t="n">
        <v>161000</v>
      </c>
      <c r="T17" s="686" t="n">
        <v>191000</v>
      </c>
      <c r="U17" s="687" t="n">
        <v>218000</v>
      </c>
      <c r="V17" s="685" t="n">
        <v>211000</v>
      </c>
      <c r="W17" s="686" t="n">
        <v>248000</v>
      </c>
      <c r="X17" s="687" t="n">
        <v>285000</v>
      </c>
    </row>
    <row r="18">
      <c r="A18" s="208" t="n">
        <v>14</v>
      </c>
      <c r="B18" s="222" t="inlineStr">
        <is>
          <t>B3</t>
        </is>
      </c>
      <c r="C18" s="685" t="n">
        <v>188000</v>
      </c>
      <c r="D18" s="686" t="n">
        <v>218000</v>
      </c>
      <c r="E18" s="687" t="n">
        <v>249000</v>
      </c>
      <c r="F18" s="685" t="n">
        <v>244000</v>
      </c>
      <c r="G18" s="686" t="n">
        <v>281000</v>
      </c>
      <c r="H18" s="687" t="n">
        <v>314000</v>
      </c>
      <c r="I18" s="208" t="n">
        <v>14</v>
      </c>
      <c r="J18" s="222" t="inlineStr">
        <is>
          <t>B3</t>
        </is>
      </c>
      <c r="K18" s="685" t="n">
        <v>188000</v>
      </c>
      <c r="L18" s="686" t="n">
        <v>218000</v>
      </c>
      <c r="M18" s="687" t="n">
        <v>249000</v>
      </c>
      <c r="N18" s="685" t="n">
        <v>244000</v>
      </c>
      <c r="O18" s="686" t="n">
        <v>281000</v>
      </c>
      <c r="P18" s="687" t="n">
        <v>314000</v>
      </c>
      <c r="Q18" s="208" t="n">
        <v>14</v>
      </c>
      <c r="R18" s="222" t="inlineStr">
        <is>
          <t>B3</t>
        </is>
      </c>
      <c r="S18" s="685" t="n">
        <v>184000</v>
      </c>
      <c r="T18" s="686" t="n">
        <v>212000</v>
      </c>
      <c r="U18" s="687" t="n">
        <v>243000</v>
      </c>
      <c r="V18" s="685" t="n">
        <v>238000</v>
      </c>
      <c r="W18" s="686" t="n">
        <v>275000</v>
      </c>
      <c r="X18" s="687" t="n">
        <v>306000</v>
      </c>
    </row>
    <row r="19">
      <c r="A19" s="208" t="n">
        <v>15</v>
      </c>
      <c r="B19" s="222" t="inlineStr">
        <is>
          <t>B4</t>
        </is>
      </c>
      <c r="C19" s="685" t="n">
        <v>218000</v>
      </c>
      <c r="D19" s="686" t="n">
        <v>248000</v>
      </c>
      <c r="E19" s="687" t="n">
        <v>288000</v>
      </c>
      <c r="F19" s="685" t="n">
        <v>282000</v>
      </c>
      <c r="G19" s="686" t="n">
        <v>332000</v>
      </c>
      <c r="H19" s="687" t="n">
        <v>383000</v>
      </c>
      <c r="I19" s="208" t="n">
        <v>15</v>
      </c>
      <c r="J19" s="222" t="inlineStr">
        <is>
          <t>B4</t>
        </is>
      </c>
      <c r="K19" s="685" t="n">
        <v>218000</v>
      </c>
      <c r="L19" s="686" t="n">
        <v>248000</v>
      </c>
      <c r="M19" s="687" t="n">
        <v>288000</v>
      </c>
      <c r="N19" s="685" t="n">
        <v>282000</v>
      </c>
      <c r="O19" s="686" t="n">
        <v>332000</v>
      </c>
      <c r="P19" s="687" t="n">
        <v>383000</v>
      </c>
      <c r="Q19" s="208" t="n">
        <v>15</v>
      </c>
      <c r="R19" s="222" t="inlineStr">
        <is>
          <t>B4</t>
        </is>
      </c>
      <c r="S19" s="685" t="n">
        <v>212000</v>
      </c>
      <c r="T19" s="686" t="n">
        <v>242000</v>
      </c>
      <c r="U19" s="687" t="n">
        <v>281000</v>
      </c>
      <c r="V19" s="685" t="n">
        <v>276000</v>
      </c>
      <c r="W19" s="686" t="n">
        <v>324000</v>
      </c>
      <c r="X19" s="687" t="n">
        <v>374000</v>
      </c>
    </row>
    <row r="20">
      <c r="A20" s="208" t="n">
        <v>16</v>
      </c>
      <c r="B20" s="214" t="inlineStr">
        <is>
          <t>B5</t>
        </is>
      </c>
      <c r="C20" s="688" t="n">
        <v>254000</v>
      </c>
      <c r="D20" s="689" t="n">
        <v>290000</v>
      </c>
      <c r="E20" s="690" t="n">
        <v>349000</v>
      </c>
      <c r="F20" s="688" t="n">
        <v>338000</v>
      </c>
      <c r="G20" s="689" t="n">
        <v>383000</v>
      </c>
      <c r="H20" s="690" t="n">
        <v>459000</v>
      </c>
      <c r="I20" s="208" t="n">
        <v>16</v>
      </c>
      <c r="J20" s="214" t="inlineStr">
        <is>
          <t>B5</t>
        </is>
      </c>
      <c r="K20" s="688" t="n">
        <v>254000</v>
      </c>
      <c r="L20" s="689" t="n">
        <v>290000</v>
      </c>
      <c r="M20" s="690" t="n">
        <v>349000</v>
      </c>
      <c r="N20" s="688" t="n">
        <v>338000</v>
      </c>
      <c r="O20" s="689" t="n">
        <v>383000</v>
      </c>
      <c r="P20" s="690" t="n">
        <v>459000</v>
      </c>
      <c r="Q20" s="208" t="n">
        <v>16</v>
      </c>
      <c r="R20" s="214" t="inlineStr">
        <is>
          <t>B5</t>
        </is>
      </c>
      <c r="S20" s="688" t="n">
        <v>248000</v>
      </c>
      <c r="T20" s="689" t="n">
        <v>283000</v>
      </c>
      <c r="U20" s="690" t="n">
        <v>341000</v>
      </c>
      <c r="V20" s="688" t="n">
        <v>330000</v>
      </c>
      <c r="W20" s="689" t="n">
        <v>374000</v>
      </c>
      <c r="X20" s="690" t="n">
        <v>448000</v>
      </c>
    </row>
    <row r="21">
      <c r="A21" s="208" t="n">
        <v>17</v>
      </c>
      <c r="B21" s="222" t="inlineStr">
        <is>
          <t>C1</t>
        </is>
      </c>
      <c r="C21" s="685" t="n">
        <v>294000</v>
      </c>
      <c r="D21" s="686" t="n">
        <v>349000</v>
      </c>
      <c r="E21" s="687" t="n">
        <v>416000</v>
      </c>
      <c r="F21" s="685" t="n">
        <v>414000</v>
      </c>
      <c r="G21" s="686" t="n">
        <v>470000</v>
      </c>
      <c r="H21" s="687" t="n">
        <v>547000</v>
      </c>
      <c r="I21" s="208" t="n">
        <v>17</v>
      </c>
      <c r="J21" s="222" t="inlineStr">
        <is>
          <t>C1</t>
        </is>
      </c>
      <c r="K21" s="685" t="n">
        <v>294000</v>
      </c>
      <c r="L21" s="686" t="n">
        <v>349000</v>
      </c>
      <c r="M21" s="687" t="n">
        <v>416000</v>
      </c>
      <c r="N21" s="685" t="n">
        <v>414000</v>
      </c>
      <c r="O21" s="686" t="n">
        <v>470000</v>
      </c>
      <c r="P21" s="687" t="n">
        <v>547000</v>
      </c>
      <c r="Q21" s="208" t="n">
        <v>17</v>
      </c>
      <c r="R21" s="222" t="inlineStr">
        <is>
          <t>C1</t>
        </is>
      </c>
      <c r="S21" s="685" t="n">
        <v>287000</v>
      </c>
      <c r="T21" s="686" t="n">
        <v>341000</v>
      </c>
      <c r="U21" s="687" t="n">
        <v>406000</v>
      </c>
      <c r="V21" s="685" t="n">
        <v>404000</v>
      </c>
      <c r="W21" s="686" t="n">
        <v>458000</v>
      </c>
      <c r="X21" s="687" t="n">
        <v>534000</v>
      </c>
    </row>
    <row r="22">
      <c r="A22" s="208" t="n">
        <v>18</v>
      </c>
      <c r="B22" s="222" t="inlineStr">
        <is>
          <t>C2</t>
        </is>
      </c>
      <c r="C22" s="685" t="n">
        <v>325000</v>
      </c>
      <c r="D22" s="686" t="n">
        <v>380000</v>
      </c>
      <c r="E22" s="687" t="n">
        <v>448000</v>
      </c>
      <c r="F22" s="685" t="n">
        <v>439000</v>
      </c>
      <c r="G22" s="686" t="n">
        <v>511000</v>
      </c>
      <c r="H22" s="687" t="n">
        <v>593000</v>
      </c>
      <c r="I22" s="208" t="n">
        <v>18</v>
      </c>
      <c r="J22" s="222" t="inlineStr">
        <is>
          <t>C2</t>
        </is>
      </c>
      <c r="K22" s="685" t="n">
        <v>325000</v>
      </c>
      <c r="L22" s="686" t="n">
        <v>380000</v>
      </c>
      <c r="M22" s="687" t="n">
        <v>448000</v>
      </c>
      <c r="N22" s="685" t="n">
        <v>439000</v>
      </c>
      <c r="O22" s="686" t="n">
        <v>511000</v>
      </c>
      <c r="P22" s="687" t="n">
        <v>593000</v>
      </c>
      <c r="Q22" s="208" t="n">
        <v>18</v>
      </c>
      <c r="R22" s="222" t="inlineStr">
        <is>
          <t>C2</t>
        </is>
      </c>
      <c r="S22" s="685" t="n">
        <v>317000</v>
      </c>
      <c r="T22" s="686" t="n">
        <v>371000</v>
      </c>
      <c r="U22" s="687" t="n">
        <v>437000</v>
      </c>
      <c r="V22" s="685" t="n">
        <v>429000</v>
      </c>
      <c r="W22" s="686" t="n">
        <v>499000</v>
      </c>
      <c r="X22" s="687" t="n">
        <v>579000</v>
      </c>
    </row>
    <row r="23">
      <c r="A23" s="208" t="n">
        <v>19</v>
      </c>
      <c r="B23" s="222" t="inlineStr">
        <is>
          <t>C3</t>
        </is>
      </c>
      <c r="C23" s="685" t="n">
        <v>378000</v>
      </c>
      <c r="D23" s="686" t="n">
        <v>432000</v>
      </c>
      <c r="E23" s="687" t="n">
        <v>511000</v>
      </c>
      <c r="F23" s="685" t="n">
        <v>531000</v>
      </c>
      <c r="G23" s="686" t="n">
        <v>596000</v>
      </c>
      <c r="H23" s="687" t="n">
        <v>710000</v>
      </c>
      <c r="I23" s="208" t="n">
        <v>19</v>
      </c>
      <c r="J23" s="222" t="inlineStr">
        <is>
          <t>C3</t>
        </is>
      </c>
      <c r="K23" s="685" t="n">
        <v>378000</v>
      </c>
      <c r="L23" s="686" t="n">
        <v>432000</v>
      </c>
      <c r="M23" s="687" t="n">
        <v>511000</v>
      </c>
      <c r="N23" s="685" t="n">
        <v>531000</v>
      </c>
      <c r="O23" s="686" t="n">
        <v>596000</v>
      </c>
      <c r="P23" s="687" t="n">
        <v>710000</v>
      </c>
      <c r="Q23" s="208" t="n">
        <v>19</v>
      </c>
      <c r="R23" s="222" t="inlineStr">
        <is>
          <t>C3</t>
        </is>
      </c>
      <c r="S23" s="685" t="n">
        <v>369000</v>
      </c>
      <c r="T23" s="686" t="n">
        <v>422000</v>
      </c>
      <c r="U23" s="687" t="n">
        <v>499000</v>
      </c>
      <c r="V23" s="685" t="n">
        <v>519000</v>
      </c>
      <c r="W23" s="686" t="n">
        <v>582000</v>
      </c>
      <c r="X23" s="687" t="n">
        <v>693000</v>
      </c>
    </row>
    <row r="24">
      <c r="A24" s="208" t="n">
        <v>20</v>
      </c>
      <c r="B24" s="222" t="inlineStr">
        <is>
          <t>C4</t>
        </is>
      </c>
      <c r="C24" s="685" t="n">
        <v>431000</v>
      </c>
      <c r="D24" s="686" t="n">
        <v>509000</v>
      </c>
      <c r="E24" s="687" t="n">
        <v>607000</v>
      </c>
      <c r="F24" s="685" t="n">
        <v>624000</v>
      </c>
      <c r="G24" s="686" t="n">
        <v>710000</v>
      </c>
      <c r="H24" s="687" t="n">
        <v>844000</v>
      </c>
      <c r="I24" s="208" t="n">
        <v>20</v>
      </c>
      <c r="J24" s="222" t="inlineStr">
        <is>
          <t>C4</t>
        </is>
      </c>
      <c r="K24" s="685" t="n">
        <v>431000</v>
      </c>
      <c r="L24" s="686" t="n">
        <v>509000</v>
      </c>
      <c r="M24" s="687" t="n">
        <v>607000</v>
      </c>
      <c r="N24" s="685" t="n">
        <v>624000</v>
      </c>
      <c r="O24" s="686" t="n">
        <v>710000</v>
      </c>
      <c r="P24" s="687" t="n">
        <v>844000</v>
      </c>
      <c r="Q24" s="208" t="n">
        <v>20</v>
      </c>
      <c r="R24" s="222" t="inlineStr">
        <is>
          <t>C4</t>
        </is>
      </c>
      <c r="S24" s="685" t="n">
        <v>421000</v>
      </c>
      <c r="T24" s="686" t="n">
        <v>497000</v>
      </c>
      <c r="U24" s="687" t="n">
        <v>592000</v>
      </c>
      <c r="V24" s="685" t="n">
        <v>609000</v>
      </c>
      <c r="W24" s="686" t="n">
        <v>693000</v>
      </c>
      <c r="X24" s="687" t="n">
        <v>824000</v>
      </c>
    </row>
    <row r="25">
      <c r="A25" s="208" t="n">
        <v>21</v>
      </c>
      <c r="B25" s="222" t="inlineStr">
        <is>
          <t>C5</t>
        </is>
      </c>
      <c r="C25" s="685" t="n">
        <v>501000</v>
      </c>
      <c r="D25" s="686" t="n">
        <v>592000</v>
      </c>
      <c r="E25" s="687" t="n">
        <v>699000</v>
      </c>
      <c r="F25" s="685" t="n">
        <v>738000</v>
      </c>
      <c r="G25" s="686" t="n">
        <v>828000</v>
      </c>
      <c r="H25" s="687" t="n">
        <v>982000</v>
      </c>
      <c r="I25" s="208" t="n">
        <v>21</v>
      </c>
      <c r="J25" s="222" t="inlineStr">
        <is>
          <t>C5</t>
        </is>
      </c>
      <c r="K25" s="685" t="n">
        <v>501000</v>
      </c>
      <c r="L25" s="686" t="n">
        <v>592000</v>
      </c>
      <c r="M25" s="687" t="n">
        <v>699000</v>
      </c>
      <c r="N25" s="685" t="n">
        <v>738000</v>
      </c>
      <c r="O25" s="686" t="n">
        <v>828000</v>
      </c>
      <c r="P25" s="687" t="n">
        <v>982000</v>
      </c>
      <c r="Q25" s="208" t="n">
        <v>21</v>
      </c>
      <c r="R25" s="222" t="inlineStr">
        <is>
          <t>C5</t>
        </is>
      </c>
      <c r="S25" s="685" t="n">
        <v>489000</v>
      </c>
      <c r="T25" s="686" t="n">
        <v>578000</v>
      </c>
      <c r="U25" s="687" t="n">
        <v>682000</v>
      </c>
      <c r="V25" s="685" t="n">
        <v>721000</v>
      </c>
      <c r="W25" s="686" t="n">
        <v>809000</v>
      </c>
      <c r="X25" s="687" t="n">
        <v>959000</v>
      </c>
    </row>
    <row r="26">
      <c r="A26" s="208" t="n">
        <v>22</v>
      </c>
      <c r="B26" s="224" t="inlineStr">
        <is>
          <t>D1</t>
        </is>
      </c>
      <c r="C26" s="682" t="n">
        <v>582000</v>
      </c>
      <c r="D26" s="683" t="n">
        <v>692000</v>
      </c>
      <c r="E26" s="684" t="n">
        <v>810000</v>
      </c>
      <c r="F26" s="682" t="n">
        <v>845000</v>
      </c>
      <c r="G26" s="683" t="n">
        <v>1006000</v>
      </c>
      <c r="H26" s="684" t="n">
        <v>1206000</v>
      </c>
      <c r="I26" s="208" t="n">
        <v>22</v>
      </c>
      <c r="J26" s="224" t="inlineStr">
        <is>
          <t>D1</t>
        </is>
      </c>
      <c r="K26" s="682" t="n">
        <v>582000</v>
      </c>
      <c r="L26" s="683" t="n">
        <v>692000</v>
      </c>
      <c r="M26" s="684" t="n">
        <v>810000</v>
      </c>
      <c r="N26" s="682" t="n">
        <v>845000</v>
      </c>
      <c r="O26" s="683" t="n">
        <v>1006000</v>
      </c>
      <c r="P26" s="684" t="n">
        <v>1206000</v>
      </c>
      <c r="Q26" s="208" t="n">
        <v>22</v>
      </c>
      <c r="R26" s="224" t="inlineStr">
        <is>
          <t>D1</t>
        </is>
      </c>
      <c r="S26" s="682" t="n">
        <v>568000</v>
      </c>
      <c r="T26" s="683" t="n">
        <v>675000</v>
      </c>
      <c r="U26" s="684" t="n">
        <v>791000</v>
      </c>
      <c r="V26" s="682" t="n">
        <v>833000</v>
      </c>
      <c r="W26" s="683" t="n">
        <v>991000</v>
      </c>
      <c r="X26" s="684" t="n">
        <v>1189000</v>
      </c>
    </row>
    <row r="27">
      <c r="A27" s="208" t="n">
        <v>23</v>
      </c>
      <c r="B27" s="222" t="inlineStr">
        <is>
          <t>D2</t>
        </is>
      </c>
      <c r="C27" s="685" t="n">
        <v>657000</v>
      </c>
      <c r="D27" s="686" t="n">
        <v>777000</v>
      </c>
      <c r="E27" s="687" t="n">
        <v>930000</v>
      </c>
      <c r="F27" s="685" t="n">
        <v>987000</v>
      </c>
      <c r="G27" s="686" t="n">
        <v>1150000</v>
      </c>
      <c r="H27" s="687" t="n">
        <v>1398000</v>
      </c>
      <c r="I27" s="208" t="n">
        <v>23</v>
      </c>
      <c r="J27" s="222" t="inlineStr">
        <is>
          <t>D2</t>
        </is>
      </c>
      <c r="K27" s="685" t="n">
        <v>657000</v>
      </c>
      <c r="L27" s="686" t="n">
        <v>777000</v>
      </c>
      <c r="M27" s="687" t="n">
        <v>930000</v>
      </c>
      <c r="N27" s="685" t="n">
        <v>987000</v>
      </c>
      <c r="O27" s="686" t="n">
        <v>1150000</v>
      </c>
      <c r="P27" s="687" t="n">
        <v>1398000</v>
      </c>
      <c r="Q27" s="208" t="n">
        <v>23</v>
      </c>
      <c r="R27" s="222" t="inlineStr">
        <is>
          <t>D2</t>
        </is>
      </c>
      <c r="S27" s="685" t="n">
        <v>642000</v>
      </c>
      <c r="T27" s="686" t="n">
        <v>759000</v>
      </c>
      <c r="U27" s="687" t="n">
        <v>908000</v>
      </c>
      <c r="V27" s="685" t="n">
        <v>973000</v>
      </c>
      <c r="W27" s="686" t="n">
        <v>1134000</v>
      </c>
      <c r="X27" s="687" t="n">
        <v>1378000</v>
      </c>
    </row>
    <row r="28">
      <c r="A28" s="208" t="n">
        <v>24</v>
      </c>
      <c r="B28" s="222" t="inlineStr">
        <is>
          <t>D3</t>
        </is>
      </c>
      <c r="C28" s="685" t="n">
        <v>839000</v>
      </c>
      <c r="D28" s="686" t="n">
        <v>974000</v>
      </c>
      <c r="E28" s="687" t="n">
        <v>1175000</v>
      </c>
      <c r="F28" s="685" t="n">
        <v>1227000</v>
      </c>
      <c r="G28" s="686" t="n">
        <v>1411000</v>
      </c>
      <c r="H28" s="687" t="n">
        <v>1735000</v>
      </c>
      <c r="I28" s="208" t="n">
        <v>24</v>
      </c>
      <c r="J28" s="222" t="inlineStr">
        <is>
          <t>D3</t>
        </is>
      </c>
      <c r="K28" s="685" t="n">
        <v>839000</v>
      </c>
      <c r="L28" s="686" t="n">
        <v>974000</v>
      </c>
      <c r="M28" s="687" t="n">
        <v>1175000</v>
      </c>
      <c r="N28" s="685" t="n">
        <v>1227000</v>
      </c>
      <c r="O28" s="686" t="n">
        <v>1411000</v>
      </c>
      <c r="P28" s="687" t="n">
        <v>1735000</v>
      </c>
      <c r="Q28" s="208" t="n">
        <v>24</v>
      </c>
      <c r="R28" s="222" t="inlineStr">
        <is>
          <t>D3</t>
        </is>
      </c>
      <c r="S28" s="685" t="n">
        <v>819000</v>
      </c>
      <c r="T28" s="686" t="n">
        <v>950000</v>
      </c>
      <c r="U28" s="687" t="n">
        <v>1147000</v>
      </c>
      <c r="V28" s="685" t="n">
        <v>1210000</v>
      </c>
      <c r="W28" s="686" t="n">
        <v>1390000</v>
      </c>
      <c r="X28" s="687" t="n">
        <v>1710000</v>
      </c>
    </row>
    <row r="29">
      <c r="A29" s="208" t="n">
        <v>25</v>
      </c>
      <c r="B29" s="222" t="inlineStr">
        <is>
          <t>D4</t>
        </is>
      </c>
      <c r="C29" s="685" t="n">
        <v>914000</v>
      </c>
      <c r="D29" s="686" t="n">
        <v>1061000</v>
      </c>
      <c r="E29" s="687" t="n">
        <v>1292000</v>
      </c>
      <c r="F29" s="685" t="n">
        <v>1332000</v>
      </c>
      <c r="G29" s="686" t="n">
        <v>1535000</v>
      </c>
      <c r="H29" s="687" t="n">
        <v>1863000</v>
      </c>
      <c r="I29" s="208" t="n">
        <v>25</v>
      </c>
      <c r="J29" s="222" t="inlineStr">
        <is>
          <t>D4</t>
        </is>
      </c>
      <c r="K29" s="685" t="n">
        <v>914000</v>
      </c>
      <c r="L29" s="686" t="n">
        <v>1061000</v>
      </c>
      <c r="M29" s="687" t="n">
        <v>1292000</v>
      </c>
      <c r="N29" s="685" t="n">
        <v>1332000</v>
      </c>
      <c r="O29" s="686" t="n">
        <v>1535000</v>
      </c>
      <c r="P29" s="687" t="n">
        <v>1863000</v>
      </c>
      <c r="Q29" s="208" t="n">
        <v>25</v>
      </c>
      <c r="R29" s="222" t="inlineStr">
        <is>
          <t>D4</t>
        </is>
      </c>
      <c r="S29" s="685" t="n">
        <v>891000</v>
      </c>
      <c r="T29" s="686" t="n">
        <v>1035000</v>
      </c>
      <c r="U29" s="687" t="n">
        <v>1261000</v>
      </c>
      <c r="V29" s="685" t="n">
        <v>1313000</v>
      </c>
      <c r="W29" s="686" t="n">
        <v>1513000</v>
      </c>
      <c r="X29" s="687" t="n">
        <v>1836000</v>
      </c>
    </row>
    <row r="30">
      <c r="A30" s="208" t="n">
        <v>26</v>
      </c>
      <c r="B30" s="214" t="inlineStr">
        <is>
          <t>D5</t>
        </is>
      </c>
      <c r="C30" s="688" t="n">
        <v>1007000</v>
      </c>
      <c r="D30" s="689" t="n">
        <v>1168000</v>
      </c>
      <c r="E30" s="690" t="n">
        <v>1420000</v>
      </c>
      <c r="F30" s="688" t="n">
        <v>1464000</v>
      </c>
      <c r="G30" s="689" t="n">
        <v>1691000</v>
      </c>
      <c r="H30" s="690" t="n">
        <v>2050000</v>
      </c>
      <c r="I30" s="208" t="n">
        <v>26</v>
      </c>
      <c r="J30" s="214" t="inlineStr">
        <is>
          <t>D5</t>
        </is>
      </c>
      <c r="K30" s="688" t="n">
        <v>1007000</v>
      </c>
      <c r="L30" s="689" t="n">
        <v>1168000</v>
      </c>
      <c r="M30" s="690" t="n">
        <v>1420000</v>
      </c>
      <c r="N30" s="688" t="n">
        <v>1464000</v>
      </c>
      <c r="O30" s="689" t="n">
        <v>1691000</v>
      </c>
      <c r="P30" s="690" t="n">
        <v>2050000</v>
      </c>
      <c r="Q30" s="208" t="n">
        <v>26</v>
      </c>
      <c r="R30" s="214" t="inlineStr">
        <is>
          <t>D5</t>
        </is>
      </c>
      <c r="S30" s="688" t="n">
        <v>983000</v>
      </c>
      <c r="T30" s="689" t="n">
        <v>1139000</v>
      </c>
      <c r="U30" s="690" t="n">
        <v>1386000</v>
      </c>
      <c r="V30" s="688" t="n">
        <v>1443000</v>
      </c>
      <c r="W30" s="689" t="n">
        <v>1667000</v>
      </c>
      <c r="X30" s="690" t="n">
        <v>2020000</v>
      </c>
    </row>
    <row r="31">
      <c r="A31" s="208" t="n">
        <v>27</v>
      </c>
      <c r="B31" s="224" t="inlineStr">
        <is>
          <t>E1</t>
        </is>
      </c>
      <c r="C31" s="682" t="n">
        <v>1558000</v>
      </c>
      <c r="D31" s="683" t="n">
        <v>1993000</v>
      </c>
      <c r="E31" s="684" t="n">
        <v>2428000</v>
      </c>
      <c r="F31" s="682" t="n">
        <v>1967000</v>
      </c>
      <c r="G31" s="683" t="n">
        <v>2777000</v>
      </c>
      <c r="H31" s="684" t="n">
        <v>3586000</v>
      </c>
      <c r="I31" s="208" t="n">
        <v>27</v>
      </c>
      <c r="J31" s="224" t="inlineStr">
        <is>
          <t>E1</t>
        </is>
      </c>
      <c r="K31" s="682" t="n">
        <v>1558000</v>
      </c>
      <c r="L31" s="683" t="n">
        <v>1993000</v>
      </c>
      <c r="M31" s="684" t="n">
        <v>2428000</v>
      </c>
      <c r="N31" s="682" t="n">
        <v>1967000</v>
      </c>
      <c r="O31" s="683" t="n">
        <v>2777000</v>
      </c>
      <c r="P31" s="684" t="n">
        <v>3586000</v>
      </c>
      <c r="Q31" s="208" t="n">
        <v>27</v>
      </c>
      <c r="R31" s="224" t="inlineStr">
        <is>
          <t>E1</t>
        </is>
      </c>
      <c r="S31" s="682" t="n">
        <v>1521000</v>
      </c>
      <c r="T31" s="683" t="n">
        <v>1945000</v>
      </c>
      <c r="U31" s="684" t="n">
        <v>2370000</v>
      </c>
      <c r="V31" s="682" t="n">
        <v>1920000</v>
      </c>
      <c r="W31" s="683" t="n">
        <v>2711000</v>
      </c>
      <c r="X31" s="684" t="n">
        <v>3500000</v>
      </c>
    </row>
    <row r="32">
      <c r="A32" s="208" t="n">
        <v>28</v>
      </c>
      <c r="B32" s="214" t="inlineStr">
        <is>
          <t>E2</t>
        </is>
      </c>
      <c r="C32" s="688" t="n">
        <v>1921000</v>
      </c>
      <c r="D32" s="689" t="n">
        <v>2445000</v>
      </c>
      <c r="E32" s="690" t="n">
        <v>2990000</v>
      </c>
      <c r="F32" s="688" t="n">
        <v>2577000</v>
      </c>
      <c r="G32" s="689" t="n">
        <v>3553000</v>
      </c>
      <c r="H32" s="690" t="n">
        <v>4510000</v>
      </c>
      <c r="I32" s="208" t="n">
        <v>28</v>
      </c>
      <c r="J32" s="214" t="inlineStr">
        <is>
          <t>E2</t>
        </is>
      </c>
      <c r="K32" s="688" t="n">
        <v>1921000</v>
      </c>
      <c r="L32" s="689" t="n">
        <v>2445000</v>
      </c>
      <c r="M32" s="690" t="n">
        <v>2990000</v>
      </c>
      <c r="N32" s="688" t="n">
        <v>2577000</v>
      </c>
      <c r="O32" s="689" t="n">
        <v>3553000</v>
      </c>
      <c r="P32" s="690" t="n">
        <v>4510000</v>
      </c>
      <c r="Q32" s="208" t="n">
        <v>28</v>
      </c>
      <c r="R32" s="214" t="inlineStr">
        <is>
          <t>E2</t>
        </is>
      </c>
      <c r="S32" s="688" t="n">
        <v>1875000</v>
      </c>
      <c r="T32" s="689" t="n">
        <v>2387000</v>
      </c>
      <c r="U32" s="690" t="n">
        <v>2919000</v>
      </c>
      <c r="V32" s="688" t="n">
        <v>2516000</v>
      </c>
      <c r="W32" s="689" t="n">
        <v>3468000</v>
      </c>
      <c r="X32" s="690" t="n">
        <v>4402000</v>
      </c>
    </row>
    <row r="33">
      <c r="I33" s="211" t="n"/>
      <c r="J33" s="211" t="n"/>
    </row>
    <row r="34">
      <c r="C34" s="208" t="inlineStr">
        <is>
          <t>C5</t>
        </is>
      </c>
      <c r="E34" s="208">
        <f>MATCH(C34,IF(C37=2023,$B$13:$B$32,$J$13:$J$32),0)</f>
        <v/>
      </c>
      <c r="I34" s="211" t="n"/>
      <c r="J34" s="211" t="n"/>
    </row>
    <row r="35">
      <c r="C35" s="208" t="inlineStr">
        <is>
          <t>t</t>
        </is>
      </c>
      <c r="E35" s="208">
        <f>MATCH(_xlfn.CONCAT(C35,C36),IF(C37=2023,$C$9:$H$9,$J$11:$P$11),0)</f>
        <v/>
      </c>
      <c r="F35" s="208">
        <f t="array" ref="F35">INDEX(C13:H32,E34,E35)</f>
        <v/>
      </c>
      <c r="I35" s="211" t="n"/>
      <c r="J35" s="211" t="n"/>
    </row>
    <row r="36">
      <c r="C36" s="208" t="inlineStr">
        <is>
          <t>high</t>
        </is>
      </c>
      <c r="I36" s="211" t="n"/>
      <c r="J36" s="211" t="n"/>
    </row>
    <row r="37">
      <c r="C37" s="498" t="n">
        <v>2023</v>
      </c>
      <c r="I37" s="211" t="n"/>
      <c r="J37" s="211" t="n"/>
    </row>
    <row r="38">
      <c r="I38" s="211" t="n"/>
      <c r="J38" s="211" t="n"/>
    </row>
  </sheetData>
  <mergeCells count="12">
    <mergeCell ref="N11:P11"/>
    <mergeCell ref="R10:X10"/>
    <mergeCell ref="F5:H5"/>
    <mergeCell ref="C5:E5"/>
    <mergeCell ref="R4:X4"/>
    <mergeCell ref="B4:H4"/>
    <mergeCell ref="K5:M5"/>
    <mergeCell ref="N5:P5"/>
    <mergeCell ref="J4:P4"/>
    <mergeCell ref="B10:H10"/>
    <mergeCell ref="K11:M11"/>
    <mergeCell ref="J10:P1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1">
    <tabColor theme="7" tint="-0.249977111117893"/>
    <outlinePr summaryBelow="1" summaryRight="1"/>
    <pageSetUpPr/>
  </sheetPr>
  <dimension ref="D2:F82"/>
  <sheetViews>
    <sheetView topLeftCell="A25" workbookViewId="0">
      <selection activeCell="F43" sqref="F43"/>
    </sheetView>
  </sheetViews>
  <sheetFormatPr baseColWidth="8" defaultRowHeight="13.2"/>
  <cols>
    <col width="19.44140625" bestFit="1" customWidth="1" min="4" max="4"/>
    <col width="29.6640625" bestFit="1" customWidth="1" min="5" max="5"/>
    <col width="11.33203125" bestFit="1" customWidth="1" min="6" max="6"/>
  </cols>
  <sheetData>
    <row r="2">
      <c r="D2" s="88" t="inlineStr">
        <is>
          <t>IP Name</t>
        </is>
      </c>
      <c r="E2" s="88" t="inlineStr">
        <is>
          <t>IP Company</t>
        </is>
      </c>
      <c r="F2" s="88" t="inlineStr">
        <is>
          <t>Type</t>
        </is>
      </c>
    </row>
    <row r="3">
      <c r="D3" s="265" t="inlineStr">
        <is>
          <t>Mirriam Magethi</t>
        </is>
      </c>
      <c r="E3" s="265" t="inlineStr">
        <is>
          <t>Magethi Industrial Psychology Services</t>
        </is>
      </c>
      <c r="F3" s="265" t="inlineStr">
        <is>
          <t>Medico</t>
        </is>
      </c>
    </row>
    <row r="4">
      <c r="D4" s="265" t="inlineStr">
        <is>
          <t>Gregory Shapiro</t>
        </is>
      </c>
      <c r="E4" s="265" t="inlineStr">
        <is>
          <t>Industrial Psychologist</t>
        </is>
      </c>
      <c r="F4" s="265" t="inlineStr">
        <is>
          <t>Psycho</t>
        </is>
      </c>
    </row>
    <row r="5">
      <c r="D5" s="265" t="inlineStr">
        <is>
          <t>N.N.P Mzobe</t>
        </is>
      </c>
      <c r="E5" s="265" t="inlineStr">
        <is>
          <t>Panatham Consulting</t>
        </is>
      </c>
      <c r="F5" s="265" t="inlineStr">
        <is>
          <t>Psycho</t>
        </is>
      </c>
    </row>
    <row r="6">
      <c r="D6" s="265" t="inlineStr">
        <is>
          <t>BW Makhubele</t>
        </is>
      </c>
      <c r="E6" s="265" t="inlineStr">
        <is>
          <t>Panatham Consulting</t>
        </is>
      </c>
      <c r="F6" s="265" t="inlineStr">
        <is>
          <t>Psycho</t>
        </is>
      </c>
    </row>
    <row r="7">
      <c r="D7" s="265" t="inlineStr">
        <is>
          <t>Shenade Fataar</t>
        </is>
      </c>
      <c r="E7" s="265" t="inlineStr">
        <is>
          <t>Jacobson Talmud Consulting</t>
        </is>
      </c>
      <c r="F7" s="265" t="inlineStr">
        <is>
          <t>Psycho</t>
        </is>
      </c>
    </row>
    <row r="8">
      <c r="D8" s="265" t="inlineStr">
        <is>
          <t>Talia Talmud</t>
        </is>
      </c>
      <c r="E8" s="265" t="inlineStr">
        <is>
          <t>Jacobson Talmud Consulting</t>
        </is>
      </c>
      <c r="F8" s="265" t="inlineStr">
        <is>
          <t>Psycho</t>
        </is>
      </c>
    </row>
    <row r="9">
      <c r="D9" s="265" t="inlineStr">
        <is>
          <t>Oscar Sechudi</t>
        </is>
      </c>
      <c r="E9" s="265" t="inlineStr">
        <is>
          <t>Oscar Sechudi Consulting</t>
        </is>
      </c>
      <c r="F9" s="265" t="inlineStr">
        <is>
          <t>Medico</t>
        </is>
      </c>
    </row>
    <row r="10">
      <c r="D10" s="265" t="inlineStr">
        <is>
          <t>Thomas Tsikai</t>
        </is>
      </c>
      <c r="E10" s="265" t="inlineStr">
        <is>
          <t>Orgzone Consulting Group</t>
        </is>
      </c>
      <c r="F10" s="265" t="inlineStr">
        <is>
          <t>Psycho</t>
        </is>
      </c>
    </row>
    <row r="11">
      <c r="D11" s="265" t="inlineStr">
        <is>
          <t>Sabelo P. Gumede</t>
        </is>
      </c>
      <c r="E11" s="265" t="inlineStr">
        <is>
          <t>Uphembele Consulting Group</t>
        </is>
      </c>
      <c r="F11" s="265" t="inlineStr">
        <is>
          <t>Medico</t>
        </is>
      </c>
    </row>
    <row r="12">
      <c r="D12" s="265" t="inlineStr">
        <is>
          <t>Prof. Joey Buitendach</t>
        </is>
      </c>
      <c r="E12" s="265" t="inlineStr">
        <is>
          <t>Joey Buitendach &amp; Associates</t>
        </is>
      </c>
      <c r="F12" s="265" t="inlineStr">
        <is>
          <t>Psycho</t>
        </is>
      </c>
    </row>
    <row r="13">
      <c r="D13" s="265" t="inlineStr">
        <is>
          <t>Tshepo Kalanko</t>
        </is>
      </c>
      <c r="E13" s="265" t="inlineStr">
        <is>
          <t>Newa Human Solutions</t>
        </is>
      </c>
      <c r="F13" s="265" t="inlineStr">
        <is>
          <t>Medico</t>
        </is>
      </c>
    </row>
    <row r="14">
      <c r="D14" s="265" t="inlineStr">
        <is>
          <t>Goodness Busisiwe Pepu</t>
        </is>
      </c>
      <c r="E14" s="265" t="inlineStr">
        <is>
          <t>Hlunga Group</t>
        </is>
      </c>
      <c r="F14" s="265" t="inlineStr">
        <is>
          <t>Psycho</t>
        </is>
      </c>
    </row>
    <row r="15">
      <c r="D15" s="265" t="inlineStr">
        <is>
          <t>Moipone Kheswa</t>
        </is>
      </c>
      <c r="E15" s="265" t="inlineStr">
        <is>
          <t>Gcina Human Potential</t>
        </is>
      </c>
      <c r="F15" s="265" t="inlineStr">
        <is>
          <t>Psycho</t>
        </is>
      </c>
    </row>
    <row r="16">
      <c r="D16" s="265" t="inlineStr">
        <is>
          <t>Caren Swanepoel</t>
        </is>
      </c>
      <c r="E16" s="265" t="inlineStr">
        <is>
          <t>Caren Swanepoel Industrial Psychologists</t>
        </is>
      </c>
      <c r="F16" s="265" t="inlineStr">
        <is>
          <t>Medico</t>
        </is>
      </c>
    </row>
    <row r="17">
      <c r="D17" s="265" t="inlineStr">
        <is>
          <t>Karin Pulles</t>
        </is>
      </c>
      <c r="E17" s="265" t="inlineStr">
        <is>
          <t>Pulles Howard &amp; De Lange Inc</t>
        </is>
      </c>
      <c r="F17" s="265" t="inlineStr">
        <is>
          <t>Psycho</t>
        </is>
      </c>
    </row>
    <row r="18">
      <c r="D18" s="265" t="inlineStr">
        <is>
          <t>N. C. Masuku</t>
        </is>
      </c>
      <c r="E18" s="265" t="inlineStr">
        <is>
          <t>Protean Medico Legal</t>
        </is>
      </c>
      <c r="F18" s="265" t="inlineStr">
        <is>
          <t>Psycho</t>
        </is>
      </c>
    </row>
    <row r="19">
      <c r="D19" s="265" t="inlineStr">
        <is>
          <t>Masase Eve Mokhethi</t>
        </is>
      </c>
      <c r="E19" s="265" t="inlineStr">
        <is>
          <t>Rinoko Consulting</t>
        </is>
      </c>
      <c r="F19" s="265" t="inlineStr">
        <is>
          <t>Psycho</t>
        </is>
      </c>
    </row>
    <row r="20">
      <c r="D20" s="265" t="inlineStr">
        <is>
          <t>Vuyani Muleya</t>
        </is>
      </c>
      <c r="E20" s="265" t="inlineStr">
        <is>
          <t>Asante Medico Legal</t>
        </is>
      </c>
      <c r="F20" s="265" t="inlineStr">
        <is>
          <t>Medico</t>
        </is>
      </c>
    </row>
    <row r="21">
      <c r="D21" s="265" t="inlineStr">
        <is>
          <t>Christa Du Toit</t>
        </is>
      </c>
      <c r="E21" s="265" t="inlineStr">
        <is>
          <t>Industrial Psychologist</t>
        </is>
      </c>
      <c r="F21" s="265" t="inlineStr">
        <is>
          <t>Psycho</t>
        </is>
      </c>
    </row>
    <row r="22" ht="10.5" customHeight="1">
      <c r="D22" s="265" t="inlineStr">
        <is>
          <t>Koketso Rakgokong</t>
        </is>
      </c>
      <c r="E22" s="371" t="inlineStr">
        <is>
          <t>Tshameleni Woman Projects Industrial Psychology Services</t>
        </is>
      </c>
      <c r="F22" s="265" t="inlineStr">
        <is>
          <t>Medico</t>
        </is>
      </c>
    </row>
    <row r="23">
      <c r="D23" s="265" t="inlineStr">
        <is>
          <t>Zandile Madlabana-Luthuli</t>
        </is>
      </c>
      <c r="E23" s="265" t="inlineStr">
        <is>
          <t>Industrial Psychologist</t>
        </is>
      </c>
      <c r="F23" s="265" t="inlineStr">
        <is>
          <t>Psycho</t>
        </is>
      </c>
    </row>
    <row r="24">
      <c r="D24" s="265" t="inlineStr">
        <is>
          <t>Zurayda Shaik &amp; Partners</t>
        </is>
      </c>
      <c r="E24" s="265" t="inlineStr">
        <is>
          <t>RE A Dirha Consultants</t>
        </is>
      </c>
      <c r="F24" s="265" t="inlineStr">
        <is>
          <t>Medico</t>
        </is>
      </c>
    </row>
    <row r="25">
      <c r="D25" s="265" t="inlineStr">
        <is>
          <t>Siphesihle Mkabile</t>
        </is>
      </c>
      <c r="E25" s="265" t="inlineStr">
        <is>
          <t>Boqapi Consulting Services</t>
        </is>
      </c>
      <c r="F25" s="265" t="inlineStr">
        <is>
          <t>Psycho</t>
        </is>
      </c>
    </row>
    <row r="26">
      <c r="D26" s="265" t="inlineStr">
        <is>
          <t>Sandra Moses</t>
        </is>
      </c>
      <c r="E26" s="265" t="inlineStr">
        <is>
          <t>Thusanong Consulting</t>
        </is>
      </c>
      <c r="F26" s="265" t="inlineStr">
        <is>
          <t>Psycho</t>
        </is>
      </c>
    </row>
    <row r="27">
      <c r="D27" s="265" t="inlineStr">
        <is>
          <t>Tshepo Tsiu</t>
        </is>
      </c>
      <c r="E27" s="265" t="inlineStr">
        <is>
          <t>Affinity Industrial Psychologists</t>
        </is>
      </c>
      <c r="F27" s="265" t="inlineStr">
        <is>
          <t>Psycho</t>
        </is>
      </c>
    </row>
    <row r="28">
      <c r="D28" s="265" t="inlineStr">
        <is>
          <t>Hillary Tomu</t>
        </is>
      </c>
      <c r="E28" s="265" t="inlineStr">
        <is>
          <t>Industrial Psychologist</t>
        </is>
      </c>
      <c r="F28" s="265" t="inlineStr">
        <is>
          <t>Medico/Psycho</t>
        </is>
      </c>
    </row>
    <row r="29">
      <c r="D29" s="265" t="inlineStr">
        <is>
          <t>Shuaib Jeewa</t>
        </is>
      </c>
      <c r="E29" s="265" t="inlineStr">
        <is>
          <t>Jeewa &amp; Associates</t>
        </is>
      </c>
      <c r="F29" s="265" t="inlineStr">
        <is>
          <t>Medico</t>
        </is>
      </c>
    </row>
    <row r="30">
      <c r="D30" s="265" t="inlineStr">
        <is>
          <t>Nompumelelo Shezi</t>
        </is>
      </c>
      <c r="E30" s="265" t="inlineStr">
        <is>
          <t>Umongo Consulting</t>
        </is>
      </c>
      <c r="F30" s="265" t="inlineStr">
        <is>
          <t>Psycho</t>
        </is>
      </c>
    </row>
    <row r="31">
      <c r="D31" s="265" t="inlineStr">
        <is>
          <t>Lungile Langa</t>
        </is>
      </c>
      <c r="E31" s="265" t="inlineStr">
        <is>
          <t>Thunola Pty Ltd</t>
        </is>
      </c>
      <c r="F31" s="265" t="inlineStr">
        <is>
          <t>Psycho</t>
        </is>
      </c>
    </row>
    <row r="32">
      <c r="D32" s="265" t="inlineStr">
        <is>
          <t>Christina Badalani</t>
        </is>
      </c>
      <c r="E32" s="265" t="inlineStr">
        <is>
          <t>Protean Medico Legal</t>
        </is>
      </c>
      <c r="F32" s="265" t="inlineStr">
        <is>
          <t>Psycho</t>
        </is>
      </c>
    </row>
    <row r="33">
      <c r="D33" s="265" t="inlineStr">
        <is>
          <t>Tryphina Maitin</t>
        </is>
      </c>
      <c r="E33" s="265" t="inlineStr">
        <is>
          <t>EPIC Medico Legal</t>
        </is>
      </c>
      <c r="F33" s="265" t="inlineStr">
        <is>
          <t>Psycho</t>
        </is>
      </c>
    </row>
    <row r="34">
      <c r="D34" s="265" t="inlineStr">
        <is>
          <t>Samkelisiwe Mahlasela</t>
        </is>
      </c>
      <c r="E34" s="265" t="inlineStr">
        <is>
          <t>Protean Medico Legal</t>
        </is>
      </c>
      <c r="F34" s="265" t="inlineStr">
        <is>
          <t>Psycho</t>
        </is>
      </c>
    </row>
    <row r="35">
      <c r="D35" s="265" t="inlineStr">
        <is>
          <t>Albeter Chikuya</t>
        </is>
      </c>
      <c r="E35" s="265" t="inlineStr">
        <is>
          <t>Thakula Consulting</t>
        </is>
      </c>
      <c r="F35" s="265" t="inlineStr">
        <is>
          <t>Psycho</t>
        </is>
      </c>
    </row>
    <row r="36">
      <c r="D36" s="265" t="inlineStr">
        <is>
          <t>Bathobile Nkambule</t>
        </is>
      </c>
      <c r="E36" s="265" t="inlineStr">
        <is>
          <t>Sinani Consulting</t>
        </is>
      </c>
      <c r="F36" s="265" t="inlineStr">
        <is>
          <t>Psycho</t>
        </is>
      </c>
    </row>
    <row r="37">
      <c r="D37" s="265" t="inlineStr">
        <is>
          <t>Cedric Muzerengwa</t>
        </is>
      </c>
      <c r="E37" s="265" t="inlineStr">
        <is>
          <t>MUZ Consulting Industrial Psychologist</t>
        </is>
      </c>
      <c r="F37" s="265" t="inlineStr">
        <is>
          <t>Psycho</t>
        </is>
      </c>
    </row>
    <row r="38">
      <c r="D38" s="265" t="inlineStr">
        <is>
          <t>Zaheerah Fakir</t>
        </is>
      </c>
      <c r="E38" s="265" t="inlineStr">
        <is>
          <t>FirstLeap Consulting</t>
        </is>
      </c>
      <c r="F38" s="265" t="inlineStr">
        <is>
          <t>Psycho</t>
        </is>
      </c>
    </row>
    <row r="39">
      <c r="D39" s="265" t="inlineStr">
        <is>
          <t>Siphiwe Katjene</t>
        </is>
      </c>
      <c r="E39" s="265" t="inlineStr">
        <is>
          <t>PsychWell</t>
        </is>
      </c>
      <c r="F39" s="265" t="inlineStr">
        <is>
          <t>Psycho</t>
        </is>
      </c>
    </row>
    <row r="40">
      <c r="D40" s="265" t="inlineStr">
        <is>
          <t>Talent Maturure</t>
        </is>
      </c>
      <c r="E40" s="265" t="inlineStr">
        <is>
          <t>Optimum Talent Solutions Psychologists and Consultants</t>
        </is>
      </c>
      <c r="F40" s="265" t="inlineStr">
        <is>
          <t>Psycho</t>
        </is>
      </c>
    </row>
    <row r="41">
      <c r="D41" s="265" t="inlineStr">
        <is>
          <t>Kudzai Debra Matsvororo</t>
        </is>
      </c>
      <c r="E41" s="265" t="inlineStr">
        <is>
          <t>Protean Medico Legal</t>
        </is>
      </c>
      <c r="F41" s="265" t="inlineStr">
        <is>
          <t>Psycho</t>
        </is>
      </c>
    </row>
    <row r="42">
      <c r="D42" s="265" t="inlineStr">
        <is>
          <t>Sesiyabonga Vilakazi</t>
        </is>
      </c>
      <c r="E42" s="265" t="inlineStr">
        <is>
          <t>EPIC Medico Legal</t>
        </is>
      </c>
      <c r="F42" s="265" t="inlineStr">
        <is>
          <t>Psycho</t>
        </is>
      </c>
    </row>
    <row r="43">
      <c r="D43" s="265" t="n"/>
      <c r="E43" s="265" t="n"/>
      <c r="F43" s="265" t="n"/>
    </row>
    <row r="44">
      <c r="D44" s="265" t="n"/>
      <c r="E44" s="265" t="n"/>
      <c r="F44" s="265" t="n"/>
    </row>
    <row r="45">
      <c r="D45" s="265" t="n"/>
      <c r="E45" s="265" t="n"/>
      <c r="F45" s="265" t="n"/>
    </row>
    <row r="46">
      <c r="D46" s="265" t="n"/>
      <c r="E46" s="265" t="n"/>
      <c r="F46" s="265" t="n"/>
    </row>
    <row r="47">
      <c r="D47" s="265" t="n"/>
      <c r="E47" s="265" t="n"/>
      <c r="F47" s="265" t="n"/>
    </row>
    <row r="48">
      <c r="D48" s="265" t="n"/>
      <c r="E48" s="265" t="n"/>
      <c r="F48" s="265" t="n"/>
    </row>
    <row r="49">
      <c r="D49" s="265" t="n"/>
      <c r="E49" s="265" t="n"/>
      <c r="F49" s="265" t="n"/>
    </row>
    <row r="50">
      <c r="D50" s="265" t="n"/>
      <c r="E50" s="265" t="n"/>
      <c r="F50" s="265" t="n"/>
    </row>
    <row r="51">
      <c r="D51" s="265" t="n"/>
      <c r="E51" s="265" t="n"/>
      <c r="F51" s="265" t="n"/>
    </row>
    <row r="52">
      <c r="D52" s="265" t="n"/>
      <c r="E52" s="265" t="n"/>
      <c r="F52" s="265" t="n"/>
    </row>
    <row r="53">
      <c r="D53" s="265" t="n"/>
      <c r="E53" s="265" t="n"/>
      <c r="F53" s="265" t="n"/>
    </row>
    <row r="54">
      <c r="D54" s="265" t="n"/>
      <c r="E54" s="265" t="n"/>
      <c r="F54" s="265" t="n"/>
    </row>
    <row r="55">
      <c r="D55" s="265" t="n"/>
      <c r="E55" s="265" t="n"/>
      <c r="F55" s="265" t="n"/>
    </row>
    <row r="56">
      <c r="D56" s="265" t="n"/>
      <c r="E56" s="265" t="n"/>
      <c r="F56" s="265" t="n"/>
    </row>
    <row r="57">
      <c r="D57" s="265" t="n"/>
      <c r="E57" s="265" t="n"/>
      <c r="F57" s="265" t="n"/>
    </row>
    <row r="58">
      <c r="D58" s="265" t="n"/>
      <c r="E58" s="265" t="n"/>
      <c r="F58" s="265" t="n"/>
    </row>
    <row r="59">
      <c r="D59" s="265" t="n"/>
      <c r="E59" s="265" t="n"/>
      <c r="F59" s="265" t="n"/>
    </row>
    <row r="60">
      <c r="D60" s="265" t="n"/>
      <c r="E60" s="265" t="n"/>
      <c r="F60" s="265" t="n"/>
    </row>
    <row r="61">
      <c r="D61" s="265" t="n"/>
      <c r="E61" s="265" t="n"/>
      <c r="F61" s="265" t="n"/>
    </row>
    <row r="62">
      <c r="D62" s="265" t="n"/>
      <c r="E62" s="265" t="n"/>
      <c r="F62" s="265" t="n"/>
    </row>
    <row r="63">
      <c r="D63" s="265" t="n"/>
      <c r="E63" s="265" t="n"/>
      <c r="F63" s="265" t="n"/>
    </row>
    <row r="64">
      <c r="D64" s="265" t="n"/>
      <c r="E64" s="265" t="n"/>
      <c r="F64" s="265" t="n"/>
    </row>
    <row r="65">
      <c r="D65" s="265" t="n"/>
      <c r="E65" s="265" t="n"/>
      <c r="F65" s="265" t="n"/>
    </row>
    <row r="66">
      <c r="D66" s="265" t="n"/>
      <c r="E66" s="265" t="n"/>
      <c r="F66" s="265" t="n"/>
    </row>
    <row r="67">
      <c r="D67" s="265" t="n"/>
      <c r="E67" s="265" t="n"/>
      <c r="F67" s="265" t="n"/>
    </row>
    <row r="68">
      <c r="D68" s="265" t="n"/>
      <c r="E68" s="265" t="n"/>
      <c r="F68" s="265" t="n"/>
    </row>
    <row r="69">
      <c r="D69" s="265" t="n"/>
      <c r="E69" s="265" t="n"/>
      <c r="F69" s="265" t="n"/>
    </row>
    <row r="70">
      <c r="D70" s="265" t="n"/>
      <c r="E70" s="265" t="n"/>
      <c r="F70" s="265" t="n"/>
    </row>
    <row r="71">
      <c r="D71" s="265" t="n"/>
      <c r="E71" s="265" t="n"/>
      <c r="F71" s="265" t="n"/>
    </row>
    <row r="72">
      <c r="D72" s="265" t="n"/>
      <c r="E72" s="265" t="n"/>
      <c r="F72" s="265" t="n"/>
    </row>
    <row r="73">
      <c r="D73" s="265" t="n"/>
      <c r="E73" s="265" t="n"/>
      <c r="F73" s="265" t="n"/>
    </row>
    <row r="74">
      <c r="D74" s="265" t="n"/>
      <c r="E74" s="265" t="n"/>
      <c r="F74" s="265" t="n"/>
    </row>
    <row r="75">
      <c r="D75" s="265" t="n"/>
      <c r="E75" s="265" t="n"/>
      <c r="F75" s="265" t="n"/>
    </row>
    <row r="76">
      <c r="D76" s="265" t="n"/>
      <c r="E76" s="265" t="n"/>
      <c r="F76" s="265" t="n"/>
    </row>
    <row r="77">
      <c r="D77" s="265" t="n"/>
      <c r="E77" s="265" t="n"/>
      <c r="F77" s="265" t="n"/>
    </row>
    <row r="78">
      <c r="D78" s="265" t="n"/>
      <c r="E78" s="265" t="n"/>
      <c r="F78" s="265" t="n"/>
    </row>
    <row r="79">
      <c r="D79" s="265" t="n"/>
      <c r="E79" s="265" t="n"/>
      <c r="F79" s="265" t="n"/>
    </row>
    <row r="80">
      <c r="D80" s="265" t="n"/>
      <c r="E80" s="265" t="n"/>
      <c r="F80" s="265" t="n"/>
    </row>
    <row r="81">
      <c r="D81" s="265" t="n"/>
      <c r="E81" s="265" t="n"/>
      <c r="F81" s="265" t="n"/>
    </row>
    <row r="82">
      <c r="D82" s="265" t="n"/>
      <c r="E82" s="265" t="n"/>
      <c r="F82" s="265" t="n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11">
    <tabColor theme="8" tint="-0.499984740745262"/>
    <outlinePr summaryBelow="1" summaryRight="1"/>
    <pageSetUpPr/>
  </sheetPr>
  <dimension ref="A1:D483"/>
  <sheetViews>
    <sheetView topLeftCell="A394" workbookViewId="0">
      <selection activeCell="H412" sqref="H412"/>
    </sheetView>
  </sheetViews>
  <sheetFormatPr baseColWidth="8" defaultRowHeight="13.2"/>
  <cols>
    <col width="38" bestFit="1" customWidth="1" min="1" max="1"/>
    <col hidden="1" min="2" max="4"/>
  </cols>
  <sheetData>
    <row r="1" ht="14.4" customHeight="1">
      <c r="A1" s="381" t="inlineStr">
        <is>
          <t>Attorney</t>
        </is>
      </c>
      <c r="B1" s="382" t="inlineStr">
        <is>
          <t>Province</t>
        </is>
      </c>
      <c r="C1" s="382" t="inlineStr">
        <is>
          <t>City</t>
        </is>
      </c>
      <c r="D1" s="383" t="inlineStr">
        <is>
          <t>OrderNo</t>
        </is>
      </c>
    </row>
    <row r="2">
      <c r="A2" s="384" t="inlineStr">
        <is>
          <t>A. Mqwishi Attorneys</t>
        </is>
      </c>
      <c r="B2" s="385" t="inlineStr">
        <is>
          <t>Eastern Cape</t>
        </is>
      </c>
      <c r="C2" s="385" t="n"/>
      <c r="D2" s="386" t="n">
        <v>1</v>
      </c>
    </row>
    <row r="3">
      <c r="A3" s="387" t="inlineStr">
        <is>
          <t>Adv Mcontsho-Boya L Attorneys</t>
        </is>
      </c>
      <c r="B3" s="388" t="inlineStr">
        <is>
          <t>Eastern Cape</t>
        </is>
      </c>
      <c r="C3" s="388" t="n"/>
      <c r="D3" s="389" t="n">
        <v>1</v>
      </c>
    </row>
    <row r="4">
      <c r="A4" s="384" t="inlineStr">
        <is>
          <t>Advocate N Mhlauli Attorneys</t>
        </is>
      </c>
      <c r="B4" s="385" t="inlineStr">
        <is>
          <t>Eastern Cape</t>
        </is>
      </c>
      <c r="C4" s="385" t="n"/>
      <c r="D4" s="390" t="n">
        <v>1</v>
      </c>
    </row>
    <row r="5">
      <c r="A5" s="387" t="inlineStr">
        <is>
          <t>Affinity Industrial Psychologists</t>
        </is>
      </c>
      <c r="B5" s="388" t="inlineStr">
        <is>
          <t>Gauteng</t>
        </is>
      </c>
      <c r="C5" s="388" t="inlineStr">
        <is>
          <t>Pretoria</t>
        </is>
      </c>
      <c r="D5" s="391" t="n">
        <v>2</v>
      </c>
    </row>
    <row r="6">
      <c r="A6" s="384" t="inlineStr">
        <is>
          <t>AJ. Masingi Attorneys</t>
        </is>
      </c>
      <c r="B6" s="385" t="inlineStr">
        <is>
          <t>Gauteng</t>
        </is>
      </c>
      <c r="C6" s="385" t="inlineStr">
        <is>
          <t>Pretoria</t>
        </is>
      </c>
      <c r="D6" s="390" t="n">
        <v>11</v>
      </c>
    </row>
    <row r="7">
      <c r="A7" s="387" t="inlineStr">
        <is>
          <t>Akhona Pele Attorneys</t>
        </is>
      </c>
      <c r="B7" s="388" t="inlineStr">
        <is>
          <t>Eastern Cape</t>
        </is>
      </c>
      <c r="C7" s="388" t="n"/>
      <c r="D7" s="391" t="n">
        <v>22</v>
      </c>
    </row>
    <row r="8">
      <c r="A8" s="504" t="inlineStr">
        <is>
          <t>Amazon</t>
        </is>
      </c>
      <c r="B8" s="385" t="inlineStr">
        <is>
          <t>Free State</t>
        </is>
      </c>
      <c r="C8" s="385" t="inlineStr">
        <is>
          <t>Johannesburg</t>
        </is>
      </c>
      <c r="D8" s="390" t="n">
        <v>37</v>
      </c>
    </row>
    <row r="9">
      <c r="A9" s="387" t="inlineStr">
        <is>
          <t>AMS Law Attorneys</t>
        </is>
      </c>
      <c r="B9" s="388" t="inlineStr">
        <is>
          <t>Gauteng</t>
        </is>
      </c>
      <c r="C9" s="388" t="inlineStr">
        <is>
          <t>Pretoria</t>
        </is>
      </c>
      <c r="D9" s="391" t="n">
        <v>18</v>
      </c>
    </row>
    <row r="10">
      <c r="A10" s="384" t="inlineStr">
        <is>
          <t>Andrew Ngxola Attorneys</t>
        </is>
      </c>
      <c r="B10" s="385" t="inlineStr">
        <is>
          <t>Eastern Cape</t>
        </is>
      </c>
      <c r="C10" s="385" t="n"/>
      <c r="D10" s="390" t="n">
        <v>5</v>
      </c>
    </row>
    <row r="11">
      <c r="A11" s="387" t="inlineStr">
        <is>
          <t>Anyiam Attorneys</t>
        </is>
      </c>
      <c r="B11" s="388" t="inlineStr">
        <is>
          <t>Gauteng</t>
        </is>
      </c>
      <c r="C11" s="388" t="inlineStr">
        <is>
          <t>Johannesburg</t>
        </is>
      </c>
      <c r="D11" s="391" t="n">
        <v>5</v>
      </c>
    </row>
    <row r="12">
      <c r="A12" s="384" t="inlineStr">
        <is>
          <t>Ascot</t>
        </is>
      </c>
      <c r="B12" s="385" t="inlineStr">
        <is>
          <t>Gauteng</t>
        </is>
      </c>
      <c r="C12" s="385" t="n"/>
      <c r="D12" s="390" t="n">
        <v>3</v>
      </c>
    </row>
    <row r="13">
      <c r="A13" s="387" t="inlineStr">
        <is>
          <t>Ayabonga Koswana Attorneys</t>
        </is>
      </c>
      <c r="B13" s="388" t="inlineStr">
        <is>
          <t>Eastern Cape</t>
        </is>
      </c>
      <c r="C13" s="388" t="n"/>
      <c r="D13" s="391" t="n">
        <v>9</v>
      </c>
    </row>
    <row r="14">
      <c r="A14" s="384" t="inlineStr">
        <is>
          <t>B. Mwelase Attorneys</t>
        </is>
      </c>
      <c r="B14" s="385" t="inlineStr">
        <is>
          <t>Eastern Cape</t>
        </is>
      </c>
      <c r="C14" s="385" t="n"/>
      <c r="D14" s="390" t="n">
        <v>5</v>
      </c>
    </row>
    <row r="15">
      <c r="A15" s="387" t="inlineStr">
        <is>
          <t>B. Rikhotso Attorneys</t>
        </is>
      </c>
      <c r="B15" s="388" t="inlineStr">
        <is>
          <t>Gauteng</t>
        </is>
      </c>
      <c r="C15" s="388" t="inlineStr">
        <is>
          <t>Pretoria</t>
        </is>
      </c>
      <c r="D15" s="391" t="n">
        <v>4</v>
      </c>
    </row>
    <row r="16">
      <c r="A16" s="384" t="inlineStr">
        <is>
          <t>B. Shirinda Inc. Attorneys</t>
        </is>
      </c>
      <c r="B16" s="385" t="inlineStr">
        <is>
          <t>Limpopo</t>
        </is>
      </c>
      <c r="C16" s="385" t="n"/>
      <c r="D16" s="390" t="n">
        <v>29</v>
      </c>
    </row>
    <row r="17">
      <c r="A17" s="387" t="inlineStr">
        <is>
          <t>BM. Madangatye Inc. Attorneys</t>
        </is>
      </c>
      <c r="B17" s="388" t="inlineStr">
        <is>
          <t>Eastern Cape</t>
        </is>
      </c>
      <c r="C17" s="388" t="n"/>
      <c r="D17" s="391" t="n">
        <v>2</v>
      </c>
    </row>
    <row r="18">
      <c r="A18" s="384" t="inlineStr">
        <is>
          <t>Badi Loliwe Attorneys</t>
        </is>
      </c>
      <c r="B18" s="385" t="inlineStr">
        <is>
          <t>Eastern Cape</t>
        </is>
      </c>
      <c r="C18" s="385" t="n"/>
      <c r="D18" s="390" t="n">
        <v>59</v>
      </c>
    </row>
    <row r="19">
      <c r="A19" s="387" t="inlineStr">
        <is>
          <t>Baloyi T.S &amp; Morobe Inc. Attorneys</t>
        </is>
      </c>
      <c r="B19" s="388" t="inlineStr">
        <is>
          <t>Gauteng</t>
        </is>
      </c>
      <c r="C19" s="388" t="inlineStr">
        <is>
          <t>Pretoria</t>
        </is>
      </c>
      <c r="D19" s="391" t="n">
        <v>16</v>
      </c>
    </row>
    <row r="20">
      <c r="A20" s="384" t="inlineStr">
        <is>
          <t>Bangani &amp; Associates Attorneys</t>
        </is>
      </c>
      <c r="B20" s="385" t="inlineStr">
        <is>
          <t>KZN</t>
        </is>
      </c>
      <c r="C20" s="385" t="n"/>
      <c r="D20" s="390" t="n">
        <v>2</v>
      </c>
    </row>
    <row r="21">
      <c r="A21" s="387" t="inlineStr">
        <is>
          <t>BC. Masinga Attorneys</t>
        </is>
      </c>
      <c r="B21" s="388" t="inlineStr">
        <is>
          <t>Mpumalanga</t>
        </is>
      </c>
      <c r="C21" s="388" t="n"/>
      <c r="D21" s="391" t="n">
        <v>9</v>
      </c>
    </row>
    <row r="22">
      <c r="A22" s="384" t="inlineStr">
        <is>
          <t>Bilaal Basshir &amp; Associates Attorneys</t>
        </is>
      </c>
      <c r="B22" s="385" t="inlineStr">
        <is>
          <t>KZN</t>
        </is>
      </c>
      <c r="C22" s="385" t="n"/>
      <c r="D22" s="390" t="n">
        <v>1</v>
      </c>
    </row>
    <row r="23">
      <c r="A23" s="503" t="inlineStr">
        <is>
          <t>Msitshana Incorporated Attorneys</t>
        </is>
      </c>
      <c r="B23" s="388" t="inlineStr">
        <is>
          <t>Limpopo</t>
        </is>
      </c>
      <c r="C23" s="388" t="n"/>
      <c r="D23" s="391" t="n">
        <v>1</v>
      </c>
    </row>
    <row r="24">
      <c r="A24" s="504" t="inlineStr">
        <is>
          <t>Nondumiso Jafta Incorporated Attorneys</t>
        </is>
      </c>
      <c r="B24" s="385" t="inlineStr">
        <is>
          <t>Gauteng</t>
        </is>
      </c>
      <c r="C24" s="385" t="inlineStr">
        <is>
          <t>Pretoria</t>
        </is>
      </c>
      <c r="D24" s="390" t="n">
        <v>1</v>
      </c>
    </row>
    <row r="25">
      <c r="A25" s="387" t="inlineStr">
        <is>
          <t>Bongani Dyani Attorneys</t>
        </is>
      </c>
      <c r="B25" s="388" t="inlineStr">
        <is>
          <t>Cape Town</t>
        </is>
      </c>
      <c r="C25" s="388" t="n"/>
      <c r="D25" s="391" t="n">
        <v>2</v>
      </c>
    </row>
    <row r="26">
      <c r="A26" s="384" t="inlineStr">
        <is>
          <t>Bulose &amp; Partners Attorneys</t>
        </is>
      </c>
      <c r="B26" s="385" t="inlineStr">
        <is>
          <t>KZN</t>
        </is>
      </c>
      <c r="C26" s="385" t="n"/>
      <c r="D26" s="390" t="n">
        <v>2</v>
      </c>
    </row>
    <row r="27">
      <c r="A27" s="387" t="inlineStr">
        <is>
          <t>Bululu Nabo &amp; Xaso Attorneys</t>
        </is>
      </c>
      <c r="B27" s="388" t="inlineStr">
        <is>
          <t>Eastern Cape</t>
        </is>
      </c>
      <c r="C27" s="388" t="n"/>
      <c r="D27" s="391" t="n">
        <v>1</v>
      </c>
    </row>
    <row r="28">
      <c r="A28" s="384" t="inlineStr">
        <is>
          <t>Bunzana and Company Attorneys Inc.</t>
        </is>
      </c>
      <c r="B28" s="385" t="inlineStr">
        <is>
          <t>Eastern Cape</t>
        </is>
      </c>
      <c r="C28" s="385" t="n"/>
      <c r="D28" s="390" t="n">
        <v>1</v>
      </c>
    </row>
    <row r="29">
      <c r="A29" s="387" t="inlineStr">
        <is>
          <t>C. Mevana Attorneys</t>
        </is>
      </c>
      <c r="B29" s="388" t="inlineStr">
        <is>
          <t>Eastern Cape</t>
        </is>
      </c>
      <c r="C29" s="388" t="n"/>
      <c r="D29" s="391" t="n">
        <v>1</v>
      </c>
    </row>
    <row r="30">
      <c r="A30" s="384" t="inlineStr">
        <is>
          <t>C. S. Magazi Attorneys</t>
        </is>
      </c>
      <c r="B30" s="385" t="inlineStr">
        <is>
          <t>Eastern Cape</t>
        </is>
      </c>
      <c r="C30" s="385" t="n"/>
      <c r="D30" s="390" t="n">
        <v>35</v>
      </c>
    </row>
    <row r="31">
      <c r="A31" s="387" t="inlineStr">
        <is>
          <t>Caw-Jijana Attorneys</t>
        </is>
      </c>
      <c r="B31" s="388" t="inlineStr">
        <is>
          <t>KZN</t>
        </is>
      </c>
      <c r="C31" s="388" t="n"/>
      <c r="D31" s="391" t="n">
        <v>1</v>
      </c>
    </row>
    <row r="32">
      <c r="A32" s="384" t="inlineStr">
        <is>
          <t>Chabalala M Attorneys</t>
        </is>
      </c>
      <c r="B32" s="385" t="inlineStr">
        <is>
          <t>Gauteng</t>
        </is>
      </c>
      <c r="C32" s="385" t="inlineStr">
        <is>
          <t>Pretoria</t>
        </is>
      </c>
      <c r="D32" s="390" t="n">
        <v>33</v>
      </c>
    </row>
    <row r="33">
      <c r="A33" s="387" t="inlineStr">
        <is>
          <t>Chigo Attorneys Inc Attorneys</t>
        </is>
      </c>
      <c r="B33" s="388" t="inlineStr">
        <is>
          <t>NorthWest</t>
        </is>
      </c>
      <c r="C33" s="388" t="n"/>
      <c r="D33" s="391" t="n">
        <v>1</v>
      </c>
    </row>
    <row r="34">
      <c r="A34" s="384" t="inlineStr">
        <is>
          <t>Chuene Attorneys</t>
        </is>
      </c>
      <c r="B34" s="385" t="inlineStr">
        <is>
          <t>Gauteng</t>
        </is>
      </c>
      <c r="C34" s="385" t="inlineStr">
        <is>
          <t>Pretoria</t>
        </is>
      </c>
      <c r="D34" s="390" t="n">
        <v>793</v>
      </c>
    </row>
    <row r="35">
      <c r="A35" s="387" t="inlineStr">
        <is>
          <t>CJ. Mkhavele</t>
        </is>
      </c>
      <c r="B35" s="388" t="inlineStr">
        <is>
          <t>Gauteng</t>
        </is>
      </c>
      <c r="C35" s="388" t="inlineStr">
        <is>
          <t>Johannesburg</t>
        </is>
      </c>
      <c r="D35" s="391" t="n">
        <v>1</v>
      </c>
    </row>
    <row r="36">
      <c r="A36" s="384" t="inlineStr">
        <is>
          <t>Collins Attorneys</t>
        </is>
      </c>
      <c r="B36" s="385" t="inlineStr">
        <is>
          <t>Gauteng</t>
        </is>
      </c>
      <c r="C36" s="385" t="inlineStr">
        <is>
          <t>Pretoria</t>
        </is>
      </c>
      <c r="D36" s="390" t="n">
        <v>1</v>
      </c>
    </row>
    <row r="37">
      <c r="A37" s="387" t="inlineStr">
        <is>
          <t>Cronje,Dewaal Skhosana Inc. Attorneys</t>
        </is>
      </c>
      <c r="B37" s="388" t="inlineStr">
        <is>
          <t>Mpumalanga</t>
        </is>
      </c>
      <c r="C37" s="388" t="n"/>
      <c r="D37" s="391" t="n">
        <v>1</v>
      </c>
    </row>
    <row r="38">
      <c r="A38" s="384" t="inlineStr">
        <is>
          <t>CS. Zondi &amp; Associates Attorneys</t>
        </is>
      </c>
      <c r="B38" s="385" t="inlineStr">
        <is>
          <t>KZN</t>
        </is>
      </c>
      <c r="C38" s="385" t="n"/>
      <c r="D38" s="390" t="n">
        <v>3</v>
      </c>
    </row>
    <row r="39">
      <c r="A39" s="387" t="inlineStr">
        <is>
          <t>Davi Masilela Attorneys</t>
        </is>
      </c>
      <c r="B39" s="388" t="inlineStr">
        <is>
          <t>Gauteng</t>
        </is>
      </c>
      <c r="C39" s="388" t="inlineStr">
        <is>
          <t>Pretoria</t>
        </is>
      </c>
      <c r="D39" s="391" t="n">
        <v>1</v>
      </c>
    </row>
    <row r="40">
      <c r="A40" s="384" t="inlineStr">
        <is>
          <t>Department of Labour</t>
        </is>
      </c>
      <c r="B40" s="385" t="inlineStr">
        <is>
          <t>Gauteng</t>
        </is>
      </c>
      <c r="C40" s="385" t="inlineStr">
        <is>
          <t>Pretoria</t>
        </is>
      </c>
      <c r="D40" s="390" t="n">
        <v>1</v>
      </c>
    </row>
    <row r="41">
      <c r="A41" s="387" t="inlineStr">
        <is>
          <t>Dima Mashego Attorneys</t>
        </is>
      </c>
      <c r="B41" s="388" t="inlineStr">
        <is>
          <t>Limpopo</t>
        </is>
      </c>
      <c r="C41" s="388" t="n"/>
      <c r="D41" s="391" t="n">
        <v>2</v>
      </c>
    </row>
    <row r="42">
      <c r="A42" s="384" t="inlineStr">
        <is>
          <t>Dintsi M. &amp; Associates Attorneys</t>
        </is>
      </c>
      <c r="B42" s="385" t="inlineStr">
        <is>
          <t>KZN</t>
        </is>
      </c>
      <c r="C42" s="385" t="n"/>
      <c r="D42" s="390" t="n">
        <v>1</v>
      </c>
    </row>
    <row r="43">
      <c r="A43" s="387" t="inlineStr">
        <is>
          <t>DJ. Nkosi Attorneys</t>
        </is>
      </c>
      <c r="B43" s="388" t="inlineStr">
        <is>
          <t>Gauteng</t>
        </is>
      </c>
      <c r="C43" s="388" t="inlineStr">
        <is>
          <t>Johannesburg</t>
        </is>
      </c>
      <c r="D43" s="391" t="n">
        <v>20</v>
      </c>
    </row>
    <row r="44">
      <c r="A44" s="384" t="inlineStr">
        <is>
          <t>Dlamini &amp; Associates Attorneys</t>
        </is>
      </c>
      <c r="B44" s="385" t="inlineStr">
        <is>
          <t>KZN</t>
        </is>
      </c>
      <c r="C44" s="385" t="n"/>
      <c r="D44" s="390" t="n">
        <v>2</v>
      </c>
    </row>
    <row r="45">
      <c r="A45" s="387" t="inlineStr">
        <is>
          <t>Elaine Bisesar Attorneys</t>
        </is>
      </c>
      <c r="B45" s="388" t="inlineStr">
        <is>
          <t>KZN</t>
        </is>
      </c>
      <c r="C45" s="388" t="n"/>
      <c r="D45" s="391" t="n">
        <v>1</v>
      </c>
    </row>
    <row r="46">
      <c r="A46" s="384" t="inlineStr">
        <is>
          <t>Elmarie Bierman Attorneys</t>
        </is>
      </c>
      <c r="B46" s="385" t="inlineStr">
        <is>
          <t>Limpopo</t>
        </is>
      </c>
      <c r="C46" s="385" t="n"/>
      <c r="D46" s="390" t="n">
        <v>1</v>
      </c>
    </row>
    <row r="47">
      <c r="A47" s="387" t="inlineStr">
        <is>
          <t>Elton De Bruin Inc Attorneys</t>
        </is>
      </c>
      <c r="B47" s="388" t="inlineStr">
        <is>
          <t>Gauteng</t>
        </is>
      </c>
      <c r="C47" s="388" t="inlineStr">
        <is>
          <t>Pretoria</t>
        </is>
      </c>
      <c r="D47" s="391" t="n">
        <v>1</v>
      </c>
    </row>
    <row r="48">
      <c r="A48" s="384" t="inlineStr">
        <is>
          <t>Ernest Nemusimbori Attorneys</t>
        </is>
      </c>
      <c r="B48" s="385" t="inlineStr">
        <is>
          <t>Gauteng</t>
        </is>
      </c>
      <c r="C48" s="385" t="inlineStr">
        <is>
          <t>Pretoria</t>
        </is>
      </c>
      <c r="D48" s="390" t="n">
        <v>8</v>
      </c>
    </row>
    <row r="49">
      <c r="A49" s="387" t="inlineStr">
        <is>
          <t>Ezenwa Attorneys</t>
        </is>
      </c>
      <c r="B49" s="388" t="inlineStr">
        <is>
          <t>Gauteng</t>
        </is>
      </c>
      <c r="C49" s="388" t="inlineStr">
        <is>
          <t>Johannesburg</t>
        </is>
      </c>
      <c r="D49" s="391" t="n">
        <v>5</v>
      </c>
    </row>
    <row r="50">
      <c r="A50" s="384" t="inlineStr">
        <is>
          <t>F. Ntleleleko Attorneys</t>
        </is>
      </c>
      <c r="B50" s="385" t="inlineStr">
        <is>
          <t>Eastern Cape</t>
        </is>
      </c>
      <c r="C50" s="385" t="n"/>
      <c r="D50" s="390" t="n">
        <v>14</v>
      </c>
    </row>
    <row r="51">
      <c r="A51" s="387" t="inlineStr">
        <is>
          <t>Feke-Myeko Attorneys</t>
        </is>
      </c>
      <c r="B51" s="388" t="inlineStr">
        <is>
          <t>Gauteng</t>
        </is>
      </c>
      <c r="C51" s="388" t="inlineStr">
        <is>
          <t>Pretoria</t>
        </is>
      </c>
      <c r="D51" s="391" t="n">
        <v>4</v>
      </c>
    </row>
    <row r="52">
      <c r="A52" s="384" t="inlineStr">
        <is>
          <t>FH. Munyai Inc</t>
        </is>
      </c>
      <c r="B52" s="385" t="inlineStr">
        <is>
          <t>Gauteng</t>
        </is>
      </c>
      <c r="C52" s="385" t="inlineStr">
        <is>
          <t>Johannesburg</t>
        </is>
      </c>
      <c r="D52" s="390" t="n">
        <v>1</v>
      </c>
    </row>
    <row r="53">
      <c r="A53" s="387" t="inlineStr">
        <is>
          <t>Fisha Attorneys</t>
        </is>
      </c>
      <c r="B53" s="388" t="inlineStr">
        <is>
          <t>Gauteng</t>
        </is>
      </c>
      <c r="C53" s="388" t="inlineStr">
        <is>
          <t>Johannesburg</t>
        </is>
      </c>
      <c r="D53" s="391" t="n">
        <v>1</v>
      </c>
    </row>
    <row r="54">
      <c r="A54" s="384" t="inlineStr">
        <is>
          <t>FM. Malesa Attorneys</t>
        </is>
      </c>
      <c r="B54" s="385" t="inlineStr">
        <is>
          <t>Gauteng</t>
        </is>
      </c>
      <c r="C54" s="385" t="inlineStr">
        <is>
          <t>Pretoria</t>
        </is>
      </c>
      <c r="D54" s="390" t="n">
        <v>10</v>
      </c>
    </row>
    <row r="55">
      <c r="A55" s="387" t="inlineStr">
        <is>
          <t>FP. Phamba Attorneys</t>
        </is>
      </c>
      <c r="B55" s="388" t="inlineStr">
        <is>
          <t>Gauteng</t>
        </is>
      </c>
      <c r="C55" s="388" t="inlineStr">
        <is>
          <t>Johannesburg</t>
        </is>
      </c>
      <c r="D55" s="391" t="n">
        <v>1</v>
      </c>
    </row>
    <row r="56">
      <c r="A56" s="384" t="inlineStr">
        <is>
          <t>Galane Letsoalo Attorneys</t>
        </is>
      </c>
      <c r="B56" s="385" t="inlineStr">
        <is>
          <t>Gauteng</t>
        </is>
      </c>
      <c r="C56" s="385" t="inlineStr">
        <is>
          <t>Pretoria</t>
        </is>
      </c>
      <c r="D56" s="390" t="n">
        <v>5</v>
      </c>
    </row>
    <row r="57">
      <c r="A57" s="387" t="inlineStr">
        <is>
          <t>Gildenhuys Malatji Attorneys</t>
        </is>
      </c>
      <c r="B57" s="388" t="inlineStr">
        <is>
          <t>Gauteng</t>
        </is>
      </c>
      <c r="C57" s="388" t="inlineStr">
        <is>
          <t>Pretoria</t>
        </is>
      </c>
      <c r="D57" s="391" t="n">
        <v>1</v>
      </c>
    </row>
    <row r="58">
      <c r="A58" s="384" t="inlineStr">
        <is>
          <t>Gqamane Khumalo Attorneys</t>
        </is>
      </c>
      <c r="B58" s="385" t="inlineStr">
        <is>
          <t>KZN</t>
        </is>
      </c>
      <c r="C58" s="385" t="n"/>
      <c r="D58" s="390" t="n">
        <v>5</v>
      </c>
    </row>
    <row r="59">
      <c r="A59" s="387" t="inlineStr">
        <is>
          <t>Gqeba Inc Attorneys</t>
        </is>
      </c>
      <c r="B59" s="388" t="inlineStr">
        <is>
          <t>Eastern Cape</t>
        </is>
      </c>
      <c r="C59" s="388" t="n"/>
      <c r="D59" s="391" t="n">
        <v>6</v>
      </c>
    </row>
    <row r="60">
      <c r="A60" s="384" t="inlineStr">
        <is>
          <t>Gwaza Attorneys</t>
        </is>
      </c>
      <c r="B60" s="385" t="inlineStr">
        <is>
          <t>Cape Town</t>
        </is>
      </c>
      <c r="C60" s="385" t="n"/>
      <c r="D60" s="390" t="n">
        <v>2</v>
      </c>
    </row>
    <row r="61">
      <c r="A61" s="387" t="inlineStr">
        <is>
          <t>HC. Ramatladi Attorneys</t>
        </is>
      </c>
      <c r="B61" s="388" t="inlineStr">
        <is>
          <t>Gauteng</t>
        </is>
      </c>
      <c r="C61" s="388" t="inlineStr">
        <is>
          <t>Pretoria</t>
        </is>
      </c>
      <c r="D61" s="391" t="n">
        <v>18</v>
      </c>
    </row>
    <row r="62">
      <c r="A62" s="384" t="inlineStr">
        <is>
          <t>Harman Nethononda Attorneys</t>
        </is>
      </c>
      <c r="B62" s="385" t="inlineStr">
        <is>
          <t>Limpopo</t>
        </is>
      </c>
      <c r="C62" s="385" t="n"/>
      <c r="D62" s="390" t="n">
        <v>2</v>
      </c>
    </row>
    <row r="63">
      <c r="A63" s="387" t="inlineStr">
        <is>
          <t>Harvey T. Ngobeni Attorneys</t>
        </is>
      </c>
      <c r="B63" s="388" t="inlineStr">
        <is>
          <t>Gauteng</t>
        </is>
      </c>
      <c r="C63" s="388" t="inlineStr">
        <is>
          <t>Johannesburg</t>
        </is>
      </c>
      <c r="D63" s="391" t="n">
        <v>2</v>
      </c>
    </row>
    <row r="64">
      <c r="A64" s="384" t="inlineStr">
        <is>
          <t>Hlalanathi M. Attorneys</t>
        </is>
      </c>
      <c r="B64" s="385" t="inlineStr">
        <is>
          <t>KZN</t>
        </is>
      </c>
      <c r="C64" s="385" t="n"/>
      <c r="D64" s="390" t="n">
        <v>14</v>
      </c>
    </row>
    <row r="65">
      <c r="A65" s="387" t="inlineStr">
        <is>
          <t>Hlaneki &amp; Hlaneki Attorneys</t>
        </is>
      </c>
      <c r="B65" s="388" t="inlineStr">
        <is>
          <t>Limpopo</t>
        </is>
      </c>
      <c r="C65" s="388" t="n"/>
      <c r="D65" s="391" t="n">
        <v>3</v>
      </c>
    </row>
    <row r="66">
      <c r="A66" s="384" t="inlineStr">
        <is>
          <t>Horrena Jilata Attorneys</t>
        </is>
      </c>
      <c r="B66" s="385" t="inlineStr">
        <is>
          <t>Eastern Cape</t>
        </is>
      </c>
      <c r="C66" s="385" t="n"/>
      <c r="D66" s="390" t="n">
        <v>1</v>
      </c>
    </row>
    <row r="67">
      <c r="A67" s="387" t="inlineStr">
        <is>
          <t>JM. Mokoto Attorneys</t>
        </is>
      </c>
      <c r="B67" s="388" t="inlineStr">
        <is>
          <t>NorthWest</t>
        </is>
      </c>
      <c r="C67" s="388" t="n"/>
      <c r="D67" s="391" t="n">
        <v>1</v>
      </c>
    </row>
    <row r="68">
      <c r="A68" s="384" t="inlineStr">
        <is>
          <t>Jabu Hanyani Attorneys Incorporated</t>
        </is>
      </c>
      <c r="B68" s="385" t="inlineStr">
        <is>
          <t>Gauteng</t>
        </is>
      </c>
      <c r="C68" s="385" t="inlineStr">
        <is>
          <t>Johannesburg</t>
        </is>
      </c>
      <c r="D68" s="390" t="n">
        <v>3</v>
      </c>
    </row>
    <row r="69">
      <c r="A69" s="387" t="inlineStr">
        <is>
          <t>Jabu Ndhlovu Attorneys</t>
        </is>
      </c>
      <c r="B69" s="388" t="inlineStr">
        <is>
          <t>Gauteng</t>
        </is>
      </c>
      <c r="C69" s="388" t="inlineStr">
        <is>
          <t>Pretoria</t>
        </is>
      </c>
      <c r="D69" s="391" t="n">
        <v>1</v>
      </c>
    </row>
    <row r="70">
      <c r="A70" s="384" t="inlineStr">
        <is>
          <t>Jakkals Attorneys</t>
        </is>
      </c>
      <c r="B70" s="385" t="inlineStr">
        <is>
          <t>NorthWest</t>
        </is>
      </c>
      <c r="C70" s="385" t="n"/>
      <c r="D70" s="390" t="n">
        <v>1</v>
      </c>
    </row>
    <row r="71">
      <c r="A71" s="387" t="inlineStr">
        <is>
          <t>Jange Attorneys</t>
        </is>
      </c>
      <c r="B71" s="388" t="inlineStr">
        <is>
          <t>Gauteng</t>
        </is>
      </c>
      <c r="C71" s="388" t="inlineStr">
        <is>
          <t>Johannesburg</t>
        </is>
      </c>
      <c r="D71" s="391" t="n">
        <v>1</v>
      </c>
    </row>
    <row r="72">
      <c r="A72" s="384" t="inlineStr">
        <is>
          <t>JF. Shabangu Attorneys</t>
        </is>
      </c>
      <c r="B72" s="385" t="inlineStr">
        <is>
          <t>Mpumalanga</t>
        </is>
      </c>
      <c r="C72" s="385" t="n"/>
      <c r="D72" s="390" t="n">
        <v>1</v>
      </c>
    </row>
    <row r="73">
      <c r="A73" s="387" t="inlineStr">
        <is>
          <t>JP. Mahlangu Attorneys</t>
        </is>
      </c>
      <c r="B73" s="388" t="inlineStr">
        <is>
          <t>Gauteng</t>
        </is>
      </c>
      <c r="C73" s="388" t="inlineStr">
        <is>
          <t>Pretoria</t>
        </is>
      </c>
      <c r="D73" s="391" t="n">
        <v>75</v>
      </c>
    </row>
    <row r="74">
      <c r="A74" s="384" t="inlineStr">
        <is>
          <t>Justice Dikgale Attorneys</t>
        </is>
      </c>
      <c r="B74" s="385" t="inlineStr">
        <is>
          <t>Gauteng</t>
        </is>
      </c>
      <c r="C74" s="385" t="inlineStr">
        <is>
          <t>Pretoria</t>
        </is>
      </c>
      <c r="D74" s="390" t="n">
        <v>2</v>
      </c>
    </row>
    <row r="75">
      <c r="A75" s="387" t="inlineStr">
        <is>
          <t>K. Monakali Inc. Attorneys</t>
        </is>
      </c>
      <c r="B75" s="388" t="inlineStr">
        <is>
          <t>Eastern Cape</t>
        </is>
      </c>
      <c r="C75" s="388" t="n"/>
      <c r="D75" s="391" t="n">
        <v>1</v>
      </c>
    </row>
    <row r="76">
      <c r="A76" s="384" t="inlineStr">
        <is>
          <t>Kaniso Jako Attorneys</t>
        </is>
      </c>
      <c r="B76" s="385" t="inlineStr">
        <is>
          <t>Eastern Cape</t>
        </is>
      </c>
      <c r="C76" s="385" t="n"/>
      <c r="D76" s="390" t="n">
        <v>11</v>
      </c>
    </row>
    <row r="77">
      <c r="A77" s="387" t="inlineStr">
        <is>
          <t>KCN Attorneys</t>
        </is>
      </c>
      <c r="B77" s="388" t="inlineStr">
        <is>
          <t>KZN</t>
        </is>
      </c>
      <c r="C77" s="388" t="n"/>
      <c r="D77" s="391" t="n">
        <v>2</v>
      </c>
    </row>
    <row r="78">
      <c r="A78" s="384" t="inlineStr">
        <is>
          <t>KD. Langa Attorneys</t>
        </is>
      </c>
      <c r="B78" s="385" t="inlineStr">
        <is>
          <t>Gauteng</t>
        </is>
      </c>
      <c r="C78" s="385" t="inlineStr">
        <is>
          <t>Pretoria</t>
        </is>
      </c>
      <c r="D78" s="390" t="n">
        <v>1</v>
      </c>
    </row>
    <row r="79">
      <c r="A79" s="387" t="inlineStr">
        <is>
          <t>Khanyile &amp; Associates Attorneys</t>
        </is>
      </c>
      <c r="B79" s="388" t="inlineStr">
        <is>
          <t>KZN</t>
        </is>
      </c>
      <c r="C79" s="388" t="n"/>
      <c r="D79" s="391" t="n">
        <v>1</v>
      </c>
    </row>
    <row r="80">
      <c r="A80" s="384" t="inlineStr">
        <is>
          <t>Khayalethu Nondabula Attorneys</t>
        </is>
      </c>
      <c r="B80" s="385" t="inlineStr">
        <is>
          <t>KZN</t>
        </is>
      </c>
      <c r="C80" s="385" t="n"/>
      <c r="D80" s="390" t="n">
        <v>1</v>
      </c>
    </row>
    <row r="81">
      <c r="A81" s="387" t="inlineStr">
        <is>
          <t>Khoza &amp; Associates Attorneys</t>
        </is>
      </c>
      <c r="B81" s="388" t="inlineStr">
        <is>
          <t>Gauteng</t>
        </is>
      </c>
      <c r="C81" s="388" t="inlineStr">
        <is>
          <t>Johannesburg</t>
        </is>
      </c>
      <c r="D81" s="391" t="n">
        <v>2</v>
      </c>
    </row>
    <row r="82">
      <c r="A82" s="384" t="inlineStr">
        <is>
          <t>Khubhayi Attorneys</t>
        </is>
      </c>
      <c r="B82" s="385" t="inlineStr">
        <is>
          <t>Gauteng</t>
        </is>
      </c>
      <c r="C82" s="385" t="inlineStr">
        <is>
          <t>Pretoria</t>
        </is>
      </c>
      <c r="D82" s="390" t="n">
        <v>2</v>
      </c>
    </row>
    <row r="83">
      <c r="A83" s="387" t="inlineStr">
        <is>
          <t>KK. Ramachela Attorneys</t>
        </is>
      </c>
      <c r="B83" s="388" t="inlineStr">
        <is>
          <t>Limpopo</t>
        </is>
      </c>
      <c r="C83" s="388" t="n"/>
      <c r="D83" s="391" t="n">
        <v>1</v>
      </c>
    </row>
    <row r="84">
      <c r="A84" s="384" t="inlineStr">
        <is>
          <t>KMNS Inc. Attorneys</t>
        </is>
      </c>
      <c r="B84" s="385" t="inlineStr">
        <is>
          <t>Gauteng</t>
        </is>
      </c>
      <c r="C84" s="385" t="inlineStr">
        <is>
          <t>Johannesburg</t>
        </is>
      </c>
      <c r="D84" s="390" t="n">
        <v>4</v>
      </c>
    </row>
    <row r="85">
      <c r="A85" s="387" t="inlineStr">
        <is>
          <t>K. Montjane Attorneys</t>
        </is>
      </c>
      <c r="B85" s="388" t="inlineStr">
        <is>
          <t>Gauteng</t>
        </is>
      </c>
      <c r="C85" s="388" t="inlineStr">
        <is>
          <t>Johannesburg</t>
        </is>
      </c>
      <c r="D85" s="391" t="n">
        <v>1</v>
      </c>
    </row>
    <row r="86">
      <c r="A86" s="384" t="inlineStr">
        <is>
          <t>KMR Attorneys</t>
        </is>
      </c>
      <c r="B86" s="385" t="inlineStr">
        <is>
          <t>Cape Town</t>
        </is>
      </c>
      <c r="C86" s="385" t="n"/>
      <c r="D86" s="390" t="n">
        <v>2</v>
      </c>
    </row>
    <row r="87">
      <c r="A87" s="387" t="inlineStr">
        <is>
          <t>KN. Maleka Attorneys</t>
        </is>
      </c>
      <c r="B87" s="388" t="inlineStr">
        <is>
          <t>Limpopo</t>
        </is>
      </c>
      <c r="C87" s="388" t="n"/>
      <c r="D87" s="391" t="n">
        <v>9</v>
      </c>
    </row>
    <row r="88">
      <c r="A88" s="384" t="inlineStr">
        <is>
          <t>KNM. Mbadaliga Attorneys</t>
        </is>
      </c>
      <c r="B88" s="385" t="inlineStr">
        <is>
          <t>Limpopo</t>
        </is>
      </c>
      <c r="C88" s="385" t="n"/>
      <c r="D88" s="390" t="n">
        <v>2</v>
      </c>
    </row>
    <row r="89">
      <c r="A89" s="387" t="inlineStr">
        <is>
          <t>Koka Attorneys</t>
        </is>
      </c>
      <c r="B89" s="388" t="inlineStr">
        <is>
          <t>Gauteng</t>
        </is>
      </c>
      <c r="C89" s="388" t="inlineStr">
        <is>
          <t>Johannesburg</t>
        </is>
      </c>
      <c r="D89" s="391" t="n">
        <v>4</v>
      </c>
    </row>
    <row r="90">
      <c r="A90" s="384" t="inlineStr">
        <is>
          <t>Koliswa Jojo Attorney</t>
        </is>
      </c>
      <c r="B90" s="385" t="inlineStr">
        <is>
          <t>Eastern Cape</t>
        </is>
      </c>
      <c r="C90" s="385" t="n"/>
      <c r="D90" s="390" t="n">
        <v>22</v>
      </c>
    </row>
    <row r="91">
      <c r="A91" s="387" t="inlineStr">
        <is>
          <t>Kotsokwane Attorneys</t>
        </is>
      </c>
      <c r="B91" s="388" t="inlineStr">
        <is>
          <t>Gauteng</t>
        </is>
      </c>
      <c r="C91" s="388" t="inlineStr">
        <is>
          <t>Pretoria</t>
        </is>
      </c>
      <c r="D91" s="391" t="n">
        <v>11</v>
      </c>
    </row>
    <row r="92">
      <c r="A92" s="384" t="inlineStr">
        <is>
          <t>Kuaho Attorneys</t>
        </is>
      </c>
      <c r="B92" s="385" t="inlineStr">
        <is>
          <t>Limpopo</t>
        </is>
      </c>
      <c r="C92" s="385" t="n"/>
      <c r="D92" s="390" t="n">
        <v>30</v>
      </c>
    </row>
    <row r="93">
      <c r="A93" s="387" t="inlineStr">
        <is>
          <t xml:space="preserve">Kutlwano &amp; Associates </t>
        </is>
      </c>
      <c r="B93" s="388" t="inlineStr">
        <is>
          <t>Gauteng</t>
        </is>
      </c>
      <c r="C93" s="388" t="inlineStr">
        <is>
          <t>Johannesburg</t>
        </is>
      </c>
      <c r="D93" s="391" t="n">
        <v>10</v>
      </c>
    </row>
    <row r="94">
      <c r="A94" s="384" t="inlineStr">
        <is>
          <t>L. Jikela Attorneys</t>
        </is>
      </c>
      <c r="B94" s="385" t="inlineStr">
        <is>
          <t>Eastern Cape</t>
        </is>
      </c>
      <c r="C94" s="385" t="n"/>
      <c r="D94" s="390" t="n">
        <v>12</v>
      </c>
    </row>
    <row r="95">
      <c r="A95" s="387" t="inlineStr">
        <is>
          <t>L. Mapisa Attorneys</t>
        </is>
      </c>
      <c r="B95" s="388" t="inlineStr">
        <is>
          <t>KZN</t>
        </is>
      </c>
      <c r="C95" s="388" t="n"/>
      <c r="D95" s="391" t="n">
        <v>12</v>
      </c>
    </row>
    <row r="96">
      <c r="A96" s="384" t="inlineStr">
        <is>
          <t>L. Mathanda Inc. Attorneys</t>
        </is>
      </c>
      <c r="B96" s="385" t="inlineStr">
        <is>
          <t>Eastern Cape</t>
        </is>
      </c>
      <c r="C96" s="385" t="n"/>
      <c r="D96" s="390" t="n">
        <v>2</v>
      </c>
    </row>
    <row r="97">
      <c r="A97" s="387" t="inlineStr">
        <is>
          <t>L. Msomi Attorneys</t>
        </is>
      </c>
      <c r="B97" s="388" t="inlineStr">
        <is>
          <t>KZN</t>
        </is>
      </c>
      <c r="C97" s="388" t="n"/>
      <c r="D97" s="391" t="n">
        <v>1</v>
      </c>
    </row>
    <row r="98">
      <c r="A98" s="384" t="inlineStr">
        <is>
          <t>L. Mthambo Attorneys</t>
        </is>
      </c>
      <c r="B98" s="385" t="inlineStr">
        <is>
          <t>Eastern Cape</t>
        </is>
      </c>
      <c r="C98" s="385" t="n"/>
      <c r="D98" s="390" t="n">
        <v>4</v>
      </c>
    </row>
    <row r="99">
      <c r="A99" s="387" t="inlineStr">
        <is>
          <t>L. Naicker and Associates Attorneys</t>
        </is>
      </c>
      <c r="B99" s="388" t="inlineStr">
        <is>
          <t>KZN</t>
        </is>
      </c>
      <c r="C99" s="388" t="n"/>
      <c r="D99" s="391" t="n">
        <v>1</v>
      </c>
    </row>
    <row r="100">
      <c r="A100" s="384" t="inlineStr">
        <is>
          <t>L. Ndlovana Attorneys</t>
        </is>
      </c>
      <c r="B100" s="385" t="inlineStr">
        <is>
          <t>Eastern Cape</t>
        </is>
      </c>
      <c r="C100" s="385" t="n"/>
      <c r="D100" s="390" t="n">
        <v>1</v>
      </c>
    </row>
    <row r="101">
      <c r="A101" s="387" t="inlineStr">
        <is>
          <t>LB. Nwamba Attorneys</t>
        </is>
      </c>
      <c r="B101" s="388" t="inlineStr">
        <is>
          <t>Gauteng</t>
        </is>
      </c>
      <c r="C101" s="388" t="inlineStr">
        <is>
          <t>Pretoria</t>
        </is>
      </c>
      <c r="D101" s="391" t="n">
        <v>2</v>
      </c>
    </row>
    <row r="102">
      <c r="A102" s="384" t="inlineStr">
        <is>
          <t>Lebo Thakadu Inc. Attorneys</t>
        </is>
      </c>
      <c r="B102" s="385" t="inlineStr">
        <is>
          <t>Gauteng</t>
        </is>
      </c>
      <c r="C102" s="385" t="inlineStr">
        <is>
          <t>Pretoria</t>
        </is>
      </c>
      <c r="D102" s="390" t="n">
        <v>1</v>
      </c>
    </row>
    <row r="103">
      <c r="A103" s="387" t="inlineStr">
        <is>
          <t>Lem Nompandana &amp; Sons Attorneys</t>
        </is>
      </c>
      <c r="B103" s="388" t="inlineStr">
        <is>
          <t>Eastern Cape</t>
        </is>
      </c>
      <c r="C103" s="388" t="n"/>
      <c r="D103" s="391" t="n">
        <v>22</v>
      </c>
    </row>
    <row r="104">
      <c r="A104" s="384" t="inlineStr">
        <is>
          <t>Lesetja Noko Attorneys</t>
        </is>
      </c>
      <c r="B104" s="385" t="inlineStr">
        <is>
          <t>Gauteng</t>
        </is>
      </c>
      <c r="C104" s="385" t="inlineStr">
        <is>
          <t>Johannesburg</t>
        </is>
      </c>
      <c r="D104" s="390" t="n">
        <v>4</v>
      </c>
    </row>
    <row r="105">
      <c r="A105" s="387" t="inlineStr">
        <is>
          <t>Lesiba Mailula Inc. Attorneys</t>
        </is>
      </c>
      <c r="B105" s="388" t="inlineStr">
        <is>
          <t>Gauteng</t>
        </is>
      </c>
      <c r="C105" s="388" t="inlineStr">
        <is>
          <t>Pretoria</t>
        </is>
      </c>
      <c r="D105" s="391" t="n">
        <v>39</v>
      </c>
    </row>
    <row r="106">
      <c r="A106" s="384" t="inlineStr">
        <is>
          <t>Letseku Attorneys</t>
        </is>
      </c>
      <c r="B106" s="385" t="inlineStr">
        <is>
          <t>Limpopo</t>
        </is>
      </c>
      <c r="C106" s="385" t="n"/>
      <c r="D106" s="390" t="n">
        <v>2</v>
      </c>
    </row>
    <row r="107">
      <c r="A107" s="387" t="inlineStr">
        <is>
          <t>LL. Nkosi Attorneys</t>
        </is>
      </c>
      <c r="B107" s="388" t="inlineStr">
        <is>
          <t>Mpumalanga</t>
        </is>
      </c>
      <c r="C107" s="388" t="n"/>
      <c r="D107" s="391" t="n">
        <v>5</v>
      </c>
    </row>
    <row r="108">
      <c r="A108" s="384" t="inlineStr">
        <is>
          <t>LN. Xokiyana Attorneys</t>
        </is>
      </c>
      <c r="B108" s="385" t="inlineStr">
        <is>
          <t>Eastern Cape</t>
        </is>
      </c>
      <c r="C108" s="385" t="n"/>
      <c r="D108" s="390" t="n">
        <v>2</v>
      </c>
    </row>
    <row r="109">
      <c r="A109" s="387" t="inlineStr">
        <is>
          <t>Londy Malinga Attorneys</t>
        </is>
      </c>
      <c r="B109" s="388" t="inlineStr">
        <is>
          <t>KZN</t>
        </is>
      </c>
      <c r="C109" s="388" t="n"/>
      <c r="D109" s="391" t="n">
        <v>1</v>
      </c>
    </row>
    <row r="110">
      <c r="A110" s="384" t="inlineStr">
        <is>
          <t>Loyisi Nqini Attorneys</t>
        </is>
      </c>
      <c r="B110" s="385" t="inlineStr">
        <is>
          <t>Eastern Cape</t>
        </is>
      </c>
      <c r="C110" s="385" t="n"/>
      <c r="D110" s="390" t="n">
        <v>1</v>
      </c>
    </row>
    <row r="111">
      <c r="A111" s="387" t="inlineStr">
        <is>
          <t>LR. Mabunda Attorneys</t>
        </is>
      </c>
      <c r="B111" s="388" t="inlineStr">
        <is>
          <t>Limpopo</t>
        </is>
      </c>
      <c r="C111" s="388" t="n"/>
      <c r="D111" s="391" t="n">
        <v>7</v>
      </c>
    </row>
    <row r="112">
      <c r="A112" s="384" t="inlineStr">
        <is>
          <t>Lucky Rabumbulu Attorneys</t>
        </is>
      </c>
      <c r="B112" s="385" t="inlineStr">
        <is>
          <t>Gauteng</t>
        </is>
      </c>
      <c r="C112" s="385" t="inlineStr">
        <is>
          <t>Johannesburg</t>
        </is>
      </c>
      <c r="D112" s="390" t="n">
        <v>10</v>
      </c>
    </row>
    <row r="113">
      <c r="A113" s="387" t="inlineStr">
        <is>
          <t>M &amp; M Attorneys</t>
        </is>
      </c>
      <c r="B113" s="388" t="inlineStr">
        <is>
          <t>Gauteng</t>
        </is>
      </c>
      <c r="C113" s="388" t="inlineStr">
        <is>
          <t>Johannesburg</t>
        </is>
      </c>
      <c r="D113" s="391" t="n">
        <v>1</v>
      </c>
    </row>
    <row r="114">
      <c r="A114" s="384" t="inlineStr">
        <is>
          <t>MG. Mali Attorneys</t>
        </is>
      </c>
      <c r="B114" s="385" t="inlineStr">
        <is>
          <t>Gauteng</t>
        </is>
      </c>
      <c r="C114" s="385" t="inlineStr">
        <is>
          <t>Johannesburg</t>
        </is>
      </c>
      <c r="D114" s="390" t="n">
        <v>1</v>
      </c>
    </row>
    <row r="115">
      <c r="A115" s="387" t="inlineStr">
        <is>
          <t>M. Jozana Attorneys</t>
        </is>
      </c>
      <c r="B115" s="388" t="inlineStr">
        <is>
          <t>KZN</t>
        </is>
      </c>
      <c r="C115" s="388" t="n"/>
      <c r="D115" s="391" t="n">
        <v>73</v>
      </c>
    </row>
    <row r="116">
      <c r="A116" s="384" t="inlineStr">
        <is>
          <t>M. Mulaudzi Attorneys</t>
        </is>
      </c>
      <c r="B116" s="385" t="inlineStr">
        <is>
          <t>Gauteng</t>
        </is>
      </c>
      <c r="C116" s="385" t="inlineStr">
        <is>
          <t>Johannesburg</t>
        </is>
      </c>
      <c r="D116" s="390" t="n">
        <v>2</v>
      </c>
    </row>
    <row r="117">
      <c r="A117" s="387" t="inlineStr">
        <is>
          <t>M. Ndabeni Attorneys</t>
        </is>
      </c>
      <c r="B117" s="388" t="inlineStr">
        <is>
          <t>Gauteng</t>
        </is>
      </c>
      <c r="C117" s="388" t="inlineStr">
        <is>
          <t>Pretoria</t>
        </is>
      </c>
      <c r="D117" s="391" t="n">
        <v>3</v>
      </c>
    </row>
    <row r="118">
      <c r="A118" s="384" t="inlineStr">
        <is>
          <t>M. Ndamase Attorneys</t>
        </is>
      </c>
      <c r="B118" s="385" t="inlineStr">
        <is>
          <t>Eastern Cape</t>
        </is>
      </c>
      <c r="C118" s="385" t="n"/>
      <c r="D118" s="390" t="n">
        <v>11</v>
      </c>
    </row>
    <row r="119">
      <c r="A119" s="387" t="inlineStr">
        <is>
          <t>M. Vhelembo Attorneys</t>
        </is>
      </c>
      <c r="B119" s="388" t="inlineStr">
        <is>
          <t>Eastern Cape</t>
        </is>
      </c>
      <c r="C119" s="388" t="n"/>
      <c r="D119" s="391" t="n">
        <v>2</v>
      </c>
    </row>
    <row r="120">
      <c r="A120" s="384" t="inlineStr">
        <is>
          <t>Mandla Falithenjwa Inc. Attorneys</t>
        </is>
      </c>
      <c r="B120" s="385" t="inlineStr">
        <is>
          <t>Eastern Cape</t>
        </is>
      </c>
      <c r="C120" s="385" t="n"/>
      <c r="D120" s="390" t="n">
        <v>10</v>
      </c>
    </row>
    <row r="121">
      <c r="A121" s="387" t="inlineStr">
        <is>
          <t>M. Ramogotswa Inc. Attorneys</t>
        </is>
      </c>
      <c r="B121" s="388" t="inlineStr">
        <is>
          <t>Gauteng</t>
        </is>
      </c>
      <c r="C121" s="388" t="inlineStr">
        <is>
          <t>Pretoria</t>
        </is>
      </c>
      <c r="D121" s="391" t="n">
        <v>2</v>
      </c>
    </row>
    <row r="122">
      <c r="A122" s="384" t="inlineStr">
        <is>
          <t>ME. Matolo Inc. Attorneys</t>
        </is>
      </c>
      <c r="B122" s="385" t="inlineStr">
        <is>
          <t>Gauteng</t>
        </is>
      </c>
      <c r="C122" s="385" t="inlineStr">
        <is>
          <t>Johannesburg</t>
        </is>
      </c>
      <c r="D122" s="390" t="n">
        <v>1</v>
      </c>
    </row>
    <row r="123">
      <c r="A123" s="387" t="inlineStr">
        <is>
          <t>MO. Motladi Attorneys</t>
        </is>
      </c>
      <c r="B123" s="388" t="inlineStr">
        <is>
          <t>Gauteng</t>
        </is>
      </c>
      <c r="C123" s="388" t="inlineStr">
        <is>
          <t>Johannesburg</t>
        </is>
      </c>
      <c r="D123" s="391" t="n">
        <v>1</v>
      </c>
    </row>
    <row r="124">
      <c r="A124" s="384" t="inlineStr">
        <is>
          <t>MA. Mpholoane Inc. Attorneys</t>
        </is>
      </c>
      <c r="B124" s="385" t="inlineStr">
        <is>
          <t>Gauteng</t>
        </is>
      </c>
      <c r="C124" s="385" t="inlineStr">
        <is>
          <t>Johannesburg</t>
        </is>
      </c>
      <c r="D124" s="390" t="n">
        <v>12</v>
      </c>
    </row>
    <row r="125">
      <c r="A125" s="387" t="inlineStr">
        <is>
          <t>Mabasa Attorneys</t>
        </is>
      </c>
      <c r="B125" s="388" t="inlineStr">
        <is>
          <t>Gauteng</t>
        </is>
      </c>
      <c r="C125" s="388" t="inlineStr">
        <is>
          <t>Johannesburg</t>
        </is>
      </c>
      <c r="D125" s="391" t="n">
        <v>3</v>
      </c>
    </row>
    <row r="126">
      <c r="A126" s="384" t="inlineStr">
        <is>
          <t>Mabini Incorporated Attorneys</t>
        </is>
      </c>
      <c r="B126" s="385" t="inlineStr">
        <is>
          <t>Gauteng</t>
        </is>
      </c>
      <c r="C126" s="385" t="inlineStr">
        <is>
          <t>Pretoria</t>
        </is>
      </c>
      <c r="D126" s="390" t="n">
        <v>1</v>
      </c>
    </row>
    <row r="127">
      <c r="A127" s="387" t="inlineStr">
        <is>
          <t>Madala Inc. Attorneys</t>
        </is>
      </c>
      <c r="B127" s="388" t="inlineStr">
        <is>
          <t>Gauteng</t>
        </is>
      </c>
      <c r="C127" s="388" t="inlineStr">
        <is>
          <t>Johannesburg</t>
        </is>
      </c>
      <c r="D127" s="391" t="n">
        <v>4</v>
      </c>
    </row>
    <row r="128">
      <c r="A128" s="384" t="inlineStr">
        <is>
          <t>Madlala Ngobeni Inc. Attorneys</t>
        </is>
      </c>
      <c r="B128" s="385" t="inlineStr">
        <is>
          <t>Gauteng</t>
        </is>
      </c>
      <c r="C128" s="385" t="inlineStr">
        <is>
          <t>Pretoria</t>
        </is>
      </c>
      <c r="D128" s="390" t="n">
        <v>1</v>
      </c>
    </row>
    <row r="129">
      <c r="A129" s="387" t="inlineStr">
        <is>
          <t>Madubula &amp; Mancotywa Inc. Attorneys</t>
        </is>
      </c>
      <c r="B129" s="388" t="inlineStr">
        <is>
          <t>Eastern Cape</t>
        </is>
      </c>
      <c r="C129" s="388" t="n"/>
      <c r="D129" s="391" t="n">
        <v>2</v>
      </c>
    </row>
    <row r="130">
      <c r="A130" s="384" t="inlineStr">
        <is>
          <t>Madzivhandila N. Attorneys</t>
        </is>
      </c>
      <c r="B130" s="385" t="inlineStr">
        <is>
          <t>Limpopo</t>
        </is>
      </c>
      <c r="C130" s="385" t="n"/>
      <c r="D130" s="390" t="n">
        <v>2</v>
      </c>
    </row>
    <row r="131">
      <c r="A131" s="387" t="inlineStr">
        <is>
          <t>Mahanoe Inc. Attorneys</t>
        </is>
      </c>
      <c r="B131" s="388" t="inlineStr">
        <is>
          <t>Gauteng</t>
        </is>
      </c>
      <c r="C131" s="388" t="inlineStr">
        <is>
          <t>Johannesburg</t>
        </is>
      </c>
      <c r="D131" s="391" t="n">
        <v>1</v>
      </c>
    </row>
    <row r="132">
      <c r="A132" s="384" t="inlineStr">
        <is>
          <t>Mahlangu Attorneys</t>
        </is>
      </c>
      <c r="B132" s="385" t="inlineStr">
        <is>
          <t>Gauteng</t>
        </is>
      </c>
      <c r="C132" s="385" t="inlineStr">
        <is>
          <t>Pretoria</t>
        </is>
      </c>
      <c r="D132" s="390" t="n">
        <v>6</v>
      </c>
    </row>
    <row r="133">
      <c r="A133" s="387" t="inlineStr">
        <is>
          <t>Mahowa Attorneys</t>
        </is>
      </c>
      <c r="B133" s="388" t="inlineStr">
        <is>
          <t>Limpopo</t>
        </is>
      </c>
      <c r="C133" s="388" t="n"/>
      <c r="D133" s="391" t="n">
        <v>9</v>
      </c>
    </row>
    <row r="134">
      <c r="A134" s="384" t="inlineStr">
        <is>
          <t>Maja Attorneys</t>
        </is>
      </c>
      <c r="B134" s="385" t="inlineStr">
        <is>
          <t>Gauteng</t>
        </is>
      </c>
      <c r="C134" s="385" t="inlineStr">
        <is>
          <t>Johannesburg</t>
        </is>
      </c>
      <c r="D134" s="390" t="n">
        <v>2</v>
      </c>
    </row>
    <row r="135">
      <c r="A135" s="387" t="inlineStr">
        <is>
          <t>Majavu Attorneys</t>
        </is>
      </c>
      <c r="B135" s="388" t="inlineStr">
        <is>
          <t>Eastern Cape</t>
        </is>
      </c>
      <c r="C135" s="388" t="n"/>
      <c r="D135" s="391" t="n">
        <v>1</v>
      </c>
    </row>
    <row r="136">
      <c r="A136" s="384" t="inlineStr">
        <is>
          <t>Makalima Attorneys</t>
        </is>
      </c>
      <c r="B136" s="385" t="inlineStr">
        <is>
          <t>Eastern Cape</t>
        </is>
      </c>
      <c r="C136" s="385" t="n"/>
      <c r="D136" s="390" t="n">
        <v>1</v>
      </c>
    </row>
    <row r="137">
      <c r="A137" s="387" t="inlineStr">
        <is>
          <t>Makangela Mthungani Attorneys</t>
        </is>
      </c>
      <c r="B137" s="388" t="inlineStr">
        <is>
          <t>Eastern Cape</t>
        </is>
      </c>
      <c r="C137" s="388" t="n"/>
      <c r="D137" s="391" t="n">
        <v>2</v>
      </c>
    </row>
    <row r="138">
      <c r="A138" s="384" t="inlineStr">
        <is>
          <t>Makgele RM Attorneys</t>
        </is>
      </c>
      <c r="B138" s="385" t="inlineStr">
        <is>
          <t>Gauteng</t>
        </is>
      </c>
      <c r="C138" s="385" t="inlineStr">
        <is>
          <t>Johannesburg</t>
        </is>
      </c>
      <c r="D138" s="390" t="n">
        <v>113</v>
      </c>
    </row>
    <row r="139">
      <c r="A139" s="387" t="inlineStr">
        <is>
          <t>Makhubela Zacharia Attorneys</t>
        </is>
      </c>
      <c r="B139" s="388" t="inlineStr">
        <is>
          <t>Gauteng</t>
        </is>
      </c>
      <c r="C139" s="388" t="inlineStr">
        <is>
          <t>Johannesburg</t>
        </is>
      </c>
      <c r="D139" s="391" t="n">
        <v>4</v>
      </c>
    </row>
    <row r="140">
      <c r="A140" s="384" t="inlineStr">
        <is>
          <t>Makola Matsimela Attorneys</t>
        </is>
      </c>
      <c r="B140" s="385" t="inlineStr">
        <is>
          <t>Limpopo</t>
        </is>
      </c>
      <c r="C140" s="385" t="n"/>
      <c r="D140" s="390" t="n">
        <v>6</v>
      </c>
    </row>
    <row r="141">
      <c r="A141" s="387" t="inlineStr">
        <is>
          <t>Makota Attorneys</t>
        </is>
      </c>
      <c r="B141" s="388" t="inlineStr">
        <is>
          <t>Gauteng</t>
        </is>
      </c>
      <c r="C141" s="388" t="inlineStr">
        <is>
          <t>Pretoria</t>
        </is>
      </c>
      <c r="D141" s="391" t="n">
        <v>4</v>
      </c>
    </row>
    <row r="142">
      <c r="A142" s="384" t="inlineStr">
        <is>
          <t>Malada M Attorneys</t>
        </is>
      </c>
      <c r="B142" s="385" t="inlineStr">
        <is>
          <t>Limpopo</t>
        </is>
      </c>
      <c r="C142" s="385" t="n"/>
      <c r="D142" s="390" t="n">
        <v>5</v>
      </c>
    </row>
    <row r="143">
      <c r="A143" s="387" t="inlineStr">
        <is>
          <t>Malatji Legodi Attorneys</t>
        </is>
      </c>
      <c r="B143" s="388" t="inlineStr">
        <is>
          <t>Gauteng</t>
        </is>
      </c>
      <c r="C143" s="388" t="inlineStr">
        <is>
          <t>Johannesburg</t>
        </is>
      </c>
      <c r="D143" s="391" t="n">
        <v>6</v>
      </c>
    </row>
    <row r="144">
      <c r="A144" s="384" t="inlineStr">
        <is>
          <t>Maliseha Attorneys</t>
        </is>
      </c>
      <c r="B144" s="385" t="inlineStr">
        <is>
          <t>Gauteng</t>
        </is>
      </c>
      <c r="C144" s="385" t="inlineStr">
        <is>
          <t>Pretoria</t>
        </is>
      </c>
      <c r="D144" s="390" t="n">
        <v>2</v>
      </c>
    </row>
    <row r="145">
      <c r="A145" s="387" t="inlineStr">
        <is>
          <t>Maluleke Maria Attorneys</t>
        </is>
      </c>
      <c r="B145" s="388" t="inlineStr">
        <is>
          <t>Limpopo</t>
        </is>
      </c>
      <c r="C145" s="388" t="n"/>
      <c r="D145" s="391" t="n">
        <v>3</v>
      </c>
    </row>
    <row r="146">
      <c r="A146" s="384" t="inlineStr">
        <is>
          <t>Mamabolo M Inc. Attorneys</t>
        </is>
      </c>
      <c r="B146" s="385" t="inlineStr">
        <is>
          <t>Limpopo</t>
        </is>
      </c>
      <c r="C146" s="385" t="n"/>
      <c r="D146" s="390" t="n">
        <v>2</v>
      </c>
    </row>
    <row r="147">
      <c r="A147" s="387" t="inlineStr">
        <is>
          <t>Mampa &amp; Machete Attorneys</t>
        </is>
      </c>
      <c r="B147" s="388" t="inlineStr">
        <is>
          <t>Gauteng</t>
        </is>
      </c>
      <c r="C147" s="388" t="inlineStr">
        <is>
          <t>Johannesburg</t>
        </is>
      </c>
      <c r="D147" s="391" t="n">
        <v>1</v>
      </c>
    </row>
    <row r="148">
      <c r="A148" s="384" t="inlineStr">
        <is>
          <t>Mangcobonga Attorneys</t>
        </is>
      </c>
      <c r="B148" s="385" t="inlineStr">
        <is>
          <t>Eastern Cape</t>
        </is>
      </c>
      <c r="C148" s="385" t="n"/>
      <c r="D148" s="390" t="n">
        <v>3</v>
      </c>
    </row>
    <row r="149">
      <c r="A149" s="387" t="inlineStr">
        <is>
          <t>Mantu Attorneys</t>
        </is>
      </c>
      <c r="B149" s="388" t="inlineStr">
        <is>
          <t>Gauteng</t>
        </is>
      </c>
      <c r="C149" s="388" t="inlineStr">
        <is>
          <t>Pretoria</t>
        </is>
      </c>
      <c r="D149" s="391" t="n">
        <v>10</v>
      </c>
    </row>
    <row r="150">
      <c r="A150" s="384" t="inlineStr">
        <is>
          <t>Maraj Inc. Attorneys</t>
        </is>
      </c>
      <c r="B150" s="385" t="inlineStr">
        <is>
          <t>KZN</t>
        </is>
      </c>
      <c r="C150" s="385" t="n"/>
      <c r="D150" s="390" t="n">
        <v>1</v>
      </c>
    </row>
    <row r="151">
      <c r="A151" s="387" t="inlineStr">
        <is>
          <t>Maseya Attorneys</t>
        </is>
      </c>
      <c r="B151" s="388" t="inlineStr">
        <is>
          <t>Gauteng</t>
        </is>
      </c>
      <c r="C151" s="388" t="inlineStr">
        <is>
          <t>Johannesburg</t>
        </is>
      </c>
      <c r="D151" s="391" t="n">
        <v>5</v>
      </c>
    </row>
    <row r="152">
      <c r="A152" s="384" t="inlineStr">
        <is>
          <t>Mashabela Attorneys</t>
        </is>
      </c>
      <c r="B152" s="385" t="inlineStr">
        <is>
          <t>Limpopo</t>
        </is>
      </c>
      <c r="C152" s="385" t="n"/>
      <c r="D152" s="390" t="n">
        <v>3</v>
      </c>
    </row>
    <row r="153">
      <c r="A153" s="387" t="inlineStr">
        <is>
          <t>Masia Attorneys</t>
        </is>
      </c>
      <c r="B153" s="388" t="inlineStr">
        <is>
          <t>Free State</t>
        </is>
      </c>
      <c r="C153" s="388" t="n"/>
      <c r="D153" s="391" t="n">
        <v>3</v>
      </c>
    </row>
    <row r="154">
      <c r="A154" s="384" t="inlineStr">
        <is>
          <t>Masipa Attorneys</t>
        </is>
      </c>
      <c r="B154" s="385" t="inlineStr">
        <is>
          <t>Gauteng</t>
        </is>
      </c>
      <c r="C154" s="385" t="inlineStr">
        <is>
          <t>Pretoria</t>
        </is>
      </c>
      <c r="D154" s="390" t="n">
        <v>8</v>
      </c>
    </row>
    <row r="155">
      <c r="A155" s="387" t="inlineStr">
        <is>
          <t>Masixole Bangiso Attorneys</t>
        </is>
      </c>
      <c r="B155" s="388" t="inlineStr">
        <is>
          <t>Eastern Cape</t>
        </is>
      </c>
      <c r="C155" s="388" t="n"/>
      <c r="D155" s="391" t="n">
        <v>2</v>
      </c>
    </row>
    <row r="156">
      <c r="A156" s="384" t="inlineStr">
        <is>
          <t>Maswanganyi Attorneys</t>
        </is>
      </c>
      <c r="B156" s="385" t="inlineStr">
        <is>
          <t>Gauteng</t>
        </is>
      </c>
      <c r="C156" s="385" t="inlineStr">
        <is>
          <t>Johannesburg</t>
        </is>
      </c>
      <c r="D156" s="390" t="n">
        <v>1</v>
      </c>
    </row>
    <row r="157">
      <c r="A157" s="387" t="inlineStr">
        <is>
          <t>Matebane Attorneys</t>
        </is>
      </c>
      <c r="B157" s="388" t="inlineStr">
        <is>
          <t>Gauteng</t>
        </is>
      </c>
      <c r="C157" s="388" t="inlineStr">
        <is>
          <t>Johannesburg</t>
        </is>
      </c>
      <c r="D157" s="391" t="n">
        <v>2</v>
      </c>
    </row>
    <row r="158">
      <c r="A158" s="384" t="inlineStr">
        <is>
          <t>Mathegu RS. Attorneys</t>
        </is>
      </c>
      <c r="B158" s="385" t="inlineStr">
        <is>
          <t>Limpopo</t>
        </is>
      </c>
      <c r="C158" s="385" t="n"/>
      <c r="D158" s="390" t="n">
        <v>1</v>
      </c>
    </row>
    <row r="159">
      <c r="A159" s="387" t="inlineStr">
        <is>
          <t>Mathekga Attorneys</t>
        </is>
      </c>
      <c r="B159" s="388" t="inlineStr">
        <is>
          <t>Gauteng</t>
        </is>
      </c>
      <c r="C159" s="388" t="inlineStr">
        <is>
          <t>Pretoria</t>
        </is>
      </c>
      <c r="D159" s="391" t="n">
        <v>49</v>
      </c>
    </row>
    <row r="160">
      <c r="A160" s="384" t="inlineStr">
        <is>
          <t>Mathibe Thabang Attorneys</t>
        </is>
      </c>
      <c r="B160" s="385" t="inlineStr">
        <is>
          <t>Gauteng</t>
        </is>
      </c>
      <c r="C160" s="385" t="inlineStr">
        <is>
          <t>Johannesburg</t>
        </is>
      </c>
      <c r="D160" s="390" t="n">
        <v>2</v>
      </c>
    </row>
    <row r="161">
      <c r="A161" s="387" t="inlineStr">
        <is>
          <t>Mathye Attorneys</t>
        </is>
      </c>
      <c r="B161" s="388" t="inlineStr">
        <is>
          <t>Gauteng</t>
        </is>
      </c>
      <c r="C161" s="388" t="inlineStr">
        <is>
          <t>Pretoria</t>
        </is>
      </c>
      <c r="D161" s="391" t="n">
        <v>1</v>
      </c>
    </row>
    <row r="162">
      <c r="A162" s="384" t="inlineStr">
        <is>
          <t>Matladi Attorneys</t>
        </is>
      </c>
      <c r="B162" s="385" t="inlineStr">
        <is>
          <t>Gauteng</t>
        </is>
      </c>
      <c r="C162" s="385" t="inlineStr">
        <is>
          <t>Pretoria</t>
        </is>
      </c>
      <c r="D162" s="390" t="n">
        <v>1</v>
      </c>
    </row>
    <row r="163">
      <c r="A163" s="387" t="inlineStr">
        <is>
          <t>Matodzi Neluheni Attorneys</t>
        </is>
      </c>
      <c r="B163" s="388" t="inlineStr">
        <is>
          <t>KZN</t>
        </is>
      </c>
      <c r="C163" s="388" t="n"/>
      <c r="D163" s="391" t="n">
        <v>1</v>
      </c>
    </row>
    <row r="164">
      <c r="A164" s="384" t="inlineStr">
        <is>
          <t>Matojane Malungana Inc. Attorneys</t>
        </is>
      </c>
      <c r="B164" s="385" t="inlineStr">
        <is>
          <t>Gauteng</t>
        </is>
      </c>
      <c r="C164" s="385" t="inlineStr">
        <is>
          <t>Johannesburg</t>
        </is>
      </c>
      <c r="D164" s="390" t="n">
        <v>1</v>
      </c>
    </row>
    <row r="165">
      <c r="A165" s="387" t="inlineStr">
        <is>
          <t>Matome Bopape Attorneys</t>
        </is>
      </c>
      <c r="B165" s="388" t="inlineStr">
        <is>
          <t>Gauteng</t>
        </is>
      </c>
      <c r="C165" s="388" t="inlineStr">
        <is>
          <t>Johannesburg</t>
        </is>
      </c>
      <c r="D165" s="391" t="n">
        <v>4</v>
      </c>
    </row>
    <row r="166">
      <c r="A166" s="384" t="inlineStr">
        <is>
          <t>Matsi Mailula Attorneys</t>
        </is>
      </c>
      <c r="B166" s="385" t="inlineStr">
        <is>
          <t>Gauteng</t>
        </is>
      </c>
      <c r="C166" s="385" t="inlineStr">
        <is>
          <t>Pretoria</t>
        </is>
      </c>
      <c r="D166" s="390" t="n">
        <v>22</v>
      </c>
    </row>
    <row r="167">
      <c r="A167" s="387" t="inlineStr">
        <is>
          <t>Mayindi Attorneys</t>
        </is>
      </c>
      <c r="B167" s="388" t="inlineStr">
        <is>
          <t>Gauteng</t>
        </is>
      </c>
      <c r="C167" s="388" t="inlineStr">
        <is>
          <t>Johannesburg</t>
        </is>
      </c>
      <c r="D167" s="391" t="n">
        <v>3</v>
      </c>
    </row>
    <row r="168">
      <c r="A168" s="384" t="inlineStr">
        <is>
          <t>Mbawu Attorneys</t>
        </is>
      </c>
      <c r="B168" s="385" t="inlineStr">
        <is>
          <t>KZN</t>
        </is>
      </c>
      <c r="C168" s="385" t="n"/>
      <c r="D168" s="390" t="n">
        <v>1</v>
      </c>
    </row>
    <row r="169">
      <c r="A169" s="387" t="inlineStr">
        <is>
          <t>Mbele &amp; Ngcobo Attorneys Inc. Attorneys</t>
        </is>
      </c>
      <c r="B169" s="388" t="inlineStr">
        <is>
          <t>KZN</t>
        </is>
      </c>
      <c r="C169" s="388" t="n"/>
      <c r="D169" s="391" t="n">
        <v>5</v>
      </c>
    </row>
    <row r="170">
      <c r="A170" s="384" t="inlineStr">
        <is>
          <t>Mbokazi Attorneys Inc. Attorneys</t>
        </is>
      </c>
      <c r="B170" s="385" t="inlineStr">
        <is>
          <t>Mpumalanga</t>
        </is>
      </c>
      <c r="C170" s="385" t="n"/>
      <c r="D170" s="390" t="n">
        <v>2</v>
      </c>
    </row>
    <row r="171">
      <c r="A171" s="387" t="inlineStr">
        <is>
          <t>Mbongenin Mkhize Attorneys</t>
        </is>
      </c>
      <c r="B171" s="388" t="inlineStr">
        <is>
          <t>KZN</t>
        </is>
      </c>
      <c r="C171" s="388" t="n"/>
      <c r="D171" s="391" t="n">
        <v>22</v>
      </c>
    </row>
    <row r="172">
      <c r="A172" s="384" t="inlineStr">
        <is>
          <t>MC. Baloyi Attorneys</t>
        </is>
      </c>
      <c r="B172" s="385" t="inlineStr">
        <is>
          <t>Limpopo</t>
        </is>
      </c>
      <c r="C172" s="385" t="n"/>
      <c r="D172" s="390" t="n">
        <v>4</v>
      </c>
    </row>
    <row r="173">
      <c r="A173" s="387" t="inlineStr">
        <is>
          <t>MC. Nkosi Attorneys</t>
        </is>
      </c>
      <c r="B173" s="388" t="inlineStr">
        <is>
          <t>KZN</t>
        </is>
      </c>
      <c r="C173" s="388" t="n"/>
      <c r="D173" s="391" t="n">
        <v>1</v>
      </c>
    </row>
    <row r="174">
      <c r="A174" s="384" t="inlineStr">
        <is>
          <t>Mconi &amp; Associates Attorneys</t>
        </is>
      </c>
      <c r="B174" s="385" t="inlineStr">
        <is>
          <t>Gauteng</t>
        </is>
      </c>
      <c r="C174" s="385" t="inlineStr">
        <is>
          <t>Pretoria</t>
        </is>
      </c>
      <c r="D174" s="390" t="n">
        <v>1</v>
      </c>
    </row>
    <row r="175">
      <c r="A175" s="387" t="inlineStr">
        <is>
          <t>MDB Inc. Attorneys</t>
        </is>
      </c>
      <c r="B175" s="388" t="inlineStr">
        <is>
          <t>Gauteng</t>
        </is>
      </c>
      <c r="C175" s="388" t="inlineStr">
        <is>
          <t>Johannesburg</t>
        </is>
      </c>
      <c r="D175" s="391" t="n">
        <v>17</v>
      </c>
    </row>
    <row r="176">
      <c r="A176" s="384" t="inlineStr">
        <is>
          <t>Mduduzi Buthelezi Attorneys</t>
        </is>
      </c>
      <c r="B176" s="385" t="inlineStr">
        <is>
          <t>Gauteng</t>
        </is>
      </c>
      <c r="C176" s="385" t="inlineStr">
        <is>
          <t>Johannesburg</t>
        </is>
      </c>
      <c r="D176" s="390" t="n">
        <v>3</v>
      </c>
    </row>
    <row r="177">
      <c r="A177" s="387" t="inlineStr">
        <is>
          <t>ME. Saidell Attorneys</t>
        </is>
      </c>
      <c r="B177" s="388" t="inlineStr">
        <is>
          <t>Mpumalanga</t>
        </is>
      </c>
      <c r="C177" s="388" t="n"/>
      <c r="D177" s="391" t="n">
        <v>1</v>
      </c>
    </row>
    <row r="178">
      <c r="A178" s="384" t="inlineStr">
        <is>
          <t>Medtech Africorp</t>
        </is>
      </c>
      <c r="B178" s="385" t="inlineStr">
        <is>
          <t>Gauteng</t>
        </is>
      </c>
      <c r="C178" s="385" t="inlineStr">
        <is>
          <t>Johannesburg</t>
        </is>
      </c>
      <c r="D178" s="390" t="n">
        <v>2</v>
      </c>
    </row>
    <row r="179">
      <c r="A179" s="387" t="inlineStr">
        <is>
          <t>Melange Iatric Services</t>
        </is>
      </c>
      <c r="B179" s="388" t="inlineStr">
        <is>
          <t>Gauteng</t>
        </is>
      </c>
      <c r="C179" s="388" t="inlineStr">
        <is>
          <t>Johannesburg</t>
        </is>
      </c>
      <c r="D179" s="391" t="n">
        <v>11</v>
      </c>
    </row>
    <row r="180">
      <c r="A180" s="384" t="inlineStr">
        <is>
          <t>Mello Attorneys</t>
        </is>
      </c>
      <c r="B180" s="385" t="inlineStr">
        <is>
          <t>Gauteng</t>
        </is>
      </c>
      <c r="C180" s="385" t="inlineStr">
        <is>
          <t>Johannesburg</t>
        </is>
      </c>
      <c r="D180" s="390" t="n">
        <v>39</v>
      </c>
    </row>
    <row r="181">
      <c r="A181" s="387" t="inlineStr">
        <is>
          <t>Mfungula &amp; Co. Attorneys</t>
        </is>
      </c>
      <c r="B181" s="388" t="inlineStr">
        <is>
          <t>KZN</t>
        </is>
      </c>
      <c r="C181" s="388" t="n"/>
      <c r="D181" s="391" t="n">
        <v>1</v>
      </c>
    </row>
    <row r="182">
      <c r="A182" s="384" t="inlineStr">
        <is>
          <t>Mgcotyelwa Krewu Inc. Attorneys</t>
        </is>
      </c>
      <c r="B182" s="385" t="inlineStr">
        <is>
          <t>Eastern Cape</t>
        </is>
      </c>
      <c r="C182" s="385" t="n"/>
      <c r="D182" s="390" t="n">
        <v>1</v>
      </c>
    </row>
    <row r="183">
      <c r="A183" s="387" t="inlineStr">
        <is>
          <t>Mgiba J. Attorneys</t>
        </is>
      </c>
      <c r="B183" s="388" t="inlineStr">
        <is>
          <t>Gauteng</t>
        </is>
      </c>
      <c r="C183" s="388" t="inlineStr">
        <is>
          <t>Johannesburg</t>
        </is>
      </c>
      <c r="D183" s="391" t="n">
        <v>2</v>
      </c>
    </row>
    <row r="184">
      <c r="A184" s="384" t="inlineStr">
        <is>
          <t>Mgweshe Nqeleni Inc. Attorneys</t>
        </is>
      </c>
      <c r="B184" s="385" t="inlineStr">
        <is>
          <t>Eastern Cape</t>
        </is>
      </c>
      <c r="C184" s="385" t="n"/>
      <c r="D184" s="390" t="n">
        <v>12</v>
      </c>
    </row>
    <row r="185">
      <c r="A185" s="387" t="inlineStr">
        <is>
          <t>Mgxaji Zazaza Attorneys</t>
        </is>
      </c>
      <c r="B185" s="388" t="inlineStr">
        <is>
          <t>Eastern Cape</t>
        </is>
      </c>
      <c r="C185" s="388" t="n"/>
      <c r="D185" s="391" t="n">
        <v>1</v>
      </c>
    </row>
    <row r="186">
      <c r="A186" s="384" t="inlineStr">
        <is>
          <t>Mhlaba Rampheri &amp; Mhlaba Inc. Attorneys</t>
        </is>
      </c>
      <c r="B186" s="385" t="inlineStr">
        <is>
          <t>Gauteng</t>
        </is>
      </c>
      <c r="C186" s="385" t="inlineStr">
        <is>
          <t>Pretoria</t>
        </is>
      </c>
      <c r="D186" s="390" t="n">
        <v>3</v>
      </c>
    </row>
    <row r="187">
      <c r="A187" s="387" t="inlineStr">
        <is>
          <t>Mhlongo Cadir &amp; Partners Attorneys</t>
        </is>
      </c>
      <c r="B187" s="388" t="inlineStr">
        <is>
          <t>KZN</t>
        </is>
      </c>
      <c r="C187" s="388" t="n"/>
      <c r="D187" s="391" t="n">
        <v>5</v>
      </c>
    </row>
    <row r="188">
      <c r="A188" s="384" t="inlineStr">
        <is>
          <t>Miltons Matsemela Inc. Attorneys</t>
        </is>
      </c>
      <c r="B188" s="385" t="inlineStr">
        <is>
          <t>Gauteng</t>
        </is>
      </c>
      <c r="C188" s="385" t="inlineStr">
        <is>
          <t>Johannesburg</t>
        </is>
      </c>
      <c r="D188" s="390" t="n">
        <v>8</v>
      </c>
    </row>
    <row r="189">
      <c r="A189" s="387" t="inlineStr">
        <is>
          <t>Miroshni Naidoo &amp; Associates Attorneys</t>
        </is>
      </c>
      <c r="B189" s="388" t="inlineStr">
        <is>
          <t>Gauteng</t>
        </is>
      </c>
      <c r="C189" s="388" t="inlineStr">
        <is>
          <t>Johannesburg</t>
        </is>
      </c>
      <c r="D189" s="391" t="n">
        <v>1</v>
      </c>
    </row>
    <row r="190">
      <c r="A190" s="384" t="inlineStr">
        <is>
          <t>MIT Tshoga Attorneys</t>
        </is>
      </c>
      <c r="B190" s="385" t="inlineStr">
        <is>
          <t>NorthWest</t>
        </is>
      </c>
      <c r="C190" s="385" t="n"/>
      <c r="D190" s="390" t="n">
        <v>4</v>
      </c>
    </row>
    <row r="191">
      <c r="A191" s="387" t="inlineStr">
        <is>
          <t xml:space="preserve">MK. Mulaudzi Attorneys </t>
        </is>
      </c>
      <c r="B191" s="388" t="inlineStr">
        <is>
          <t>Limpopo</t>
        </is>
      </c>
      <c r="C191" s="388" t="n"/>
      <c r="D191" s="391" t="n">
        <v>1</v>
      </c>
    </row>
    <row r="192">
      <c r="A192" s="384" t="inlineStr">
        <is>
          <t>Mkhabela Attorneys</t>
        </is>
      </c>
      <c r="B192" s="385" t="inlineStr">
        <is>
          <t>Gauteng</t>
        </is>
      </c>
      <c r="C192" s="385" t="inlineStr">
        <is>
          <t>Johannesburg</t>
        </is>
      </c>
      <c r="D192" s="390" t="n">
        <v>1</v>
      </c>
    </row>
    <row r="193">
      <c r="A193" s="387" t="inlineStr">
        <is>
          <t>Mkhabele Attorneys</t>
        </is>
      </c>
      <c r="B193" s="388" t="inlineStr">
        <is>
          <t>Gauteng</t>
        </is>
      </c>
      <c r="C193" s="388" t="inlineStr">
        <is>
          <t>Johannesburg</t>
        </is>
      </c>
      <c r="D193" s="391" t="n">
        <v>12</v>
      </c>
    </row>
    <row r="194">
      <c r="A194" s="384" t="inlineStr">
        <is>
          <t>Mkhabele Inc. Attorneys</t>
        </is>
      </c>
      <c r="B194" s="385" t="inlineStr">
        <is>
          <t>Gauteng</t>
        </is>
      </c>
      <c r="C194" s="385" t="inlineStr">
        <is>
          <t>Johannesburg</t>
        </is>
      </c>
      <c r="D194" s="390" t="n">
        <v>5</v>
      </c>
    </row>
    <row r="195">
      <c r="A195" s="387" t="inlineStr">
        <is>
          <t>Mkhahluli Attorneys</t>
        </is>
      </c>
      <c r="B195" s="388" t="inlineStr">
        <is>
          <t>Eastern Cape</t>
        </is>
      </c>
      <c r="C195" s="388" t="n"/>
      <c r="D195" s="391" t="n">
        <v>1</v>
      </c>
    </row>
    <row r="196">
      <c r="A196" s="384" t="inlineStr">
        <is>
          <t>Mkhongozeli Attorneys</t>
        </is>
      </c>
      <c r="B196" s="385" t="inlineStr">
        <is>
          <t>Eastern Cape</t>
        </is>
      </c>
      <c r="C196" s="385" t="n"/>
      <c r="D196" s="390" t="n">
        <v>1</v>
      </c>
    </row>
    <row r="197">
      <c r="A197" s="387" t="inlineStr">
        <is>
          <t>Mkhonto Smother Attorneys</t>
        </is>
      </c>
      <c r="B197" s="388" t="inlineStr">
        <is>
          <t>Gauteng</t>
        </is>
      </c>
      <c r="C197" s="388" t="inlineStr">
        <is>
          <t>Johannesburg</t>
        </is>
      </c>
      <c r="D197" s="391" t="n">
        <v>1</v>
      </c>
    </row>
    <row r="198">
      <c r="A198" s="384" t="inlineStr">
        <is>
          <t>ML. Mabena Attorneys</t>
        </is>
      </c>
      <c r="B198" s="385" t="inlineStr">
        <is>
          <t>Gauteng</t>
        </is>
      </c>
      <c r="C198" s="385" t="inlineStr">
        <is>
          <t>Pretoria</t>
        </is>
      </c>
      <c r="D198" s="390" t="n">
        <v>4</v>
      </c>
    </row>
    <row r="199">
      <c r="A199" s="387" t="inlineStr">
        <is>
          <t>Mlindazwe and Associates Attorneys</t>
        </is>
      </c>
      <c r="B199" s="388" t="inlineStr">
        <is>
          <t>KZN</t>
        </is>
      </c>
      <c r="C199" s="388" t="n"/>
      <c r="D199" s="391" t="n">
        <v>19</v>
      </c>
    </row>
    <row r="200">
      <c r="A200" s="384" t="inlineStr">
        <is>
          <t>MM. Manamela Attorneys</t>
        </is>
      </c>
      <c r="B200" s="385" t="inlineStr">
        <is>
          <t>Limpopo</t>
        </is>
      </c>
      <c r="C200" s="385" t="n"/>
      <c r="D200" s="390" t="n">
        <v>1</v>
      </c>
    </row>
    <row r="201">
      <c r="A201" s="387" t="inlineStr">
        <is>
          <t>MM. Tshozi Attorneys</t>
        </is>
      </c>
      <c r="B201" s="388" t="inlineStr">
        <is>
          <t>Free State</t>
        </is>
      </c>
      <c r="C201" s="388" t="n"/>
      <c r="D201" s="391" t="n">
        <v>0</v>
      </c>
    </row>
    <row r="202">
      <c r="A202" s="384" t="inlineStr">
        <is>
          <t>MM. Tshozi Inc. Attorneys</t>
        </is>
      </c>
      <c r="B202" s="385" t="inlineStr">
        <is>
          <t>Eastern Cape</t>
        </is>
      </c>
      <c r="C202" s="385" t="n"/>
      <c r="D202" s="390" t="n">
        <v>4</v>
      </c>
    </row>
    <row r="203">
      <c r="A203" s="387" t="inlineStr">
        <is>
          <t>MMA Attorneys</t>
        </is>
      </c>
      <c r="B203" s="388" t="inlineStr">
        <is>
          <t>Gauteng</t>
        </is>
      </c>
      <c r="C203" s="388" t="inlineStr">
        <is>
          <t>Johannesburg</t>
        </is>
      </c>
      <c r="D203" s="391" t="n">
        <v>4</v>
      </c>
    </row>
    <row r="204">
      <c r="A204" s="384" t="inlineStr">
        <is>
          <t>Mmakola Matsimela Inc. Attorneys</t>
        </is>
      </c>
      <c r="B204" s="385" t="inlineStr">
        <is>
          <t>Limpopo</t>
        </is>
      </c>
      <c r="C204" s="385" t="n"/>
      <c r="D204" s="390" t="n">
        <v>0</v>
      </c>
    </row>
    <row r="205">
      <c r="A205" s="387" t="inlineStr">
        <is>
          <t>Mmakwela Attorneys</t>
        </is>
      </c>
      <c r="B205" s="388" t="inlineStr">
        <is>
          <t>Gauteng</t>
        </is>
      </c>
      <c r="C205" s="388" t="inlineStr">
        <is>
          <t>Pretoria</t>
        </is>
      </c>
      <c r="D205" s="391" t="n">
        <v>1</v>
      </c>
    </row>
    <row r="206">
      <c r="A206" s="384" t="inlineStr">
        <is>
          <t>Mmala Attorneys</t>
        </is>
      </c>
      <c r="B206" s="385" t="inlineStr">
        <is>
          <t>Gauteng</t>
        </is>
      </c>
      <c r="C206" s="385" t="inlineStr">
        <is>
          <t>Pretoria</t>
        </is>
      </c>
      <c r="D206" s="390" t="n">
        <v>2</v>
      </c>
    </row>
    <row r="207">
      <c r="A207" s="387" t="inlineStr">
        <is>
          <t>MN Mabapa Inc. Attorneys</t>
        </is>
      </c>
      <c r="B207" s="388" t="inlineStr">
        <is>
          <t>Gauteng</t>
        </is>
      </c>
      <c r="C207" s="388" t="inlineStr">
        <is>
          <t>Pretoria</t>
        </is>
      </c>
      <c r="D207" s="391" t="n">
        <v>2</v>
      </c>
    </row>
    <row r="208">
      <c r="A208" s="384" t="inlineStr">
        <is>
          <t>MN. Mkansi Inc. Attorneys</t>
        </is>
      </c>
      <c r="B208" s="385" t="inlineStr">
        <is>
          <t>Gauteng</t>
        </is>
      </c>
      <c r="C208" s="385" t="inlineStr">
        <is>
          <t>Johannesburg</t>
        </is>
      </c>
      <c r="D208" s="390" t="n">
        <v>1</v>
      </c>
    </row>
    <row r="209">
      <c r="A209" s="387" t="inlineStr">
        <is>
          <t>Mncube Attorneys</t>
        </is>
      </c>
      <c r="B209" s="388" t="inlineStr">
        <is>
          <t>Gauteng</t>
        </is>
      </c>
      <c r="C209" s="388" t="inlineStr">
        <is>
          <t>Johannesburg</t>
        </is>
      </c>
      <c r="D209" s="391" t="n">
        <v>2</v>
      </c>
    </row>
    <row r="210">
      <c r="A210" s="384" t="inlineStr">
        <is>
          <t>Mnisi Attorneys</t>
        </is>
      </c>
      <c r="B210" s="385" t="inlineStr">
        <is>
          <t>KZN</t>
        </is>
      </c>
      <c r="C210" s="385" t="n"/>
      <c r="D210" s="390" t="n">
        <v>2</v>
      </c>
    </row>
    <row r="211">
      <c r="A211" s="387" t="inlineStr">
        <is>
          <t>Modiba Attorneys</t>
        </is>
      </c>
      <c r="B211" s="388" t="inlineStr">
        <is>
          <t>Limpopo</t>
        </is>
      </c>
      <c r="C211" s="388" t="n"/>
      <c r="D211" s="391" t="n">
        <v>4</v>
      </c>
    </row>
    <row r="212">
      <c r="A212" s="384" t="inlineStr">
        <is>
          <t>Modibedi Sebele Phetoe Attorneys</t>
        </is>
      </c>
      <c r="B212" s="385" t="inlineStr">
        <is>
          <t>Gauteng</t>
        </is>
      </c>
      <c r="C212" s="385" t="inlineStr">
        <is>
          <t>Pretoria</t>
        </is>
      </c>
      <c r="D212" s="390" t="n">
        <v>6</v>
      </c>
    </row>
    <row r="213">
      <c r="A213" s="387" t="inlineStr">
        <is>
          <t>Modzuka Inc. Attorneys</t>
        </is>
      </c>
      <c r="B213" s="388" t="inlineStr">
        <is>
          <t>Gauteng</t>
        </is>
      </c>
      <c r="C213" s="388" t="inlineStr">
        <is>
          <t>Pretoria</t>
        </is>
      </c>
      <c r="D213" s="391" t="n">
        <v>87</v>
      </c>
    </row>
    <row r="214">
      <c r="A214" s="384" t="inlineStr">
        <is>
          <t>Mogau Attorneys</t>
        </is>
      </c>
      <c r="B214" s="385" t="inlineStr">
        <is>
          <t>NorthWest</t>
        </is>
      </c>
      <c r="C214" s="385" t="n"/>
      <c r="D214" s="390" t="n">
        <v>1</v>
      </c>
    </row>
    <row r="215">
      <c r="A215" s="387" t="inlineStr">
        <is>
          <t>Mohale Inc. Attorneys</t>
        </is>
      </c>
      <c r="B215" s="388" t="inlineStr">
        <is>
          <t>Limpopo</t>
        </is>
      </c>
      <c r="C215" s="388" t="n"/>
      <c r="D215" s="391" t="n">
        <v>1</v>
      </c>
    </row>
    <row r="216">
      <c r="A216" s="384" t="inlineStr">
        <is>
          <t>Mohamed Hasim Attorneys</t>
        </is>
      </c>
      <c r="B216" s="385" t="inlineStr">
        <is>
          <t>KZN</t>
        </is>
      </c>
      <c r="C216" s="385" t="n"/>
      <c r="D216" s="390" t="n">
        <v>1</v>
      </c>
    </row>
    <row r="217">
      <c r="A217" s="387" t="inlineStr">
        <is>
          <t>Mohlala Inc. Attorneys</t>
        </is>
      </c>
      <c r="B217" s="388" t="inlineStr">
        <is>
          <t>Mpumalanga</t>
        </is>
      </c>
      <c r="C217" s="388" t="n"/>
      <c r="D217" s="391" t="n">
        <v>5</v>
      </c>
    </row>
    <row r="218">
      <c r="A218" s="384" t="inlineStr">
        <is>
          <t>Mokoene Attorneys</t>
        </is>
      </c>
      <c r="B218" s="385" t="inlineStr">
        <is>
          <t>Gauteng</t>
        </is>
      </c>
      <c r="C218" s="385" t="inlineStr">
        <is>
          <t>Pretoria</t>
        </is>
      </c>
      <c r="D218" s="390" t="n">
        <v>24</v>
      </c>
    </row>
    <row r="219">
      <c r="A219" s="387" t="inlineStr">
        <is>
          <t>Mokone Attorneys</t>
        </is>
      </c>
      <c r="B219" s="388" t="inlineStr">
        <is>
          <t>NorthWest</t>
        </is>
      </c>
      <c r="C219" s="388" t="n"/>
      <c r="D219" s="391" t="n">
        <v>1</v>
      </c>
    </row>
    <row r="220">
      <c r="A220" s="384" t="inlineStr">
        <is>
          <t>Molati Attorneys</t>
        </is>
      </c>
      <c r="B220" s="385" t="inlineStr">
        <is>
          <t>Gauteng</t>
        </is>
      </c>
      <c r="C220" s="385" t="inlineStr">
        <is>
          <t>Pretoria</t>
        </is>
      </c>
      <c r="D220" s="390" t="n">
        <v>2</v>
      </c>
    </row>
    <row r="221">
      <c r="A221" s="387" t="inlineStr">
        <is>
          <t>Mollale Maponya Attorneys</t>
        </is>
      </c>
      <c r="B221" s="388" t="inlineStr">
        <is>
          <t>Limpopo</t>
        </is>
      </c>
      <c r="C221" s="388" t="n"/>
      <c r="D221" s="391" t="n">
        <v>1</v>
      </c>
    </row>
    <row r="222">
      <c r="A222" s="384" t="inlineStr">
        <is>
          <t>Molokwane Attorneys</t>
        </is>
      </c>
      <c r="B222" s="385" t="inlineStr">
        <is>
          <t>Gauteng</t>
        </is>
      </c>
      <c r="C222" s="385" t="inlineStr">
        <is>
          <t>Pretoria</t>
        </is>
      </c>
      <c r="D222" s="390" t="n">
        <v>2</v>
      </c>
    </row>
    <row r="223">
      <c r="A223" s="387" t="inlineStr">
        <is>
          <t>Mongezi Nkonyeni Attorneys Inc.</t>
        </is>
      </c>
      <c r="B223" s="388" t="inlineStr">
        <is>
          <t>Eastern Cape</t>
        </is>
      </c>
      <c r="C223" s="388" t="n"/>
      <c r="D223" s="391" t="n">
        <v>19</v>
      </c>
    </row>
    <row r="224">
      <c r="A224" s="384" t="inlineStr">
        <is>
          <t>Morwape Attorneys</t>
        </is>
      </c>
      <c r="B224" s="385" t="inlineStr">
        <is>
          <t>Gauteng</t>
        </is>
      </c>
      <c r="C224" s="385" t="inlineStr">
        <is>
          <t>Pretoria</t>
        </is>
      </c>
      <c r="D224" s="390" t="n">
        <v>1</v>
      </c>
    </row>
    <row r="225">
      <c r="A225" s="387" t="inlineStr">
        <is>
          <t>Mosery and Associates Attorneys</t>
        </is>
      </c>
      <c r="B225" s="388" t="inlineStr">
        <is>
          <t>KZN</t>
        </is>
      </c>
      <c r="C225" s="388" t="n"/>
      <c r="D225" s="391" t="n">
        <v>2</v>
      </c>
    </row>
    <row r="226">
      <c r="A226" s="384" t="inlineStr">
        <is>
          <t>Moses Silinda Attorneys</t>
        </is>
      </c>
      <c r="B226" s="385" t="inlineStr">
        <is>
          <t>Gauteng</t>
        </is>
      </c>
      <c r="C226" s="385" t="inlineStr">
        <is>
          <t>Johannesburg</t>
        </is>
      </c>
      <c r="D226" s="390" t="n">
        <v>2</v>
      </c>
    </row>
    <row r="227">
      <c r="A227" s="387" t="inlineStr">
        <is>
          <t>Moyaba Incorporated Attorneys</t>
        </is>
      </c>
      <c r="B227" s="388" t="inlineStr">
        <is>
          <t>Limpopo</t>
        </is>
      </c>
      <c r="C227" s="388" t="n"/>
      <c r="D227" s="391" t="n">
        <v>2</v>
      </c>
    </row>
    <row r="228">
      <c r="A228" s="384" t="inlineStr">
        <is>
          <t>MP. Maponya Attorneys</t>
        </is>
      </c>
      <c r="B228" s="385" t="inlineStr">
        <is>
          <t>Limpopo</t>
        </is>
      </c>
      <c r="C228" s="385" t="n"/>
      <c r="D228" s="390" t="n">
        <v>2</v>
      </c>
    </row>
    <row r="229">
      <c r="A229" s="387" t="inlineStr">
        <is>
          <t>MP. Maseko Inc. Attorneys</t>
        </is>
      </c>
      <c r="B229" s="388" t="inlineStr">
        <is>
          <t>Mpumalanga</t>
        </is>
      </c>
      <c r="C229" s="388" t="n"/>
      <c r="D229" s="391" t="n">
        <v>2</v>
      </c>
    </row>
    <row r="230">
      <c r="A230" s="384" t="inlineStr">
        <is>
          <t>MP. Molefe Attorneys</t>
        </is>
      </c>
      <c r="B230" s="385" t="inlineStr">
        <is>
          <t>Limpopo</t>
        </is>
      </c>
      <c r="C230" s="385" t="n"/>
      <c r="D230" s="390" t="n">
        <v>2</v>
      </c>
    </row>
    <row r="231">
      <c r="A231" s="387" t="inlineStr">
        <is>
          <t>Mpagi Attorneys</t>
        </is>
      </c>
      <c r="B231" s="388" t="inlineStr">
        <is>
          <t>Gauteng</t>
        </is>
      </c>
      <c r="C231" s="388" t="inlineStr">
        <is>
          <t>Johannesburg</t>
        </is>
      </c>
      <c r="D231" s="391" t="n">
        <v>1</v>
      </c>
    </row>
    <row r="232">
      <c r="A232" s="384" t="inlineStr">
        <is>
          <t>Mpanza Attorneys</t>
        </is>
      </c>
      <c r="B232" s="385" t="inlineStr">
        <is>
          <t>KZN</t>
        </is>
      </c>
      <c r="C232" s="385" t="n"/>
      <c r="D232" s="390" t="n">
        <v>4</v>
      </c>
    </row>
    <row r="233">
      <c r="A233" s="387" t="inlineStr">
        <is>
          <t>Mphakathi S. Attorneys</t>
        </is>
      </c>
      <c r="B233" s="388" t="inlineStr">
        <is>
          <t>Gauteng</t>
        </is>
      </c>
      <c r="C233" s="388" t="inlineStr">
        <is>
          <t>Johannesburg</t>
        </is>
      </c>
      <c r="D233" s="391" t="n">
        <v>1</v>
      </c>
    </row>
    <row r="234">
      <c r="A234" s="384" t="inlineStr">
        <is>
          <t>Mphela &amp; Associates Attorneys</t>
        </is>
      </c>
      <c r="B234" s="385" t="inlineStr">
        <is>
          <t>Gauteng</t>
        </is>
      </c>
      <c r="C234" s="385" t="inlineStr">
        <is>
          <t>Pretoria</t>
        </is>
      </c>
      <c r="D234" s="390" t="n">
        <v>111</v>
      </c>
    </row>
    <row r="235">
      <c r="A235" s="387" t="inlineStr">
        <is>
          <t>MS. Moloto Inc. Attorneys</t>
        </is>
      </c>
      <c r="B235" s="388" t="inlineStr">
        <is>
          <t>Limpopo</t>
        </is>
      </c>
      <c r="C235" s="388" t="n"/>
      <c r="D235" s="391" t="n">
        <v>5</v>
      </c>
    </row>
    <row r="236">
      <c r="A236" s="384" t="inlineStr">
        <is>
          <t>Msebi Attorneys Inc. Attorneys</t>
        </is>
      </c>
      <c r="B236" s="385" t="inlineStr">
        <is>
          <t>Eastern Cape</t>
        </is>
      </c>
      <c r="C236" s="385" t="n"/>
      <c r="D236" s="390" t="n">
        <v>4</v>
      </c>
    </row>
    <row r="237">
      <c r="A237" s="387" t="inlineStr">
        <is>
          <t>Mso Seku Attorneys</t>
        </is>
      </c>
      <c r="B237" s="388" t="inlineStr">
        <is>
          <t>Eastern Cape</t>
        </is>
      </c>
      <c r="C237" s="388" t="n"/>
      <c r="D237" s="391" t="n">
        <v>2</v>
      </c>
    </row>
    <row r="238">
      <c r="A238" s="384" t="inlineStr">
        <is>
          <t>Mtalala Attorneys</t>
        </is>
      </c>
      <c r="B238" s="385" t="inlineStr">
        <is>
          <t>Eastern Cape</t>
        </is>
      </c>
      <c r="C238" s="385" t="n"/>
      <c r="D238" s="390" t="n">
        <v>1</v>
      </c>
    </row>
    <row r="239">
      <c r="A239" s="387" t="inlineStr">
        <is>
          <t>Mthini Attorneys</t>
        </is>
      </c>
      <c r="B239" s="388" t="inlineStr">
        <is>
          <t>NorthWest</t>
        </is>
      </c>
      <c r="C239" s="388" t="n"/>
      <c r="D239" s="391" t="n">
        <v>16</v>
      </c>
    </row>
    <row r="240">
      <c r="A240" s="384" t="inlineStr">
        <is>
          <t>Mthiwempi Attorneys</t>
        </is>
      </c>
      <c r="B240" s="385" t="inlineStr">
        <is>
          <t>Eastern Cape</t>
        </is>
      </c>
      <c r="C240" s="385" t="n"/>
      <c r="D240" s="390" t="n">
        <v>4</v>
      </c>
    </row>
    <row r="241">
      <c r="A241" s="387" t="inlineStr">
        <is>
          <t>Mtsweni Inc. Attorneys</t>
        </is>
      </c>
      <c r="B241" s="388" t="inlineStr">
        <is>
          <t>Mpumalanga</t>
        </is>
      </c>
      <c r="C241" s="388" t="n"/>
      <c r="D241" s="391" t="n">
        <v>14</v>
      </c>
    </row>
    <row r="242">
      <c r="A242" s="384" t="inlineStr">
        <is>
          <t>Mudzusi Molobela Attorneys</t>
        </is>
      </c>
      <c r="B242" s="385" t="inlineStr">
        <is>
          <t>Gauteng</t>
        </is>
      </c>
      <c r="C242" s="385" t="inlineStr">
        <is>
          <t>Pretoria</t>
        </is>
      </c>
      <c r="D242" s="390" t="n">
        <v>1</v>
      </c>
    </row>
    <row r="243">
      <c r="A243" s="387" t="inlineStr">
        <is>
          <t>Munonde Attorneys</t>
        </is>
      </c>
      <c r="B243" s="388" t="inlineStr">
        <is>
          <t>Limpopo</t>
        </is>
      </c>
      <c r="C243" s="388" t="n"/>
      <c r="D243" s="391" t="n">
        <v>2</v>
      </c>
    </row>
    <row r="244">
      <c r="A244" s="384" t="inlineStr">
        <is>
          <t>Munyai Attorneys</t>
        </is>
      </c>
      <c r="B244" s="385" t="inlineStr">
        <is>
          <t>Limpopo</t>
        </is>
      </c>
      <c r="C244" s="385" t="n"/>
      <c r="D244" s="390" t="n">
        <v>2</v>
      </c>
    </row>
    <row r="245">
      <c r="A245" s="387" t="inlineStr">
        <is>
          <t>Muroa Attorneys</t>
        </is>
      </c>
      <c r="B245" s="388" t="inlineStr">
        <is>
          <t>Limpopo</t>
        </is>
      </c>
      <c r="C245" s="388" t="n"/>
      <c r="D245" s="391" t="n">
        <v>1</v>
      </c>
    </row>
    <row r="246">
      <c r="A246" s="384" t="inlineStr">
        <is>
          <t>Musenga Administrators</t>
        </is>
      </c>
      <c r="B246" s="385" t="inlineStr">
        <is>
          <t>Gauteng</t>
        </is>
      </c>
      <c r="C246" s="385" t="inlineStr">
        <is>
          <t>Johannesburg</t>
        </is>
      </c>
      <c r="D246" s="390" t="n">
        <v>1</v>
      </c>
    </row>
    <row r="247">
      <c r="A247" s="387" t="inlineStr">
        <is>
          <t>ND. Ajodha Attorneys</t>
        </is>
      </c>
      <c r="B247" s="388" t="inlineStr">
        <is>
          <t>Gauteng</t>
        </is>
      </c>
      <c r="C247" s="388" t="inlineStr">
        <is>
          <t>Johannesburg</t>
        </is>
      </c>
      <c r="D247" s="391" t="n">
        <v>1</v>
      </c>
    </row>
    <row r="248">
      <c r="A248" s="384" t="inlineStr">
        <is>
          <t>N. Dilesi Attorneys</t>
        </is>
      </c>
      <c r="B248" s="385" t="inlineStr">
        <is>
          <t>Eastern Cape</t>
        </is>
      </c>
      <c r="C248" s="385" t="n"/>
      <c r="D248" s="390" t="n">
        <v>6</v>
      </c>
    </row>
    <row r="249">
      <c r="A249" s="387" t="inlineStr">
        <is>
          <t>NP. Gwadane Attorneys</t>
        </is>
      </c>
      <c r="B249" s="388" t="inlineStr">
        <is>
          <t>Eastern Cape</t>
        </is>
      </c>
      <c r="C249" s="388" t="n"/>
      <c r="D249" s="391" t="n">
        <v>3</v>
      </c>
    </row>
    <row r="250">
      <c r="A250" s="384" t="inlineStr">
        <is>
          <t>NA. Magqaza Attorneys</t>
        </is>
      </c>
      <c r="B250" s="385" t="inlineStr">
        <is>
          <t>Eastern Cape</t>
        </is>
      </c>
      <c r="C250" s="385" t="n"/>
      <c r="D250" s="390" t="n">
        <v>1</v>
      </c>
    </row>
    <row r="251">
      <c r="A251" s="387" t="inlineStr">
        <is>
          <t>Nabila Ebrahim Attorneys</t>
        </is>
      </c>
      <c r="B251" s="388" t="inlineStr">
        <is>
          <t>KZN</t>
        </is>
      </c>
      <c r="C251" s="388" t="n"/>
      <c r="D251" s="391" t="n">
        <v>9</v>
      </c>
    </row>
    <row r="252">
      <c r="A252" s="384" t="inlineStr">
        <is>
          <t>NC. Thobejane Attorneys</t>
        </is>
      </c>
      <c r="B252" s="385" t="inlineStr">
        <is>
          <t>Limpopo</t>
        </is>
      </c>
      <c r="C252" s="385" t="n"/>
      <c r="D252" s="390" t="n">
        <v>14</v>
      </c>
    </row>
    <row r="253">
      <c r="A253" s="387" t="inlineStr">
        <is>
          <t>Ncame Attorneys Inc.</t>
        </is>
      </c>
      <c r="B253" s="388" t="inlineStr">
        <is>
          <t>Eastern Cape</t>
        </is>
      </c>
      <c r="C253" s="388" t="n"/>
      <c r="D253" s="391" t="n">
        <v>1</v>
      </c>
    </row>
    <row r="254">
      <c r="A254" s="384" t="inlineStr">
        <is>
          <t>Ndhlovu Bornventure Attorneys</t>
        </is>
      </c>
      <c r="B254" s="385" t="inlineStr">
        <is>
          <t>Gauteng</t>
        </is>
      </c>
      <c r="C254" s="385" t="inlineStr">
        <is>
          <t>Pretoria</t>
        </is>
      </c>
      <c r="D254" s="390" t="n">
        <v>1</v>
      </c>
    </row>
    <row r="255">
      <c r="A255" s="387" t="inlineStr">
        <is>
          <t>Ndlovu Attorneys</t>
        </is>
      </c>
      <c r="B255" s="388" t="inlineStr">
        <is>
          <t>Mpumalanga</t>
        </is>
      </c>
      <c r="C255" s="388" t="n"/>
      <c r="D255" s="391" t="n">
        <v>9</v>
      </c>
    </row>
    <row r="256">
      <c r="A256" s="384" t="inlineStr">
        <is>
          <t>Ndou NTheve Attorneys</t>
        </is>
      </c>
      <c r="B256" s="385" t="inlineStr">
        <is>
          <t>Gauteng</t>
        </is>
      </c>
      <c r="C256" s="385" t="inlineStr">
        <is>
          <t>Pretoria</t>
        </is>
      </c>
      <c r="D256" s="390" t="n">
        <v>7</v>
      </c>
    </row>
    <row r="257">
      <c r="A257" s="387" t="inlineStr">
        <is>
          <t>Ndziane Inc. Attorneys</t>
        </is>
      </c>
      <c r="B257" s="388" t="inlineStr">
        <is>
          <t>Gauteng</t>
        </is>
      </c>
      <c r="C257" s="388" t="inlineStr">
        <is>
          <t>Pretoria</t>
        </is>
      </c>
      <c r="D257" s="391" t="n">
        <v>1</v>
      </c>
    </row>
    <row r="258">
      <c r="A258" s="384" t="inlineStr">
        <is>
          <t>Nengwekhulu Tshiwandalani Attorneys</t>
        </is>
      </c>
      <c r="B258" s="385" t="inlineStr">
        <is>
          <t>Limpopo</t>
        </is>
      </c>
      <c r="C258" s="385" t="n"/>
      <c r="D258" s="390" t="n">
        <v>9</v>
      </c>
    </row>
    <row r="259">
      <c r="A259" s="387" t="inlineStr">
        <is>
          <t>Netshilema Attorneys</t>
        </is>
      </c>
      <c r="B259" s="388" t="inlineStr">
        <is>
          <t>Limpopo</t>
        </is>
      </c>
      <c r="C259" s="388" t="n"/>
      <c r="D259" s="391" t="n">
        <v>2</v>
      </c>
    </row>
    <row r="260">
      <c r="A260" s="384" t="inlineStr">
        <is>
          <t>Newa Human Solutions</t>
        </is>
      </c>
      <c r="B260" s="385" t="inlineStr">
        <is>
          <t>Gauteng</t>
        </is>
      </c>
      <c r="C260" s="385" t="inlineStr">
        <is>
          <t>Pretoria</t>
        </is>
      </c>
      <c r="D260" s="390" t="n">
        <v>25</v>
      </c>
    </row>
    <row r="261">
      <c r="A261" s="387" t="inlineStr">
        <is>
          <t>Ngaka Modiri Attorneys</t>
        </is>
      </c>
      <c r="B261" s="388" t="inlineStr">
        <is>
          <t>NorthWest</t>
        </is>
      </c>
      <c r="C261" s="388" t="n"/>
      <c r="D261" s="391" t="n">
        <v>0</v>
      </c>
    </row>
    <row r="262">
      <c r="A262" s="384" t="inlineStr">
        <is>
          <t>Ngcaweni &amp; Shabalala Attorneys</t>
        </is>
      </c>
      <c r="B262" s="385" t="inlineStr">
        <is>
          <t>KZN</t>
        </is>
      </c>
      <c r="C262" s="385" t="n"/>
      <c r="D262" s="390" t="n">
        <v>3</v>
      </c>
    </row>
    <row r="263">
      <c r="A263" s="387" t="inlineStr">
        <is>
          <t>Ngwane &amp; Langazana Attorneys</t>
        </is>
      </c>
      <c r="B263" s="388" t="inlineStr">
        <is>
          <t>KZN</t>
        </is>
      </c>
      <c r="C263" s="388" t="n"/>
      <c r="D263" s="391" t="n">
        <v>7</v>
      </c>
    </row>
    <row r="264">
      <c r="A264" s="384" t="inlineStr">
        <is>
          <t>Nhlanhla Hlongwane Attorneys</t>
        </is>
      </c>
      <c r="B264" s="385" t="inlineStr">
        <is>
          <t>Gauteng</t>
        </is>
      </c>
      <c r="C264" s="385" t="inlineStr">
        <is>
          <t>Pretoria</t>
        </is>
      </c>
      <c r="D264" s="390" t="n">
        <v>2</v>
      </c>
    </row>
    <row r="265">
      <c r="A265" s="387" t="inlineStr">
        <is>
          <t>NK. Ledwaba Attorneys</t>
        </is>
      </c>
      <c r="B265" s="388" t="inlineStr">
        <is>
          <t>Gauteng</t>
        </is>
      </c>
      <c r="C265" s="388" t="inlineStr">
        <is>
          <t>Pretoria</t>
        </is>
      </c>
      <c r="D265" s="391" t="n">
        <v>2</v>
      </c>
    </row>
    <row r="266">
      <c r="A266" s="384" t="inlineStr">
        <is>
          <t>Nkangala Attorneys</t>
        </is>
      </c>
      <c r="B266" s="385" t="inlineStr">
        <is>
          <t>Gauteng</t>
        </is>
      </c>
      <c r="C266" s="385" t="inlineStr">
        <is>
          <t>Johannesburg</t>
        </is>
      </c>
      <c r="D266" s="390" t="n">
        <v>2</v>
      </c>
    </row>
    <row r="267">
      <c r="A267" s="387" t="inlineStr">
        <is>
          <t>Nkosi Nkosana Attorneys</t>
        </is>
      </c>
      <c r="B267" s="388" t="inlineStr">
        <is>
          <t>Gauteng</t>
        </is>
      </c>
      <c r="C267" s="388" t="inlineStr">
        <is>
          <t>Pretoria</t>
        </is>
      </c>
      <c r="D267" s="391" t="n">
        <v>2</v>
      </c>
    </row>
    <row r="268">
      <c r="A268" s="384" t="inlineStr">
        <is>
          <t>Nkosi Nkosana Attorneys</t>
        </is>
      </c>
      <c r="B268" s="385" t="inlineStr">
        <is>
          <t>KZN</t>
        </is>
      </c>
      <c r="C268" s="385" t="n"/>
      <c r="D268" s="390" t="n">
        <v>1</v>
      </c>
    </row>
    <row r="269">
      <c r="A269" s="387" t="inlineStr">
        <is>
          <t>NKP. Manamela Attorneys</t>
        </is>
      </c>
      <c r="B269" s="388" t="inlineStr">
        <is>
          <t>Limpopo</t>
        </is>
      </c>
      <c r="C269" s="388" t="n"/>
      <c r="D269" s="391" t="n">
        <v>13</v>
      </c>
    </row>
    <row r="270">
      <c r="A270" s="384" t="inlineStr">
        <is>
          <t>Nkwane Attorneys Inc</t>
        </is>
      </c>
      <c r="B270" s="385" t="inlineStr">
        <is>
          <t>Gauteng</t>
        </is>
      </c>
      <c r="C270" s="385" t="inlineStr">
        <is>
          <t>Pretoria</t>
        </is>
      </c>
      <c r="D270" s="390" t="n">
        <v>61</v>
      </c>
    </row>
    <row r="271">
      <c r="A271" s="387" t="inlineStr">
        <is>
          <t>NM. Ngobeni Attorneys</t>
        </is>
      </c>
      <c r="B271" s="388" t="inlineStr">
        <is>
          <t>Gauteng</t>
        </is>
      </c>
      <c r="C271" s="388" t="inlineStr">
        <is>
          <t>Pretoria</t>
        </is>
      </c>
      <c r="D271" s="391" t="n">
        <v>1</v>
      </c>
    </row>
    <row r="272">
      <c r="A272" s="384" t="inlineStr">
        <is>
          <t>NMPA Experts</t>
        </is>
      </c>
      <c r="B272" s="385" t="inlineStr">
        <is>
          <t>Limpopo</t>
        </is>
      </c>
      <c r="C272" s="385" t="n"/>
      <c r="D272" s="390" t="n">
        <v>12</v>
      </c>
    </row>
    <row r="273">
      <c r="A273" s="387" t="inlineStr">
        <is>
          <t>Nobela Incorporated Attorneys</t>
        </is>
      </c>
      <c r="B273" s="388" t="inlineStr">
        <is>
          <t>Gauteng</t>
        </is>
      </c>
      <c r="C273" s="388" t="inlineStr">
        <is>
          <t>Johannesburg</t>
        </is>
      </c>
      <c r="D273" s="391" t="n">
        <v>26</v>
      </c>
    </row>
    <row r="274">
      <c r="A274" s="384" t="inlineStr">
        <is>
          <t>Nogaga Attorneys</t>
        </is>
      </c>
      <c r="B274" s="385" t="inlineStr">
        <is>
          <t>Gauteng</t>
        </is>
      </c>
      <c r="C274" s="385" t="inlineStr">
        <is>
          <t>Pretoria</t>
        </is>
      </c>
      <c r="D274" s="390" t="n">
        <v>38</v>
      </c>
    </row>
    <row r="275">
      <c r="A275" s="387" t="inlineStr">
        <is>
          <t>Noko Ramaboya Attorneys</t>
        </is>
      </c>
      <c r="B275" s="388" t="inlineStr">
        <is>
          <t>Gauteng</t>
        </is>
      </c>
      <c r="C275" s="388" t="inlineStr">
        <is>
          <t>Pretoria</t>
        </is>
      </c>
      <c r="D275" s="391" t="n">
        <v>16</v>
      </c>
    </row>
    <row r="276">
      <c r="A276" s="384" t="inlineStr">
        <is>
          <t>Nompumza Bonga Attorneys</t>
        </is>
      </c>
      <c r="B276" s="385" t="inlineStr">
        <is>
          <t>Gauteng</t>
        </is>
      </c>
      <c r="C276" s="385" t="inlineStr">
        <is>
          <t>Johannesburg</t>
        </is>
      </c>
      <c r="D276" s="390" t="n">
        <v>17</v>
      </c>
    </row>
    <row r="277">
      <c r="A277" s="387" t="inlineStr">
        <is>
          <t>Nonoza Potelwa Attorneys</t>
        </is>
      </c>
      <c r="B277" s="388" t="inlineStr">
        <is>
          <t>Cape Town</t>
        </is>
      </c>
      <c r="C277" s="388" t="n"/>
      <c r="D277" s="391" t="n">
        <v>2</v>
      </c>
    </row>
    <row r="278">
      <c r="A278" s="384" t="inlineStr">
        <is>
          <t>NP. Pitse Attorneys Inc. Attorneys</t>
        </is>
      </c>
      <c r="B278" s="385" t="inlineStr">
        <is>
          <t>Gauteng</t>
        </is>
      </c>
      <c r="C278" s="385" t="inlineStr">
        <is>
          <t>Pretoria</t>
        </is>
      </c>
      <c r="D278" s="390" t="n">
        <v>4</v>
      </c>
    </row>
    <row r="279">
      <c r="A279" s="387" t="inlineStr">
        <is>
          <t>Ntokozo Sibusiso Xulu Attorneys</t>
        </is>
      </c>
      <c r="B279" s="388" t="inlineStr">
        <is>
          <t>KZN</t>
        </is>
      </c>
      <c r="C279" s="388" t="n"/>
      <c r="D279" s="391" t="n">
        <v>4</v>
      </c>
    </row>
    <row r="280">
      <c r="A280" s="384" t="inlineStr">
        <is>
          <t>Ntozakhe Attorneys</t>
        </is>
      </c>
      <c r="B280" s="385" t="inlineStr">
        <is>
          <t>Gauteng</t>
        </is>
      </c>
      <c r="C280" s="385" t="inlineStr">
        <is>
          <t>Pretoria</t>
        </is>
      </c>
      <c r="D280" s="390" t="n">
        <v>2</v>
      </c>
    </row>
    <row r="281">
      <c r="A281" s="387" t="inlineStr">
        <is>
          <t>Ntuli Inc. Attorneys</t>
        </is>
      </c>
      <c r="B281" s="388" t="inlineStr">
        <is>
          <t>KZN</t>
        </is>
      </c>
      <c r="C281" s="388" t="n"/>
      <c r="D281" s="391" t="n">
        <v>2</v>
      </c>
    </row>
    <row r="282">
      <c r="A282" s="384" t="inlineStr">
        <is>
          <t>P. Khoza Attorneys</t>
        </is>
      </c>
      <c r="B282" s="385" t="inlineStr">
        <is>
          <t>KZN</t>
        </is>
      </c>
      <c r="C282" s="385" t="n"/>
      <c r="D282" s="390" t="n">
        <v>9</v>
      </c>
    </row>
    <row r="283">
      <c r="A283" s="387" t="inlineStr">
        <is>
          <t>P. Mbabane Attorneys</t>
        </is>
      </c>
      <c r="B283" s="388" t="inlineStr">
        <is>
          <t>Cape Town</t>
        </is>
      </c>
      <c r="C283" s="388" t="n"/>
      <c r="D283" s="391" t="n">
        <v>1</v>
      </c>
    </row>
    <row r="284">
      <c r="A284" s="384" t="inlineStr">
        <is>
          <t>P. Conjwa &amp; Associates Attorneys</t>
        </is>
      </c>
      <c r="B284" s="385" t="inlineStr">
        <is>
          <t>Eastern Cape</t>
        </is>
      </c>
      <c r="C284" s="385" t="n"/>
      <c r="D284" s="390" t="n">
        <v>11</v>
      </c>
    </row>
    <row r="285">
      <c r="A285" s="387" t="inlineStr">
        <is>
          <t>P. Hopisi Attorneys</t>
        </is>
      </c>
      <c r="B285" s="388" t="inlineStr">
        <is>
          <t>Eastern Cape</t>
        </is>
      </c>
      <c r="C285" s="388" t="n"/>
      <c r="D285" s="391" t="n">
        <v>1</v>
      </c>
    </row>
    <row r="286">
      <c r="A286" s="384" t="inlineStr">
        <is>
          <t>P.S Mbili Attorneys</t>
        </is>
      </c>
      <c r="B286" s="385" t="inlineStr">
        <is>
          <t>KZN</t>
        </is>
      </c>
      <c r="C286" s="385" t="n"/>
      <c r="D286" s="390" t="n">
        <v>3</v>
      </c>
    </row>
    <row r="287">
      <c r="A287" s="387" t="inlineStr">
        <is>
          <t>Phakula M. Attorneys</t>
        </is>
      </c>
      <c r="B287" s="388" t="inlineStr">
        <is>
          <t>Gauteng</t>
        </is>
      </c>
      <c r="C287" s="388" t="inlineStr">
        <is>
          <t>Johannesburg</t>
        </is>
      </c>
      <c r="D287" s="391" t="n">
        <v>1</v>
      </c>
    </row>
    <row r="288">
      <c r="A288" s="384" t="inlineStr">
        <is>
          <t>Phalane Attorneys</t>
        </is>
      </c>
      <c r="B288" s="385" t="inlineStr">
        <is>
          <t>Limpopo</t>
        </is>
      </c>
      <c r="C288" s="385" t="n"/>
      <c r="D288" s="390" t="n">
        <v>3</v>
      </c>
    </row>
    <row r="289">
      <c r="A289" s="387" t="inlineStr">
        <is>
          <t>Phindela Chiti Attorneys</t>
        </is>
      </c>
      <c r="B289" s="388" t="inlineStr">
        <is>
          <t>KZN</t>
        </is>
      </c>
      <c r="C289" s="388" t="n"/>
      <c r="D289" s="391" t="n">
        <v>14</v>
      </c>
    </row>
    <row r="290">
      <c r="A290" s="384" t="inlineStr">
        <is>
          <t>Phologe Mampuru Attorneys</t>
        </is>
      </c>
      <c r="B290" s="385" t="inlineStr">
        <is>
          <t>Gauteng</t>
        </is>
      </c>
      <c r="C290" s="385" t="inlineStr">
        <is>
          <t>Pretoria</t>
        </is>
      </c>
      <c r="D290" s="390" t="n">
        <v>2</v>
      </c>
    </row>
    <row r="291">
      <c r="A291" s="387" t="inlineStr">
        <is>
          <t>Pillay Thesigan Inc. Attorneys</t>
        </is>
      </c>
      <c r="B291" s="388" t="inlineStr">
        <is>
          <t>Gauteng</t>
        </is>
      </c>
      <c r="C291" s="388" t="inlineStr">
        <is>
          <t>Pretoria</t>
        </is>
      </c>
      <c r="D291" s="391" t="n">
        <v>1</v>
      </c>
    </row>
    <row r="292">
      <c r="A292" s="384" t="inlineStr">
        <is>
          <t>PJ. Mathebula Attorneys</t>
        </is>
      </c>
      <c r="B292" s="385" t="inlineStr">
        <is>
          <t>Gauteng</t>
        </is>
      </c>
      <c r="C292" s="385" t="inlineStr">
        <is>
          <t>Pretoria</t>
        </is>
      </c>
      <c r="D292" s="390" t="n">
        <v>1</v>
      </c>
    </row>
    <row r="293">
      <c r="A293" s="387" t="inlineStr">
        <is>
          <t>Polo Attorneys</t>
        </is>
      </c>
      <c r="B293" s="388" t="inlineStr">
        <is>
          <t>Eastern Cape</t>
        </is>
      </c>
      <c r="C293" s="388" t="n"/>
      <c r="D293" s="391" t="n">
        <v>3</v>
      </c>
    </row>
    <row r="294">
      <c r="A294" s="384" t="inlineStr">
        <is>
          <t>Poto Attorneys</t>
        </is>
      </c>
      <c r="B294" s="385" t="inlineStr">
        <is>
          <t>Gauteng</t>
        </is>
      </c>
      <c r="C294" s="385" t="inlineStr">
        <is>
          <t>Pretoria</t>
        </is>
      </c>
      <c r="D294" s="390" t="n">
        <v>5</v>
      </c>
    </row>
    <row r="295">
      <c r="A295" s="387" t="inlineStr">
        <is>
          <t>Poyo SIwahla Inc. Attorneys</t>
        </is>
      </c>
      <c r="B295" s="388" t="inlineStr">
        <is>
          <t>Gauteng</t>
        </is>
      </c>
      <c r="C295" s="388" t="inlineStr">
        <is>
          <t>Pretoria</t>
        </is>
      </c>
      <c r="D295" s="391" t="n">
        <v>1</v>
      </c>
    </row>
    <row r="296">
      <c r="A296" s="384" t="inlineStr">
        <is>
          <t>PP. Milazi Attorneys</t>
        </is>
      </c>
      <c r="B296" s="385" t="inlineStr">
        <is>
          <t>Gauteng</t>
        </is>
      </c>
      <c r="C296" s="385" t="inlineStr">
        <is>
          <t>Johannesburg</t>
        </is>
      </c>
      <c r="D296" s="390" t="n">
        <v>12</v>
      </c>
    </row>
    <row r="297">
      <c r="A297" s="387" t="inlineStr">
        <is>
          <t>Prince Attorneys</t>
        </is>
      </c>
      <c r="B297" s="388" t="inlineStr">
        <is>
          <t>Cape Town</t>
        </is>
      </c>
      <c r="C297" s="388" t="n"/>
      <c r="D297" s="391" t="n">
        <v>1</v>
      </c>
    </row>
    <row r="298">
      <c r="A298" s="384" t="inlineStr">
        <is>
          <t>Protean Medico-Legal</t>
        </is>
      </c>
      <c r="B298" s="385" t="inlineStr">
        <is>
          <t>Gauteng</t>
        </is>
      </c>
      <c r="C298" s="385" t="inlineStr">
        <is>
          <t>Pretoria</t>
        </is>
      </c>
      <c r="D298" s="390" t="n">
        <v>44</v>
      </c>
    </row>
    <row r="299">
      <c r="A299" s="387" t="inlineStr">
        <is>
          <t>Pukwana Inc. Attorneys</t>
        </is>
      </c>
      <c r="B299" s="388" t="inlineStr">
        <is>
          <t>Gauteng</t>
        </is>
      </c>
      <c r="C299" s="388" t="inlineStr">
        <is>
          <t>Johannesburg</t>
        </is>
      </c>
      <c r="D299" s="391" t="n">
        <v>1</v>
      </c>
    </row>
    <row r="300">
      <c r="A300" s="384" t="inlineStr">
        <is>
          <t>Pule Pule Inc. Attorneys</t>
        </is>
      </c>
      <c r="B300" s="385" t="inlineStr">
        <is>
          <t>Gauteng</t>
        </is>
      </c>
      <c r="C300" s="385" t="inlineStr">
        <is>
          <t>Johannesburg</t>
        </is>
      </c>
      <c r="D300" s="390" t="n">
        <v>2</v>
      </c>
    </row>
    <row r="301">
      <c r="A301" s="387" t="inlineStr">
        <is>
          <t>Qhibie Attorneys</t>
        </is>
      </c>
      <c r="B301" s="388" t="inlineStr">
        <is>
          <t>Gauteng</t>
        </is>
      </c>
      <c r="C301" s="388" t="inlineStr">
        <is>
          <t>Johannesburg</t>
        </is>
      </c>
      <c r="D301" s="391" t="n">
        <v>4</v>
      </c>
    </row>
    <row r="302">
      <c r="A302" s="384" t="inlineStr">
        <is>
          <t xml:space="preserve">R. Malise Attornerys </t>
        </is>
      </c>
      <c r="B302" s="385" t="inlineStr">
        <is>
          <t>Gauteng</t>
        </is>
      </c>
      <c r="C302" s="385" t="inlineStr">
        <is>
          <t>Johannesburg</t>
        </is>
      </c>
      <c r="D302" s="390" t="n">
        <v>10</v>
      </c>
    </row>
    <row r="303">
      <c r="A303" s="387" t="inlineStr">
        <is>
          <t>Rababalela Attorneys</t>
        </is>
      </c>
      <c r="B303" s="388" t="inlineStr">
        <is>
          <t>Gauteng</t>
        </is>
      </c>
      <c r="C303" s="388" t="inlineStr">
        <is>
          <t>Pretoria</t>
        </is>
      </c>
      <c r="D303" s="391" t="n">
        <v>1</v>
      </c>
    </row>
    <row r="304">
      <c r="A304" s="384" t="inlineStr">
        <is>
          <t>Rafumbedzani Attorneys</t>
        </is>
      </c>
      <c r="B304" s="385" t="inlineStr">
        <is>
          <t>Gauteng</t>
        </is>
      </c>
      <c r="C304" s="385" t="inlineStr">
        <is>
          <t>Johannesburg</t>
        </is>
      </c>
      <c r="D304" s="390" t="n">
        <v>3</v>
      </c>
    </row>
    <row r="305">
      <c r="A305" s="387" t="inlineStr">
        <is>
          <t>Ralile Attorneys</t>
        </is>
      </c>
      <c r="B305" s="388" t="inlineStr">
        <is>
          <t>Free State</t>
        </is>
      </c>
      <c r="C305" s="388" t="n"/>
      <c r="D305" s="391" t="n">
        <v>1</v>
      </c>
    </row>
    <row r="306">
      <c r="A306" s="384" t="inlineStr">
        <is>
          <t>Ramashaba Attorneys</t>
        </is>
      </c>
      <c r="B306" s="385" t="inlineStr">
        <is>
          <t>Gauteng</t>
        </is>
      </c>
      <c r="C306" s="385" t="inlineStr">
        <is>
          <t>Johannesburg</t>
        </is>
      </c>
      <c r="D306" s="390" t="n">
        <v>1</v>
      </c>
    </row>
    <row r="307">
      <c r="A307" s="387" t="inlineStr">
        <is>
          <t>Ramatshekgisa Attorneys</t>
        </is>
      </c>
      <c r="B307" s="388" t="inlineStr">
        <is>
          <t>Gauteng</t>
        </is>
      </c>
      <c r="C307" s="388" t="inlineStr">
        <is>
          <t>Johannesburg</t>
        </is>
      </c>
      <c r="D307" s="391" t="n">
        <v>1</v>
      </c>
    </row>
    <row r="308">
      <c r="A308" s="384" t="inlineStr">
        <is>
          <t>Ramolao Ramotsehoa Inc. Attorneys</t>
        </is>
      </c>
      <c r="B308" s="385" t="inlineStr">
        <is>
          <t>Gauteng</t>
        </is>
      </c>
      <c r="C308" s="385" t="inlineStr">
        <is>
          <t>Vereeniging</t>
        </is>
      </c>
      <c r="D308" s="390" t="n">
        <v>2</v>
      </c>
    </row>
    <row r="309">
      <c r="A309" s="387" t="inlineStr">
        <is>
          <t>Ramontja MA. Attorneys</t>
        </is>
      </c>
      <c r="B309" s="388" t="inlineStr">
        <is>
          <t>Limpopo</t>
        </is>
      </c>
      <c r="C309" s="388" t="n"/>
      <c r="D309" s="391" t="n">
        <v>13</v>
      </c>
    </row>
    <row r="310">
      <c r="A310" s="384" t="inlineStr">
        <is>
          <t>Ramothwala Attorneys</t>
        </is>
      </c>
      <c r="B310" s="385" t="inlineStr">
        <is>
          <t>Gauteng</t>
        </is>
      </c>
      <c r="C310" s="385" t="inlineStr">
        <is>
          <t>Johannesburg</t>
        </is>
      </c>
      <c r="D310" s="390" t="n">
        <v>6</v>
      </c>
    </row>
    <row r="311">
      <c r="A311" s="387" t="inlineStr">
        <is>
          <t>Rantho &amp; Associates Inc. Attorneys</t>
        </is>
      </c>
      <c r="B311" s="388" t="inlineStr">
        <is>
          <t>Gauteng</t>
        </is>
      </c>
      <c r="C311" s="388" t="inlineStr">
        <is>
          <t>Pretoria</t>
        </is>
      </c>
      <c r="D311" s="391" t="n">
        <v>87</v>
      </c>
    </row>
    <row r="312">
      <c r="A312" s="384" t="inlineStr">
        <is>
          <t>Raphela Madiba Attorneys</t>
        </is>
      </c>
      <c r="B312" s="385" t="inlineStr">
        <is>
          <t>Limpopo</t>
        </is>
      </c>
      <c r="C312" s="385" t="n"/>
      <c r="D312" s="390" t="n">
        <v>2</v>
      </c>
    </row>
    <row r="313">
      <c r="A313" s="387" t="inlineStr">
        <is>
          <t>Ratshivombela Attorneys</t>
        </is>
      </c>
      <c r="B313" s="388" t="inlineStr">
        <is>
          <t>Gauteng</t>
        </is>
      </c>
      <c r="C313" s="388" t="inlineStr">
        <is>
          <t>Johannesburg</t>
        </is>
      </c>
      <c r="D313" s="391" t="n">
        <v>1</v>
      </c>
    </row>
    <row r="314">
      <c r="A314" s="384" t="inlineStr">
        <is>
          <t>Ratshivombela Tshilidzi Attorneys</t>
        </is>
      </c>
      <c r="B314" s="385" t="inlineStr">
        <is>
          <t>Gauteng</t>
        </is>
      </c>
      <c r="C314" s="385" t="inlineStr">
        <is>
          <t>Johannesburg</t>
        </is>
      </c>
      <c r="D314" s="390" t="n">
        <v>1</v>
      </c>
    </row>
    <row r="315">
      <c r="A315" s="387" t="inlineStr">
        <is>
          <t>RJ. Tabane Attorneys</t>
        </is>
      </c>
      <c r="B315" s="388" t="inlineStr">
        <is>
          <t>Gauteng</t>
        </is>
      </c>
      <c r="C315" s="388" t="inlineStr">
        <is>
          <t>Pretoria</t>
        </is>
      </c>
      <c r="D315" s="391" t="n">
        <v>1</v>
      </c>
    </row>
    <row r="316">
      <c r="A316" s="384" t="inlineStr">
        <is>
          <t>RN. Matlala Attorneys</t>
        </is>
      </c>
      <c r="B316" s="385" t="inlineStr">
        <is>
          <t>Gauteng</t>
        </is>
      </c>
      <c r="C316" s="385" t="inlineStr">
        <is>
          <t>Pretoria</t>
        </is>
      </c>
      <c r="D316" s="390" t="n">
        <v>2</v>
      </c>
    </row>
    <row r="317">
      <c r="A317" s="387" t="inlineStr">
        <is>
          <t>RP. Motshabi Attorneys</t>
        </is>
      </c>
      <c r="B317" s="388" t="inlineStr">
        <is>
          <t>Gauteng</t>
        </is>
      </c>
      <c r="C317" s="388" t="inlineStr">
        <is>
          <t>Johannesburg</t>
        </is>
      </c>
      <c r="D317" s="391" t="n">
        <v>1</v>
      </c>
    </row>
    <row r="318">
      <c r="A318" s="384" t="inlineStr">
        <is>
          <t>RS. Siyila Inc. Attorneys</t>
        </is>
      </c>
      <c r="B318" s="385" t="inlineStr">
        <is>
          <t>Eastern Cape</t>
        </is>
      </c>
      <c r="C318" s="385" t="n"/>
      <c r="D318" s="390" t="n">
        <v>2</v>
      </c>
    </row>
    <row r="319">
      <c r="A319" s="387" t="inlineStr">
        <is>
          <t>S. Booi &amp; Sons Attorneys</t>
        </is>
      </c>
      <c r="B319" s="388" t="inlineStr">
        <is>
          <t>Eastern Cape</t>
        </is>
      </c>
      <c r="C319" s="388" t="n"/>
      <c r="D319" s="391" t="n">
        <v>38</v>
      </c>
    </row>
    <row r="320">
      <c r="A320" s="384" t="inlineStr">
        <is>
          <t xml:space="preserve">S. Madikazi Attorneys </t>
        </is>
      </c>
      <c r="B320" s="385" t="inlineStr">
        <is>
          <t>Eastern Cape</t>
        </is>
      </c>
      <c r="C320" s="385" t="n"/>
      <c r="D320" s="390" t="n">
        <v>2</v>
      </c>
    </row>
    <row r="321">
      <c r="A321" s="387" t="inlineStr">
        <is>
          <t>S. Mbawu Attorneys</t>
        </is>
      </c>
      <c r="B321" s="388" t="inlineStr">
        <is>
          <t>Eastern Cape</t>
        </is>
      </c>
      <c r="C321" s="388" t="n"/>
      <c r="D321" s="391" t="n">
        <v>1</v>
      </c>
    </row>
    <row r="322">
      <c r="A322" s="384" t="inlineStr">
        <is>
          <t>S. Mbawu Attorneys</t>
        </is>
      </c>
      <c r="B322" s="385" t="inlineStr">
        <is>
          <t>Eastern Cape</t>
        </is>
      </c>
      <c r="C322" s="385" t="n"/>
      <c r="D322" s="390" t="n">
        <v>1</v>
      </c>
    </row>
    <row r="323">
      <c r="A323" s="387" t="inlineStr">
        <is>
          <t>S. Mema &amp; Associates Attorneys</t>
        </is>
      </c>
      <c r="B323" s="388" t="inlineStr">
        <is>
          <t>KZN</t>
        </is>
      </c>
      <c r="C323" s="388" t="n"/>
      <c r="D323" s="391" t="n">
        <v>4</v>
      </c>
    </row>
    <row r="324">
      <c r="A324" s="384" t="inlineStr">
        <is>
          <t>S. Mhlawuli Attorneys</t>
        </is>
      </c>
      <c r="B324" s="385" t="inlineStr">
        <is>
          <t>Eastern Cape</t>
        </is>
      </c>
      <c r="C324" s="385" t="n"/>
      <c r="D324" s="390" t="n">
        <v>14</v>
      </c>
    </row>
    <row r="325">
      <c r="A325" s="387" t="inlineStr">
        <is>
          <t xml:space="preserve">S. Modi Attorneys </t>
        </is>
      </c>
      <c r="B325" s="388" t="inlineStr">
        <is>
          <t>Eastern Cape</t>
        </is>
      </c>
      <c r="C325" s="388" t="n"/>
      <c r="D325" s="391" t="n">
        <v>3</v>
      </c>
    </row>
    <row r="326">
      <c r="A326" s="384" t="inlineStr">
        <is>
          <t>SL Attorneys</t>
        </is>
      </c>
      <c r="B326" s="385" t="inlineStr">
        <is>
          <t>Gauteng</t>
        </is>
      </c>
      <c r="C326" s="385" t="inlineStr">
        <is>
          <t>Pretoria</t>
        </is>
      </c>
      <c r="D326" s="390" t="n">
        <v>1</v>
      </c>
    </row>
    <row r="327">
      <c r="A327" s="387" t="inlineStr">
        <is>
          <t>S. Madikizela Inc. Attorneys</t>
        </is>
      </c>
      <c r="B327" s="388" t="inlineStr">
        <is>
          <t>Eastern Cape</t>
        </is>
      </c>
      <c r="C327" s="388" t="n"/>
      <c r="D327" s="391" t="n">
        <v>2</v>
      </c>
    </row>
    <row r="328">
      <c r="A328" s="384" t="inlineStr">
        <is>
          <t>S. Mhambi Attorneys</t>
        </is>
      </c>
      <c r="B328" s="385" t="inlineStr">
        <is>
          <t>Eastern Cape</t>
        </is>
      </c>
      <c r="C328" s="385" t="n"/>
      <c r="D328" s="390" t="n">
        <v>1</v>
      </c>
    </row>
    <row r="329">
      <c r="A329" s="387" t="inlineStr">
        <is>
          <t>SA. Mbelu Attorneys</t>
        </is>
      </c>
      <c r="B329" s="388" t="inlineStr">
        <is>
          <t>Gauteng</t>
        </is>
      </c>
      <c r="C329" s="388" t="inlineStr">
        <is>
          <t>Johannesburg</t>
        </is>
      </c>
      <c r="D329" s="391" t="n">
        <v>5</v>
      </c>
    </row>
    <row r="330">
      <c r="A330" s="384" t="inlineStr">
        <is>
          <t>SAMUELSON &amp; ASSOCIATES INC</t>
        </is>
      </c>
      <c r="B330" s="385" t="inlineStr">
        <is>
          <t>KZN</t>
        </is>
      </c>
      <c r="C330" s="385" t="n"/>
      <c r="D330" s="390" t="n">
        <v>2</v>
      </c>
    </row>
    <row r="331">
      <c r="A331" s="387" t="inlineStr">
        <is>
          <t>Sanele Praiseworth Zulu Attorneys</t>
        </is>
      </c>
      <c r="B331" s="388" t="inlineStr">
        <is>
          <t>Gauteng</t>
        </is>
      </c>
      <c r="C331" s="388" t="inlineStr">
        <is>
          <t>Johannesburg</t>
        </is>
      </c>
      <c r="D331" s="391" t="n">
        <v>1</v>
      </c>
    </row>
    <row r="332">
      <c r="A332" s="384" t="inlineStr">
        <is>
          <t>SBM &amp; Associates Inc. Attorneys</t>
        </is>
      </c>
      <c r="B332" s="385" t="inlineStr">
        <is>
          <t>KZN</t>
        </is>
      </c>
      <c r="C332" s="385" t="n"/>
      <c r="D332" s="390" t="n">
        <v>3</v>
      </c>
    </row>
    <row r="333">
      <c r="A333" s="387" t="inlineStr">
        <is>
          <t>Sebatjane Attorneys</t>
        </is>
      </c>
      <c r="B333" s="388" t="inlineStr">
        <is>
          <t>Gauteng</t>
        </is>
      </c>
      <c r="C333" s="388" t="inlineStr">
        <is>
          <t>Pretoria</t>
        </is>
      </c>
      <c r="D333" s="391" t="n">
        <v>5</v>
      </c>
    </row>
    <row r="334">
      <c r="A334" s="384" t="inlineStr">
        <is>
          <t>Sekati Monyane Attorneys</t>
        </is>
      </c>
      <c r="B334" s="385" t="inlineStr">
        <is>
          <t>Gauteng</t>
        </is>
      </c>
      <c r="C334" s="385" t="inlineStr">
        <is>
          <t>Pretoria</t>
        </is>
      </c>
      <c r="D334" s="390" t="n">
        <v>6</v>
      </c>
    </row>
    <row r="335">
      <c r="A335" s="387" t="inlineStr">
        <is>
          <t>Seleka Attorneys</t>
        </is>
      </c>
      <c r="B335" s="388" t="inlineStr">
        <is>
          <t>Gauteng</t>
        </is>
      </c>
      <c r="C335" s="388" t="inlineStr">
        <is>
          <t>Johannesburg</t>
        </is>
      </c>
      <c r="D335" s="391" t="n">
        <v>1</v>
      </c>
    </row>
    <row r="336">
      <c r="A336" s="384" t="inlineStr">
        <is>
          <t>Selokela Mashola Attorneys</t>
        </is>
      </c>
      <c r="B336" s="385" t="inlineStr">
        <is>
          <t>Limpopo</t>
        </is>
      </c>
      <c r="C336" s="385" t="n"/>
      <c r="D336" s="390" t="n">
        <v>5</v>
      </c>
    </row>
    <row r="337">
      <c r="A337" s="387" t="inlineStr">
        <is>
          <t>Semenya Attorneys</t>
        </is>
      </c>
      <c r="B337" s="388" t="inlineStr">
        <is>
          <t>Gauteng</t>
        </is>
      </c>
      <c r="C337" s="388" t="inlineStr">
        <is>
          <t>Pretoria</t>
        </is>
      </c>
      <c r="D337" s="391" t="n">
        <v>1</v>
      </c>
    </row>
    <row r="338">
      <c r="A338" s="384" t="inlineStr">
        <is>
          <t>Sengwayo Attorneys Inc.</t>
        </is>
      </c>
      <c r="B338" s="385" t="inlineStr">
        <is>
          <t>KZN</t>
        </is>
      </c>
      <c r="C338" s="385" t="n"/>
      <c r="D338" s="390" t="n">
        <v>3</v>
      </c>
    </row>
    <row r="339">
      <c r="A339" s="387" t="inlineStr">
        <is>
          <t>Senyatsi Inc. Attorneys</t>
        </is>
      </c>
      <c r="B339" s="388" t="inlineStr">
        <is>
          <t>Limpopo</t>
        </is>
      </c>
      <c r="C339" s="388" t="n"/>
      <c r="D339" s="391" t="n">
        <v>27</v>
      </c>
    </row>
    <row r="340">
      <c r="A340" s="384" t="inlineStr">
        <is>
          <t>Sephuma Attorneys</t>
        </is>
      </c>
      <c r="B340" s="385" t="inlineStr">
        <is>
          <t>Gauteng</t>
        </is>
      </c>
      <c r="C340" s="385" t="inlineStr">
        <is>
          <t>Pretoria</t>
        </is>
      </c>
      <c r="D340" s="390" t="n">
        <v>1</v>
      </c>
    </row>
    <row r="341">
      <c r="A341" s="387" t="inlineStr">
        <is>
          <t>SG. Baloyi Attorneys</t>
        </is>
      </c>
      <c r="B341" s="388" t="inlineStr">
        <is>
          <t>Gauteng</t>
        </is>
      </c>
      <c r="C341" s="388" t="inlineStr">
        <is>
          <t>Pretoria</t>
        </is>
      </c>
      <c r="D341" s="391" t="n">
        <v>2</v>
      </c>
    </row>
    <row r="342">
      <c r="A342" s="384" t="inlineStr">
        <is>
          <t>Shai G. Attorneys</t>
        </is>
      </c>
      <c r="B342" s="385" t="inlineStr">
        <is>
          <t>Gauteng</t>
        </is>
      </c>
      <c r="C342" s="385" t="inlineStr">
        <is>
          <t>Pretoria</t>
        </is>
      </c>
      <c r="D342" s="390" t="n">
        <v>1</v>
      </c>
    </row>
    <row r="343">
      <c r="A343" s="387" t="inlineStr">
        <is>
          <t>Shakera Timol Attorneys</t>
        </is>
      </c>
      <c r="B343" s="388" t="inlineStr">
        <is>
          <t>Gauteng</t>
        </is>
      </c>
      <c r="C343" s="388" t="inlineStr">
        <is>
          <t>Johannesburg</t>
        </is>
      </c>
      <c r="D343" s="391" t="n">
        <v>1</v>
      </c>
    </row>
    <row r="344">
      <c r="A344" s="384" t="inlineStr">
        <is>
          <t>Shipalana Attorneys</t>
        </is>
      </c>
      <c r="B344" s="385" t="inlineStr">
        <is>
          <t>Gauteng</t>
        </is>
      </c>
      <c r="C344" s="385" t="inlineStr">
        <is>
          <t>Johannesburg</t>
        </is>
      </c>
      <c r="D344" s="390" t="n">
        <v>12</v>
      </c>
    </row>
    <row r="345">
      <c r="A345" s="387" t="inlineStr">
        <is>
          <t>Shiviri Manzini Masetla Attorneys</t>
        </is>
      </c>
      <c r="B345" s="388" t="inlineStr">
        <is>
          <t>Limpopo</t>
        </is>
      </c>
      <c r="C345" s="388" t="n"/>
      <c r="D345" s="391" t="n">
        <v>5</v>
      </c>
    </row>
    <row r="346">
      <c r="A346" s="384" t="inlineStr">
        <is>
          <t>Sibanda Bukhosi Attorneys</t>
        </is>
      </c>
      <c r="B346" s="385" t="inlineStr">
        <is>
          <t>Gauteng</t>
        </is>
      </c>
      <c r="C346" s="385" t="inlineStr">
        <is>
          <t>Johannesburg</t>
        </is>
      </c>
      <c r="D346" s="390" t="n">
        <v>2</v>
      </c>
    </row>
    <row r="347">
      <c r="A347" s="387" t="inlineStr">
        <is>
          <t>Sibanda M. Attorneys</t>
        </is>
      </c>
      <c r="B347" s="388" t="inlineStr">
        <is>
          <t>Limpopo</t>
        </is>
      </c>
      <c r="C347" s="388" t="n"/>
      <c r="D347" s="391" t="n">
        <v>17</v>
      </c>
    </row>
    <row r="348">
      <c r="A348" s="384" t="inlineStr">
        <is>
          <t>Siebani Attorneys</t>
        </is>
      </c>
      <c r="B348" s="385" t="inlineStr">
        <is>
          <t>Gauteng</t>
        </is>
      </c>
      <c r="C348" s="385" t="inlineStr">
        <is>
          <t>Pretoria</t>
        </is>
      </c>
      <c r="D348" s="390" t="n">
        <v>1</v>
      </c>
    </row>
    <row r="349">
      <c r="A349" s="387" t="inlineStr">
        <is>
          <t>Sihle Khumalo Attorneys</t>
        </is>
      </c>
      <c r="B349" s="388" t="inlineStr">
        <is>
          <t>KZN</t>
        </is>
      </c>
      <c r="C349" s="388" t="n"/>
      <c r="D349" s="391" t="n">
        <v>6</v>
      </c>
    </row>
    <row r="350">
      <c r="A350" s="384" t="inlineStr">
        <is>
          <t>Sijako Attorneys</t>
        </is>
      </c>
      <c r="B350" s="385" t="inlineStr">
        <is>
          <t>Gauteng</t>
        </is>
      </c>
      <c r="C350" s="385" t="inlineStr">
        <is>
          <t>Pretoria</t>
        </is>
      </c>
      <c r="D350" s="390" t="n">
        <v>3</v>
      </c>
    </row>
    <row r="351">
      <c r="A351" s="387" t="inlineStr">
        <is>
          <t>Silwana Attorneys</t>
        </is>
      </c>
      <c r="B351" s="388" t="inlineStr">
        <is>
          <t>Eastern Cape</t>
        </is>
      </c>
      <c r="C351" s="388" t="n"/>
      <c r="D351" s="391" t="n">
        <v>2</v>
      </c>
    </row>
    <row r="352">
      <c r="A352" s="384" t="inlineStr">
        <is>
          <t>Simango &amp; Simango Attorneys</t>
        </is>
      </c>
      <c r="B352" s="385" t="inlineStr">
        <is>
          <t>Limpopo</t>
        </is>
      </c>
      <c r="C352" s="385" t="n"/>
      <c r="D352" s="390" t="n">
        <v>3</v>
      </c>
    </row>
    <row r="353">
      <c r="A353" s="387" t="inlineStr">
        <is>
          <t>Singh Attorneys</t>
        </is>
      </c>
      <c r="B353" s="388" t="inlineStr">
        <is>
          <t>Gauteng</t>
        </is>
      </c>
      <c r="C353" s="388" t="inlineStr">
        <is>
          <t>Johannesburg</t>
        </is>
      </c>
      <c r="D353" s="391" t="n">
        <v>2</v>
      </c>
    </row>
    <row r="354">
      <c r="A354" s="384" t="inlineStr">
        <is>
          <t>Sipho Klaas Attorneys Inc.</t>
        </is>
      </c>
      <c r="B354" s="385" t="inlineStr">
        <is>
          <t>Eastern Cape</t>
        </is>
      </c>
      <c r="C354" s="385" t="n"/>
      <c r="D354" s="390" t="n">
        <v>1</v>
      </c>
    </row>
    <row r="355">
      <c r="A355" s="387" t="inlineStr">
        <is>
          <t>Siphokazi Tshiwula Inc. Attorneys</t>
        </is>
      </c>
      <c r="B355" s="388" t="inlineStr">
        <is>
          <t>Eastern Cape</t>
        </is>
      </c>
      <c r="C355" s="388" t="n"/>
      <c r="D355" s="391" t="n">
        <v>5</v>
      </c>
    </row>
    <row r="356">
      <c r="A356" s="384" t="inlineStr">
        <is>
          <t>Sithombe Attorneys</t>
        </is>
      </c>
      <c r="B356" s="385" t="inlineStr">
        <is>
          <t>Gauteng</t>
        </is>
      </c>
      <c r="C356" s="385" t="inlineStr">
        <is>
          <t>Johannesburg</t>
        </is>
      </c>
      <c r="D356" s="390" t="n">
        <v>10</v>
      </c>
    </row>
    <row r="357">
      <c r="A357" s="387" t="inlineStr">
        <is>
          <t>Siwani Attorneys</t>
        </is>
      </c>
      <c r="B357" s="388" t="inlineStr">
        <is>
          <t>Gauteng</t>
        </is>
      </c>
      <c r="C357" s="388" t="inlineStr">
        <is>
          <t>Johannesburg</t>
        </is>
      </c>
      <c r="D357" s="391" t="n">
        <v>2</v>
      </c>
    </row>
    <row r="358">
      <c r="A358" s="384" t="inlineStr">
        <is>
          <t>Siyo Attorneys</t>
        </is>
      </c>
      <c r="B358" s="385" t="inlineStr">
        <is>
          <t>Eastern Cape</t>
        </is>
      </c>
      <c r="C358" s="385" t="n"/>
      <c r="D358" s="390" t="n">
        <v>5</v>
      </c>
    </row>
    <row r="359">
      <c r="A359" s="387" t="inlineStr">
        <is>
          <t>SM Attorneys</t>
        </is>
      </c>
      <c r="B359" s="388" t="inlineStr">
        <is>
          <t>Limpopo</t>
        </is>
      </c>
      <c r="C359" s="388" t="n"/>
      <c r="D359" s="391" t="n">
        <v>1</v>
      </c>
    </row>
    <row r="360">
      <c r="A360" s="384" t="inlineStr">
        <is>
          <t>Somi Mavundla Attorneys</t>
        </is>
      </c>
      <c r="B360" s="385" t="inlineStr">
        <is>
          <t>KZN</t>
        </is>
      </c>
      <c r="C360" s="385" t="n"/>
      <c r="D360" s="390" t="n">
        <v>6</v>
      </c>
    </row>
    <row r="361">
      <c r="A361" s="387" t="inlineStr">
        <is>
          <t>SSM Attorneys</t>
        </is>
      </c>
      <c r="B361" s="388" t="inlineStr">
        <is>
          <t>Gauteng</t>
        </is>
      </c>
      <c r="C361" s="388" t="inlineStr">
        <is>
          <t>Johannesburg</t>
        </is>
      </c>
      <c r="D361" s="391" t="n">
        <v>1</v>
      </c>
    </row>
    <row r="362">
      <c r="A362" s="384" t="inlineStr">
        <is>
          <t>State Attorney</t>
        </is>
      </c>
      <c r="B362" s="385" t="inlineStr">
        <is>
          <t>Gauteng</t>
        </is>
      </c>
      <c r="C362" s="385" t="inlineStr">
        <is>
          <t>Johannesburg</t>
        </is>
      </c>
      <c r="D362" s="390" t="n">
        <v>2</v>
      </c>
    </row>
    <row r="363">
      <c r="A363" s="387" t="inlineStr">
        <is>
          <t>SU. Mrwetyana Attorneys</t>
        </is>
      </c>
      <c r="B363" s="388" t="inlineStr">
        <is>
          <t>Eastern Cape</t>
        </is>
      </c>
      <c r="C363" s="388" t="n"/>
      <c r="D363" s="391" t="n">
        <v>1</v>
      </c>
    </row>
    <row r="364">
      <c r="A364" s="384" t="inlineStr">
        <is>
          <t>Sue Moodley Attorneys</t>
        </is>
      </c>
      <c r="B364" s="385" t="inlineStr">
        <is>
          <t>KZN</t>
        </is>
      </c>
      <c r="C364" s="385" t="n"/>
      <c r="D364" s="390" t="n">
        <v>2</v>
      </c>
    </row>
    <row r="365">
      <c r="A365" s="387" t="inlineStr">
        <is>
          <t>T. Manyaka Attorneys</t>
        </is>
      </c>
      <c r="B365" s="388" t="inlineStr">
        <is>
          <t>Gauteng</t>
        </is>
      </c>
      <c r="C365" s="388" t="inlineStr">
        <is>
          <t>Johannesburg</t>
        </is>
      </c>
      <c r="D365" s="391" t="n">
        <v>1</v>
      </c>
    </row>
    <row r="366">
      <c r="A366" s="384" t="inlineStr">
        <is>
          <t>T. Matubatuba Attorneys</t>
        </is>
      </c>
      <c r="B366" s="385" t="inlineStr">
        <is>
          <t>Gauteng</t>
        </is>
      </c>
      <c r="C366" s="385" t="inlineStr">
        <is>
          <t>Johannesburg</t>
        </is>
      </c>
      <c r="D366" s="390" t="n">
        <v>6</v>
      </c>
    </row>
    <row r="367">
      <c r="A367" s="387" t="inlineStr">
        <is>
          <t>T. Mnyaka &amp; Associates Attorneys</t>
        </is>
      </c>
      <c r="B367" s="388" t="inlineStr">
        <is>
          <t>Eastern Cape</t>
        </is>
      </c>
      <c r="C367" s="388" t="n"/>
      <c r="D367" s="391" t="n">
        <v>6</v>
      </c>
    </row>
    <row r="368">
      <c r="A368" s="384" t="inlineStr">
        <is>
          <t>T. Madyibi Attorneys</t>
        </is>
      </c>
      <c r="B368" s="385" t="inlineStr">
        <is>
          <t>Eastern Cape</t>
        </is>
      </c>
      <c r="C368" s="385" t="n"/>
      <c r="D368" s="390" t="n">
        <v>4</v>
      </c>
    </row>
    <row r="369">
      <c r="A369" s="387" t="inlineStr">
        <is>
          <t>T. Mukwani Attorneys</t>
        </is>
      </c>
      <c r="B369" s="388" t="inlineStr">
        <is>
          <t>Gauteng</t>
        </is>
      </c>
      <c r="C369" s="388" t="inlineStr">
        <is>
          <t>Johannesburg</t>
        </is>
      </c>
      <c r="D369" s="391" t="n">
        <v>1</v>
      </c>
    </row>
    <row r="370">
      <c r="A370" s="384" t="inlineStr">
        <is>
          <t>T. Shabalala Inc. Attorneys</t>
        </is>
      </c>
      <c r="B370" s="385" t="inlineStr">
        <is>
          <t>Gauteng</t>
        </is>
      </c>
      <c r="C370" s="385" t="inlineStr">
        <is>
          <t>Pretoria</t>
        </is>
      </c>
      <c r="D370" s="390" t="n">
        <v>39</v>
      </c>
    </row>
    <row r="371">
      <c r="A371" s="387" t="inlineStr">
        <is>
          <t>TC. Pilusa Attorneys</t>
        </is>
      </c>
      <c r="B371" s="388" t="inlineStr">
        <is>
          <t>Mpumalanga</t>
        </is>
      </c>
      <c r="C371" s="388" t="n"/>
      <c r="D371" s="391" t="n">
        <v>1</v>
      </c>
    </row>
    <row r="372">
      <c r="A372" s="384" t="inlineStr">
        <is>
          <t>TE. Mabetshe Attorneys</t>
        </is>
      </c>
      <c r="B372" s="385" t="inlineStr">
        <is>
          <t>Eastern Cape</t>
        </is>
      </c>
      <c r="C372" s="385" t="n"/>
      <c r="D372" s="390" t="n">
        <v>3</v>
      </c>
    </row>
    <row r="373">
      <c r="A373" s="387" t="inlineStr">
        <is>
          <t>TE. Ramovha Attorneys</t>
        </is>
      </c>
      <c r="B373" s="388" t="inlineStr">
        <is>
          <t>Gauteng</t>
        </is>
      </c>
      <c r="C373" s="388" t="inlineStr">
        <is>
          <t>Johannesburg</t>
        </is>
      </c>
      <c r="D373" s="391" t="n">
        <v>55</v>
      </c>
    </row>
    <row r="374">
      <c r="A374" s="384" t="inlineStr">
        <is>
          <t>Temba Attorneys</t>
        </is>
      </c>
      <c r="B374" s="385" t="inlineStr">
        <is>
          <t>Gauteng</t>
        </is>
      </c>
      <c r="C374" s="385" t="inlineStr">
        <is>
          <t>Pretoria</t>
        </is>
      </c>
      <c r="D374" s="390" t="n">
        <v>2</v>
      </c>
    </row>
    <row r="375">
      <c r="A375" s="384" t="inlineStr">
        <is>
          <t>TF. Matlakala Inc. Attorneys</t>
        </is>
      </c>
      <c r="B375" s="385" t="inlineStr">
        <is>
          <t>Gauteng</t>
        </is>
      </c>
      <c r="C375" s="385" t="inlineStr">
        <is>
          <t>Pretoria</t>
        </is>
      </c>
      <c r="D375" s="390" t="n">
        <v>14</v>
      </c>
    </row>
    <row r="376">
      <c r="A376" s="387" t="inlineStr">
        <is>
          <t>Thaga Attorneys Inc.</t>
        </is>
      </c>
      <c r="B376" s="388" t="inlineStr">
        <is>
          <t>Gauteng</t>
        </is>
      </c>
      <c r="C376" s="388" t="inlineStr">
        <is>
          <t>Johannesburg</t>
        </is>
      </c>
      <c r="D376" s="391" t="n">
        <v>1</v>
      </c>
    </row>
    <row r="377">
      <c r="A377" s="384" t="inlineStr">
        <is>
          <t>Thando Mjoli &amp; Associates Attorneys</t>
        </is>
      </c>
      <c r="B377" s="385" t="inlineStr">
        <is>
          <t>KZN</t>
        </is>
      </c>
      <c r="C377" s="385" t="n"/>
      <c r="D377" s="390" t="n">
        <v>1</v>
      </c>
    </row>
    <row r="378">
      <c r="A378" s="387" t="inlineStr">
        <is>
          <t>Thando Ndabeni Inc. Attorneys</t>
        </is>
      </c>
      <c r="B378" s="388" t="inlineStr">
        <is>
          <t>Eastern Cape</t>
        </is>
      </c>
      <c r="C378" s="388" t="n"/>
      <c r="D378" s="391" t="n">
        <v>2</v>
      </c>
    </row>
    <row r="379">
      <c r="A379" s="384" t="inlineStr">
        <is>
          <t>Thembeka Mdunge &amp; Associates Attorneys</t>
        </is>
      </c>
      <c r="B379" s="385" t="inlineStr">
        <is>
          <t>KZN</t>
        </is>
      </c>
      <c r="C379" s="385" t="n"/>
      <c r="D379" s="390" t="n">
        <v>1</v>
      </c>
    </row>
    <row r="380">
      <c r="A380" s="387" t="inlineStr">
        <is>
          <t>Thikhathali Mashika Attorneys</t>
        </is>
      </c>
      <c r="B380" s="388" t="inlineStr">
        <is>
          <t>Gauteng</t>
        </is>
      </c>
      <c r="C380" s="388" t="inlineStr">
        <is>
          <t>Pretoria</t>
        </is>
      </c>
      <c r="D380" s="391" t="n">
        <v>1</v>
      </c>
    </row>
    <row r="381">
      <c r="A381" s="384" t="inlineStr">
        <is>
          <t>Thina-Ke Gumede Attorneys</t>
        </is>
      </c>
      <c r="B381" s="385" t="inlineStr">
        <is>
          <t>KZN</t>
        </is>
      </c>
      <c r="C381" s="385" t="n"/>
      <c r="D381" s="390" t="n">
        <v>3</v>
      </c>
    </row>
    <row r="382">
      <c r="A382" s="387" t="inlineStr">
        <is>
          <t>Tjiane Attorneys</t>
        </is>
      </c>
      <c r="B382" s="388" t="inlineStr">
        <is>
          <t>Gauteng</t>
        </is>
      </c>
      <c r="C382" s="388" t="inlineStr">
        <is>
          <t>Pretoria</t>
        </is>
      </c>
      <c r="D382" s="391" t="n">
        <v>2</v>
      </c>
    </row>
    <row r="383">
      <c r="A383" s="384" t="inlineStr">
        <is>
          <t>TK. Baloyi Attorneys</t>
        </is>
      </c>
      <c r="B383" s="385" t="inlineStr">
        <is>
          <t>Gauteng</t>
        </is>
      </c>
      <c r="C383" s="385" t="inlineStr">
        <is>
          <t>Pretoria</t>
        </is>
      </c>
      <c r="D383" s="390" t="n">
        <v>23</v>
      </c>
    </row>
    <row r="384">
      <c r="A384" s="387" t="inlineStr">
        <is>
          <t>TK. Machitele Inc. Attorneys</t>
        </is>
      </c>
      <c r="B384" s="388" t="inlineStr">
        <is>
          <t>Mpumalanga</t>
        </is>
      </c>
      <c r="C384" s="388" t="n"/>
      <c r="D384" s="391" t="n">
        <v>80</v>
      </c>
    </row>
    <row r="385">
      <c r="A385" s="384" t="inlineStr">
        <is>
          <t>TL. Kekana Attorneys</t>
        </is>
      </c>
      <c r="B385" s="385" t="inlineStr">
        <is>
          <t>Gauteng</t>
        </is>
      </c>
      <c r="C385" s="385" t="inlineStr">
        <is>
          <t>Pretoria</t>
        </is>
      </c>
      <c r="D385" s="390" t="n">
        <v>6</v>
      </c>
    </row>
    <row r="386">
      <c r="A386" s="387" t="inlineStr">
        <is>
          <t>TM. Nemasetoni Attorneys</t>
        </is>
      </c>
      <c r="B386" s="388" t="inlineStr">
        <is>
          <t>Gauteng</t>
        </is>
      </c>
      <c r="C386" s="388" t="inlineStr">
        <is>
          <t>Pretoria</t>
        </is>
      </c>
      <c r="D386" s="391" t="n">
        <v>1</v>
      </c>
    </row>
    <row r="387">
      <c r="A387" s="384" t="inlineStr">
        <is>
          <t>TP. Moloto &amp; Co. Attorneys</t>
        </is>
      </c>
      <c r="B387" s="385" t="inlineStr">
        <is>
          <t>Gauteng</t>
        </is>
      </c>
      <c r="C387" s="385" t="inlineStr">
        <is>
          <t>Johannesburg</t>
        </is>
      </c>
      <c r="D387" s="390" t="n">
        <v>1</v>
      </c>
    </row>
    <row r="388">
      <c r="A388" s="387" t="inlineStr">
        <is>
          <t>TS. Muroa Attorneys</t>
        </is>
      </c>
      <c r="B388" s="388" t="inlineStr">
        <is>
          <t>Limpopo</t>
        </is>
      </c>
      <c r="C388" s="388" t="n"/>
      <c r="D388" s="391" t="n">
        <v>1</v>
      </c>
    </row>
    <row r="389">
      <c r="A389" s="384" t="inlineStr">
        <is>
          <t xml:space="preserve">Tshabangu Attorneys </t>
        </is>
      </c>
      <c r="B389" s="385" t="inlineStr">
        <is>
          <t>Gauteng</t>
        </is>
      </c>
      <c r="C389" s="385" t="inlineStr">
        <is>
          <t>Pretoria</t>
        </is>
      </c>
      <c r="D389" s="390" t="n">
        <v>6</v>
      </c>
    </row>
    <row r="390">
      <c r="A390" s="387" t="inlineStr">
        <is>
          <t>Tshiki &amp; Associates Attorneys</t>
        </is>
      </c>
      <c r="B390" s="388" t="inlineStr">
        <is>
          <t>Eastern Cape</t>
        </is>
      </c>
      <c r="C390" s="388" t="n"/>
      <c r="D390" s="391" t="n">
        <v>2</v>
      </c>
    </row>
    <row r="391">
      <c r="A391" s="384" t="inlineStr">
        <is>
          <t>Tshilidzi Mukovhanama Attorneys</t>
        </is>
      </c>
      <c r="B391" s="385" t="inlineStr">
        <is>
          <t>Limpopo</t>
        </is>
      </c>
      <c r="C391" s="385" t="n"/>
      <c r="D391" s="390" t="n">
        <v>18</v>
      </c>
    </row>
    <row r="392">
      <c r="A392" s="387" t="inlineStr">
        <is>
          <t>Tsoku F. Mashishi Attorneys</t>
        </is>
      </c>
      <c r="B392" s="388" t="inlineStr">
        <is>
          <t>Gauteng</t>
        </is>
      </c>
      <c r="C392" s="388" t="inlineStr">
        <is>
          <t>Johannesburg</t>
        </is>
      </c>
      <c r="D392" s="391" t="n">
        <v>5</v>
      </c>
    </row>
    <row r="393">
      <c r="A393" s="384" t="inlineStr">
        <is>
          <t>Tsotso &amp; Associates Inc. Attorneys</t>
        </is>
      </c>
      <c r="B393" s="385" t="inlineStr">
        <is>
          <t>Cape Town</t>
        </is>
      </c>
      <c r="C393" s="385" t="n"/>
      <c r="D393" s="390" t="n">
        <v>4</v>
      </c>
    </row>
    <row r="394">
      <c r="A394" s="387" t="inlineStr">
        <is>
          <t>TT. Hlapolosa Attorneys</t>
        </is>
      </c>
      <c r="B394" s="388" t="inlineStr">
        <is>
          <t>Gauteng</t>
        </is>
      </c>
      <c r="C394" s="388" t="inlineStr">
        <is>
          <t>Johannesburg</t>
        </is>
      </c>
      <c r="D394" s="391" t="n">
        <v>1</v>
      </c>
    </row>
    <row r="395">
      <c r="A395" s="384" t="inlineStr">
        <is>
          <t>TW. Mphahlele Attorneys</t>
        </is>
      </c>
      <c r="B395" s="385" t="inlineStr">
        <is>
          <t>Gauteng</t>
        </is>
      </c>
      <c r="C395" s="385" t="inlineStr">
        <is>
          <t>Pretoria</t>
        </is>
      </c>
      <c r="D395" s="390" t="n">
        <v>1</v>
      </c>
    </row>
    <row r="396">
      <c r="A396" s="387" t="inlineStr">
        <is>
          <t>V. Nkuna Mboweni Attorneys</t>
        </is>
      </c>
      <c r="B396" s="388" t="inlineStr">
        <is>
          <t>Mpumalanga</t>
        </is>
      </c>
      <c r="C396" s="388" t="n"/>
      <c r="D396" s="391" t="n">
        <v>10</v>
      </c>
    </row>
    <row r="397">
      <c r="A397" s="384" t="inlineStr">
        <is>
          <t>VF.  Hlungwane Attorneys</t>
        </is>
      </c>
      <c r="B397" s="385" t="inlineStr">
        <is>
          <t>Gauteng</t>
        </is>
      </c>
      <c r="C397" s="385" t="inlineStr">
        <is>
          <t>Pretoria</t>
        </is>
      </c>
      <c r="D397" s="390" t="n">
        <v>1</v>
      </c>
    </row>
    <row r="398">
      <c r="A398" s="387" t="inlineStr">
        <is>
          <t>Venns Attorneys</t>
        </is>
      </c>
      <c r="B398" s="388" t="inlineStr">
        <is>
          <t>KZN</t>
        </is>
      </c>
      <c r="C398" s="388" t="n"/>
      <c r="D398" s="391" t="n">
        <v>42</v>
      </c>
    </row>
    <row r="399">
      <c r="A399" s="384" t="inlineStr">
        <is>
          <t>VK Malele Attorneys and Cost Consultants</t>
        </is>
      </c>
      <c r="B399" s="385" t="inlineStr">
        <is>
          <t>Gauteng</t>
        </is>
      </c>
      <c r="C399" s="385" t="inlineStr">
        <is>
          <t>Pretoria</t>
        </is>
      </c>
      <c r="D399" s="390" t="n">
        <v>3</v>
      </c>
    </row>
    <row r="400">
      <c r="A400" s="387" t="inlineStr">
        <is>
          <t>VL. Hlungwane Inc. Attorneys</t>
        </is>
      </c>
      <c r="B400" s="388" t="inlineStr">
        <is>
          <t>Gauteng</t>
        </is>
      </c>
      <c r="C400" s="388" t="inlineStr">
        <is>
          <t>Johannesburg</t>
        </is>
      </c>
      <c r="D400" s="391" t="n">
        <v>1</v>
      </c>
    </row>
    <row r="401">
      <c r="A401" s="384" t="inlineStr">
        <is>
          <t>Vusi Mtetwa Attorneys</t>
        </is>
      </c>
      <c r="B401" s="385" t="inlineStr">
        <is>
          <t>KZN</t>
        </is>
      </c>
      <c r="C401" s="385" t="n"/>
      <c r="D401" s="390" t="n">
        <v>3</v>
      </c>
    </row>
    <row r="402">
      <c r="A402" s="387" t="inlineStr">
        <is>
          <t>Vuyo Kela Attorneys</t>
        </is>
      </c>
      <c r="B402" s="388" t="inlineStr">
        <is>
          <t>KZN</t>
        </is>
      </c>
      <c r="C402" s="388" t="n"/>
      <c r="D402" s="391" t="n">
        <v>19</v>
      </c>
    </row>
    <row r="403">
      <c r="A403" s="384" t="inlineStr">
        <is>
          <t>Woka Attorneys</t>
        </is>
      </c>
      <c r="B403" s="385" t="inlineStr">
        <is>
          <t>Eastern Cape</t>
        </is>
      </c>
      <c r="C403" s="385" t="n"/>
      <c r="D403" s="390" t="n">
        <v>1</v>
      </c>
    </row>
    <row r="404">
      <c r="A404" s="387" t="inlineStr">
        <is>
          <t>Ximbi Ncolo Attorneys</t>
        </is>
      </c>
      <c r="B404" s="388" t="inlineStr">
        <is>
          <t>Eastern Cape</t>
        </is>
      </c>
      <c r="C404" s="388" t="n"/>
      <c r="D404" s="391" t="n">
        <v>10</v>
      </c>
    </row>
    <row r="405">
      <c r="A405" s="384" t="inlineStr">
        <is>
          <t>XYZ Attorneys</t>
        </is>
      </c>
      <c r="B405" s="385" t="inlineStr">
        <is>
          <t>Free State</t>
        </is>
      </c>
      <c r="C405" s="385" t="n"/>
      <c r="D405" s="390" t="n">
        <v>8</v>
      </c>
    </row>
    <row r="406">
      <c r="A406" s="387" t="inlineStr">
        <is>
          <t xml:space="preserve">Y. Tsipa Attorneys </t>
        </is>
      </c>
      <c r="B406" s="388" t="inlineStr">
        <is>
          <t>Eastern Cape</t>
        </is>
      </c>
      <c r="C406" s="388" t="n"/>
      <c r="D406" s="391" t="n">
        <v>2</v>
      </c>
    </row>
    <row r="407">
      <c r="A407" s="384" t="inlineStr">
        <is>
          <t>Yamkela Mcokiswa Attorneys</t>
        </is>
      </c>
      <c r="B407" s="385" t="inlineStr">
        <is>
          <t>Eastern Cape</t>
        </is>
      </c>
      <c r="C407" s="385" t="n"/>
      <c r="D407" s="390" t="n">
        <v>3</v>
      </c>
    </row>
    <row r="408">
      <c r="A408" s="387" t="inlineStr">
        <is>
          <t>Z &amp; M Shabalala Attorneys</t>
        </is>
      </c>
      <c r="B408" s="388" t="inlineStr">
        <is>
          <t>KZN</t>
        </is>
      </c>
      <c r="C408" s="388" t="n"/>
      <c r="D408" s="391" t="n">
        <v>5</v>
      </c>
    </row>
    <row r="409">
      <c r="A409" s="384" t="inlineStr">
        <is>
          <t>Z. Ntuli Inc. Attorneys</t>
        </is>
      </c>
      <c r="B409" s="385" t="inlineStr">
        <is>
          <t>Gauteng</t>
        </is>
      </c>
      <c r="C409" s="385" t="inlineStr">
        <is>
          <t>Pretoria</t>
        </is>
      </c>
      <c r="D409" s="390" t="n">
        <v>1</v>
      </c>
    </row>
    <row r="410">
      <c r="A410" s="387" t="inlineStr">
        <is>
          <t>Z. Renene Attorneys</t>
        </is>
      </c>
      <c r="B410" s="388" t="inlineStr">
        <is>
          <t>Eastern Cape</t>
        </is>
      </c>
      <c r="C410" s="388" t="n"/>
      <c r="D410" s="391" t="n">
        <v>31</v>
      </c>
    </row>
    <row r="411">
      <c r="A411" s="384" t="inlineStr">
        <is>
          <t>Zingisa Mfiki Attorneys</t>
        </is>
      </c>
      <c r="B411" s="385" t="inlineStr">
        <is>
          <t>Eastern Cape</t>
        </is>
      </c>
      <c r="C411" s="385" t="n"/>
      <c r="D411" s="390" t="n">
        <v>3</v>
      </c>
    </row>
    <row r="412">
      <c r="A412" s="384" t="inlineStr">
        <is>
          <t>DT. Mphaphuli Attorneys</t>
        </is>
      </c>
      <c r="B412" s="385" t="n"/>
      <c r="C412" s="385" t="n"/>
      <c r="D412" s="390" t="n"/>
    </row>
    <row r="413">
      <c r="A413" s="503" t="inlineStr">
        <is>
          <t>Nkulu Inc.</t>
        </is>
      </c>
      <c r="B413" s="388" t="n"/>
      <c r="C413" s="388" t="n"/>
      <c r="D413" s="391" t="n"/>
    </row>
    <row r="414">
      <c r="A414" s="384" t="n"/>
      <c r="B414" s="385" t="n"/>
      <c r="C414" s="385" t="n"/>
      <c r="D414" s="390" t="n"/>
    </row>
    <row r="415">
      <c r="A415" s="387" t="n"/>
      <c r="B415" s="388" t="n"/>
      <c r="C415" s="388" t="n"/>
      <c r="D415" s="391" t="n"/>
    </row>
    <row r="416">
      <c r="A416" s="384" t="n"/>
      <c r="B416" s="385" t="n"/>
      <c r="C416" s="385" t="n"/>
      <c r="D416" s="390" t="n"/>
    </row>
    <row r="417">
      <c r="A417" s="387" t="n"/>
      <c r="B417" s="388" t="n"/>
      <c r="C417" s="388" t="n"/>
      <c r="D417" s="391" t="n"/>
    </row>
    <row r="418">
      <c r="A418" s="384" t="n"/>
      <c r="B418" s="385" t="n"/>
      <c r="C418" s="385" t="n"/>
      <c r="D418" s="390" t="n"/>
    </row>
    <row r="419">
      <c r="A419" s="387" t="n"/>
      <c r="B419" s="388" t="n"/>
      <c r="C419" s="388" t="n"/>
      <c r="D419" s="391" t="n"/>
    </row>
    <row r="420">
      <c r="A420" s="384" t="n"/>
      <c r="B420" s="385" t="n"/>
      <c r="C420" s="385" t="n"/>
      <c r="D420" s="390" t="n"/>
    </row>
    <row r="421">
      <c r="A421" s="387" t="n"/>
      <c r="B421" s="388" t="n"/>
      <c r="C421" s="388" t="n"/>
      <c r="D421" s="391" t="n"/>
    </row>
    <row r="422">
      <c r="A422" s="384" t="n"/>
      <c r="B422" s="385" t="n"/>
      <c r="C422" s="385" t="n"/>
      <c r="D422" s="390" t="n"/>
    </row>
    <row r="423">
      <c r="A423" s="387" t="n"/>
      <c r="B423" s="388" t="n"/>
      <c r="C423" s="388" t="n"/>
      <c r="D423" s="391" t="n"/>
    </row>
    <row r="424">
      <c r="A424" s="384" t="n"/>
      <c r="B424" s="385" t="n"/>
      <c r="C424" s="385" t="n"/>
      <c r="D424" s="390" t="n"/>
    </row>
    <row r="425">
      <c r="A425" s="387" t="n"/>
      <c r="B425" s="388" t="n"/>
      <c r="C425" s="388" t="n"/>
      <c r="D425" s="391" t="n"/>
    </row>
    <row r="426">
      <c r="A426" s="384" t="n"/>
      <c r="B426" s="385" t="n"/>
      <c r="C426" s="385" t="n"/>
      <c r="D426" s="390" t="n"/>
    </row>
    <row r="427">
      <c r="A427" s="387" t="n"/>
      <c r="B427" s="388" t="n"/>
      <c r="C427" s="388" t="n"/>
      <c r="D427" s="391" t="n"/>
    </row>
    <row r="428">
      <c r="A428" s="384" t="n"/>
      <c r="B428" s="385" t="n"/>
      <c r="C428" s="385" t="n"/>
      <c r="D428" s="390" t="n"/>
    </row>
    <row r="429">
      <c r="A429" s="387" t="n"/>
      <c r="B429" s="388" t="n"/>
      <c r="C429" s="388" t="n"/>
      <c r="D429" s="391" t="n"/>
    </row>
    <row r="430">
      <c r="A430" s="384" t="n"/>
      <c r="B430" s="385" t="n"/>
      <c r="C430" s="385" t="n"/>
      <c r="D430" s="390" t="n"/>
    </row>
    <row r="431">
      <c r="A431" s="387" t="n"/>
      <c r="B431" s="388" t="n"/>
      <c r="C431" s="388" t="n"/>
      <c r="D431" s="391" t="n"/>
    </row>
    <row r="432">
      <c r="A432" s="384" t="n"/>
      <c r="B432" s="385" t="n"/>
      <c r="C432" s="385" t="n"/>
      <c r="D432" s="390" t="n"/>
    </row>
    <row r="433">
      <c r="A433" s="387" t="n"/>
      <c r="B433" s="388" t="n"/>
      <c r="C433" s="388" t="n"/>
      <c r="D433" s="391" t="n"/>
    </row>
    <row r="434">
      <c r="A434" s="384" t="n"/>
      <c r="B434" s="385" t="n"/>
      <c r="C434" s="385" t="n"/>
      <c r="D434" s="390" t="n"/>
    </row>
    <row r="435">
      <c r="A435" s="387" t="n"/>
      <c r="B435" s="388" t="n"/>
      <c r="C435" s="388" t="n"/>
      <c r="D435" s="391" t="n"/>
    </row>
    <row r="436">
      <c r="A436" s="384" t="n"/>
      <c r="B436" s="385" t="n"/>
      <c r="C436" s="385" t="n"/>
      <c r="D436" s="390" t="n"/>
    </row>
    <row r="437">
      <c r="A437" s="387" t="n"/>
      <c r="B437" s="388" t="n"/>
      <c r="C437" s="388" t="n"/>
      <c r="D437" s="391" t="n"/>
    </row>
    <row r="438">
      <c r="A438" s="384" t="n"/>
      <c r="B438" s="385" t="n"/>
      <c r="C438" s="385" t="n"/>
      <c r="D438" s="390" t="n"/>
    </row>
    <row r="439">
      <c r="A439" s="387" t="n"/>
      <c r="B439" s="388" t="n"/>
      <c r="C439" s="388" t="n"/>
      <c r="D439" s="391" t="n"/>
    </row>
    <row r="440">
      <c r="A440" s="384" t="n"/>
      <c r="B440" s="385" t="n"/>
      <c r="C440" s="385" t="n"/>
      <c r="D440" s="390" t="n"/>
    </row>
    <row r="441">
      <c r="A441" s="387" t="n"/>
      <c r="B441" s="388" t="n"/>
      <c r="C441" s="388" t="n"/>
      <c r="D441" s="391" t="n"/>
    </row>
    <row r="442">
      <c r="A442" s="384" t="n"/>
      <c r="B442" s="385" t="n"/>
      <c r="C442" s="385" t="n"/>
      <c r="D442" s="390" t="n"/>
    </row>
    <row r="443">
      <c r="A443" s="387" t="n"/>
      <c r="B443" s="388" t="n"/>
      <c r="C443" s="388" t="n"/>
      <c r="D443" s="391" t="n"/>
    </row>
    <row r="444">
      <c r="A444" s="384" t="n"/>
      <c r="B444" s="385" t="n"/>
      <c r="C444" s="385" t="n"/>
      <c r="D444" s="390" t="n"/>
    </row>
    <row r="445">
      <c r="A445" s="387" t="n"/>
      <c r="B445" s="388" t="n"/>
      <c r="C445" s="388" t="n"/>
      <c r="D445" s="391" t="n"/>
    </row>
    <row r="446">
      <c r="A446" s="384" t="n"/>
      <c r="B446" s="385" t="n"/>
      <c r="C446" s="385" t="n"/>
      <c r="D446" s="390" t="n"/>
    </row>
    <row r="447">
      <c r="A447" s="387" t="n"/>
      <c r="B447" s="388" t="n"/>
      <c r="C447" s="388" t="n"/>
      <c r="D447" s="391" t="n"/>
    </row>
    <row r="448">
      <c r="A448" s="384" t="n"/>
      <c r="B448" s="385" t="n"/>
      <c r="C448" s="385" t="n"/>
      <c r="D448" s="390" t="n"/>
    </row>
    <row r="449">
      <c r="A449" s="387" t="n"/>
      <c r="B449" s="388" t="n"/>
      <c r="C449" s="388" t="n"/>
      <c r="D449" s="391" t="n"/>
    </row>
    <row r="450">
      <c r="A450" s="384" t="n"/>
      <c r="B450" s="385" t="n"/>
      <c r="C450" s="385" t="n"/>
      <c r="D450" s="390" t="n"/>
    </row>
    <row r="451">
      <c r="A451" s="387" t="n"/>
      <c r="B451" s="388" t="n"/>
      <c r="C451" s="388" t="n"/>
      <c r="D451" s="391" t="n"/>
    </row>
    <row r="452">
      <c r="A452" s="384" t="n"/>
      <c r="B452" s="385" t="n"/>
      <c r="C452" s="385" t="n"/>
      <c r="D452" s="390" t="n"/>
    </row>
    <row r="453">
      <c r="A453" s="387" t="n"/>
      <c r="B453" s="388" t="n"/>
      <c r="C453" s="388" t="n"/>
      <c r="D453" s="391" t="n"/>
    </row>
    <row r="454">
      <c r="A454" s="384" t="n"/>
      <c r="B454" s="385" t="n"/>
      <c r="C454" s="385" t="n"/>
      <c r="D454" s="390" t="n"/>
    </row>
    <row r="455">
      <c r="A455" s="387" t="n"/>
      <c r="B455" s="388" t="n"/>
      <c r="C455" s="388" t="n"/>
      <c r="D455" s="391" t="n"/>
    </row>
    <row r="456">
      <c r="A456" s="384" t="n"/>
      <c r="B456" s="385" t="n"/>
      <c r="C456" s="385" t="n"/>
      <c r="D456" s="390" t="n"/>
    </row>
    <row r="457">
      <c r="A457" s="387" t="n"/>
      <c r="B457" s="388" t="n"/>
      <c r="C457" s="388" t="n"/>
      <c r="D457" s="391" t="n"/>
    </row>
    <row r="458">
      <c r="A458" s="384" t="n"/>
      <c r="B458" s="385" t="n"/>
      <c r="C458" s="385" t="n"/>
      <c r="D458" s="390" t="n"/>
    </row>
    <row r="459">
      <c r="A459" s="387" t="n"/>
      <c r="B459" s="388" t="n"/>
      <c r="C459" s="388" t="n"/>
      <c r="D459" s="391" t="n"/>
    </row>
    <row r="460">
      <c r="A460" s="384" t="n"/>
      <c r="B460" s="385" t="n"/>
      <c r="C460" s="385" t="n"/>
      <c r="D460" s="390" t="n"/>
    </row>
    <row r="461">
      <c r="A461" s="387" t="n"/>
      <c r="B461" s="388" t="n"/>
      <c r="C461" s="388" t="n"/>
      <c r="D461" s="391" t="n"/>
    </row>
    <row r="462">
      <c r="A462" s="384" t="n"/>
      <c r="B462" s="385" t="n"/>
      <c r="C462" s="385" t="n"/>
      <c r="D462" s="390" t="n"/>
    </row>
    <row r="463">
      <c r="A463" s="387" t="n"/>
      <c r="B463" s="388" t="n"/>
      <c r="C463" s="388" t="n"/>
      <c r="D463" s="391" t="n"/>
    </row>
    <row r="464">
      <c r="A464" s="384" t="n"/>
      <c r="B464" s="385" t="n"/>
      <c r="C464" s="385" t="n"/>
      <c r="D464" s="390" t="n"/>
    </row>
    <row r="465">
      <c r="A465" s="387" t="n"/>
      <c r="B465" s="388" t="n"/>
      <c r="C465" s="388" t="n"/>
      <c r="D465" s="391" t="n"/>
    </row>
    <row r="466">
      <c r="A466" s="384" t="n"/>
      <c r="B466" s="385" t="n"/>
      <c r="C466" s="385" t="n"/>
      <c r="D466" s="390" t="n"/>
    </row>
    <row r="467">
      <c r="A467" s="387" t="n"/>
      <c r="B467" s="388" t="n"/>
      <c r="C467" s="388" t="n"/>
      <c r="D467" s="391" t="n"/>
    </row>
    <row r="468">
      <c r="A468" s="384" t="n"/>
      <c r="B468" s="385" t="n"/>
      <c r="C468" s="385" t="n"/>
      <c r="D468" s="390" t="n"/>
    </row>
    <row r="469">
      <c r="A469" s="387" t="n"/>
      <c r="B469" s="388" t="n"/>
      <c r="C469" s="388" t="n"/>
      <c r="D469" s="391" t="n"/>
    </row>
    <row r="470">
      <c r="A470" s="384" t="n"/>
      <c r="B470" s="385" t="n"/>
      <c r="C470" s="385" t="n"/>
      <c r="D470" s="390" t="n"/>
    </row>
    <row r="471">
      <c r="A471" s="387" t="n"/>
      <c r="B471" s="388" t="n"/>
      <c r="C471" s="388" t="n"/>
      <c r="D471" s="391" t="n"/>
    </row>
    <row r="472">
      <c r="A472" s="384" t="n"/>
      <c r="B472" s="385" t="n"/>
      <c r="C472" s="385" t="n"/>
      <c r="D472" s="390" t="n"/>
    </row>
    <row r="473">
      <c r="A473" s="387" t="n"/>
      <c r="B473" s="388" t="n"/>
      <c r="C473" s="388" t="n"/>
      <c r="D473" s="391" t="n"/>
    </row>
    <row r="474">
      <c r="A474" s="384" t="n"/>
      <c r="B474" s="385" t="n"/>
      <c r="C474" s="385" t="n"/>
      <c r="D474" s="390" t="n"/>
    </row>
    <row r="475">
      <c r="A475" s="387" t="n"/>
      <c r="B475" s="388" t="n"/>
      <c r="C475" s="388" t="n"/>
      <c r="D475" s="391" t="n"/>
    </row>
    <row r="476">
      <c r="A476" s="384" t="n"/>
      <c r="B476" s="385" t="n"/>
      <c r="C476" s="385" t="n"/>
      <c r="D476" s="390" t="n"/>
    </row>
    <row r="477">
      <c r="A477" s="387" t="n"/>
      <c r="B477" s="388" t="n"/>
      <c r="C477" s="388" t="n"/>
      <c r="D477" s="391" t="n"/>
    </row>
    <row r="478">
      <c r="A478" s="384" t="n"/>
      <c r="B478" s="385" t="n"/>
      <c r="C478" s="385" t="n"/>
      <c r="D478" s="390" t="n"/>
    </row>
    <row r="479">
      <c r="A479" s="387" t="n"/>
      <c r="B479" s="388" t="n"/>
      <c r="C479" s="388" t="n"/>
      <c r="D479" s="391" t="n"/>
    </row>
    <row r="480">
      <c r="A480" s="384" t="n"/>
      <c r="B480" s="385" t="n"/>
      <c r="C480" s="385" t="n"/>
      <c r="D480" s="390" t="n"/>
    </row>
    <row r="481">
      <c r="A481" s="387" t="n"/>
      <c r="B481" s="388" t="n"/>
      <c r="C481" s="388" t="n"/>
      <c r="D481" s="391" t="n"/>
    </row>
    <row r="482">
      <c r="A482" s="384" t="n"/>
      <c r="B482" s="385" t="n"/>
      <c r="C482" s="385" t="n"/>
      <c r="D482" s="390" t="n"/>
    </row>
    <row r="483">
      <c r="A483" s="387" t="n"/>
      <c r="B483" s="388" t="n"/>
      <c r="C483" s="388" t="n"/>
      <c r="D483" s="391" t="n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18">
    <outlinePr summaryBelow="1" summaryRight="1"/>
    <pageSetUpPr/>
  </sheetPr>
  <dimension ref="A1:E3"/>
  <sheetViews>
    <sheetView workbookViewId="0">
      <selection activeCell="A1" sqref="A1"/>
    </sheetView>
  </sheetViews>
  <sheetFormatPr baseColWidth="8" defaultRowHeight="13.2"/>
  <sheetData>
    <row r="1">
      <c r="A1">
        <f>SUM(,)</f>
        <v/>
      </c>
      <c r="B1">
        <f t="array" ref="B1">{1,2;3,4}</f>
        <v/>
      </c>
      <c r="C1">
        <f>LEN("abc")</f>
        <v/>
      </c>
      <c r="D1">
        <f>SUM(1)</f>
        <v/>
      </c>
      <c r="E1">
        <f>1.5</f>
        <v/>
      </c>
    </row>
    <row r="2">
      <c r="A2" s="90" t="n">
        <v>37623</v>
      </c>
    </row>
    <row r="3">
      <c r="A3">
        <f>DOLLAR(1,0)</f>
        <v/>
      </c>
      <c r="B3">
        <f>ADDRESS(1,1,2,0)</f>
        <v/>
      </c>
      <c r="C3">
        <f>FIXED(1E+21, 0, FALSE)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Karen</dc:creator>
  <dcterms:created xmlns:dcterms="http://purl.org/dc/terms/" xmlns:xsi="http://www.w3.org/2001/XMLSchema-instance" xsi:type="dcterms:W3CDTF">2005-04-20T10:18:36Z</dcterms:created>
  <dcterms:modified xmlns:dcterms="http://purl.org/dc/terms/" xmlns:xsi="http://www.w3.org/2001/XMLSchema-instance" xsi:type="dcterms:W3CDTF">2026-03-06T13:09:29Z</dcterms:modified>
  <cp:lastModifiedBy>Troden</cp:lastModifiedBy>
  <cp:lastPrinted>2008-12-01T08:49:53Z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0x01010005077D164E392E489E17A8E5F2254DBB</vt:lpwstr>
  </property>
  <property name="MediaServiceImageTags" fmtid="{D5CDD505-2E9C-101B-9397-08002B2CF9AE}" pid="3">
    <vt:lpwstr xmlns:vt="http://schemas.openxmlformats.org/officeDocument/2006/docPropsVTypes"/>
  </property>
</Properties>
</file>